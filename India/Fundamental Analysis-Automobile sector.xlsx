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Music\Job &amp; Future\Fundamental Analysis Project-Flagship\Fundamental Analysis-India\"/>
    </mc:Choice>
  </mc:AlternateContent>
  <xr:revisionPtr revIDLastSave="0" documentId="13_ncr:1_{92D5CC1D-B1F7-4A50-86B1-9094620A5E86}" xr6:coauthVersionLast="47" xr6:coauthVersionMax="47" xr10:uidLastSave="{00000000-0000-0000-0000-000000000000}"/>
  <bookViews>
    <workbookView xWindow="13728" yWindow="0" windowWidth="9408" windowHeight="12336" firstSheet="4" activeTab="4" xr2:uid="{00000000-000D-0000-FFFF-FFFF00000000}"/>
  </bookViews>
  <sheets>
    <sheet name="Company Profile" sheetId="1" r:id="rId1"/>
    <sheet name="Balance Sheet" sheetId="2" r:id="rId2"/>
    <sheet name="Income Statement" sheetId="3" r:id="rId3"/>
    <sheet name="Cash Flow Statement" sheetId="4" r:id="rId4"/>
    <sheet name="Financial Ratios" sheetId="5" r:id="rId5"/>
    <sheet name="Key Assumptions-WACC" sheetId="6" r:id="rId6"/>
    <sheet name="Valuation-FCFF" sheetId="8" r:id="rId7"/>
    <sheet name="Valuation-Summary" sheetId="9" r:id="rId8"/>
    <sheet name="5b" sheetId="11" r:id="rId9"/>
    <sheet name="NAV" sheetId="10" r:id="rId10"/>
    <sheet name="5c" sheetId="12"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27" i="5" l="1"/>
  <c r="AX27" i="5"/>
  <c r="AY27" i="5"/>
  <c r="AZ27" i="5"/>
  <c r="AV27" i="5"/>
  <c r="AN27" i="5"/>
  <c r="AO27" i="5"/>
  <c r="AP27" i="5"/>
  <c r="AQ27" i="5"/>
  <c r="AR27" i="5"/>
  <c r="AM27" i="5"/>
  <c r="AE28" i="5"/>
  <c r="AF28" i="5"/>
  <c r="AG28" i="5"/>
  <c r="AH28" i="5"/>
  <c r="AD28" i="5"/>
  <c r="V27" i="5"/>
  <c r="W27" i="5"/>
  <c r="X27" i="5"/>
  <c r="Y27" i="5"/>
  <c r="Z27" i="5"/>
  <c r="U27" i="5"/>
  <c r="M27" i="5"/>
  <c r="N27" i="5"/>
  <c r="O27" i="5"/>
  <c r="P27" i="5"/>
  <c r="Q27" i="5"/>
  <c r="L27" i="5"/>
  <c r="D27" i="5"/>
  <c r="E27" i="5"/>
  <c r="F27" i="5"/>
  <c r="G27" i="5"/>
  <c r="H27" i="5"/>
  <c r="C27" i="5"/>
  <c r="P3" i="12"/>
  <c r="P4" i="12"/>
  <c r="P5" i="12"/>
  <c r="P6" i="12"/>
  <c r="P7" i="12"/>
  <c r="P2" i="12"/>
  <c r="G16" i="6"/>
  <c r="F16" i="6"/>
  <c r="E16" i="6"/>
  <c r="D16" i="6"/>
  <c r="C16" i="6"/>
  <c r="B16" i="6"/>
  <c r="C32" i="8"/>
  <c r="C31" i="8"/>
  <c r="C30" i="8"/>
  <c r="C29" i="8"/>
  <c r="C28" i="8"/>
  <c r="C27" i="8"/>
  <c r="B28" i="8"/>
  <c r="B29" i="8"/>
  <c r="B30" i="8"/>
  <c r="B31" i="8"/>
  <c r="B32" i="8"/>
  <c r="B27" i="8"/>
  <c r="E4" i="8"/>
  <c r="F4" i="8"/>
  <c r="G4" i="8"/>
  <c r="H4" i="8"/>
  <c r="D4" i="8"/>
  <c r="C4" i="8"/>
  <c r="E8" i="8"/>
  <c r="F8" i="8"/>
  <c r="G8" i="8"/>
  <c r="H8" i="8"/>
  <c r="D8" i="8"/>
  <c r="C8" i="8"/>
  <c r="C33" i="8" l="1"/>
  <c r="D28" i="12"/>
  <c r="D27" i="12"/>
  <c r="D26" i="12"/>
  <c r="D25" i="12"/>
  <c r="D24" i="12"/>
  <c r="C24" i="12"/>
  <c r="C25" i="12"/>
  <c r="C26" i="12"/>
  <c r="C27" i="12"/>
  <c r="C28" i="12"/>
  <c r="C29" i="12"/>
  <c r="C23" i="12"/>
  <c r="A29" i="12"/>
  <c r="A24" i="12"/>
  <c r="A25" i="12"/>
  <c r="A26" i="12"/>
  <c r="A27" i="12"/>
  <c r="A28" i="12"/>
  <c r="A23" i="12"/>
  <c r="O3" i="12"/>
  <c r="O4" i="12"/>
  <c r="O5" i="12"/>
  <c r="O6" i="12"/>
  <c r="O7" i="12"/>
  <c r="M7" i="12"/>
  <c r="M6" i="12"/>
  <c r="M5" i="12"/>
  <c r="M4" i="12"/>
  <c r="M3" i="12"/>
  <c r="M2" i="12"/>
  <c r="L4" i="12"/>
  <c r="N4" i="12" s="1"/>
  <c r="K7" i="12"/>
  <c r="K6" i="12"/>
  <c r="K5" i="12"/>
  <c r="K4" i="12"/>
  <c r="K3" i="12"/>
  <c r="I7" i="12"/>
  <c r="J7" i="12" s="1"/>
  <c r="I6" i="12"/>
  <c r="I5" i="12"/>
  <c r="J5" i="12" s="1"/>
  <c r="I4" i="12"/>
  <c r="I3" i="12"/>
  <c r="I2" i="12"/>
  <c r="H7" i="12"/>
  <c r="H6" i="12"/>
  <c r="H5" i="12"/>
  <c r="H4" i="12"/>
  <c r="H2" i="12"/>
  <c r="J2" i="12" s="1"/>
  <c r="H3" i="12"/>
  <c r="D21" i="12"/>
  <c r="D20" i="12"/>
  <c r="D19" i="12"/>
  <c r="D18" i="12"/>
  <c r="D17" i="12"/>
  <c r="D14" i="12"/>
  <c r="L7" i="12" s="1"/>
  <c r="N7" i="12" s="1"/>
  <c r="D13" i="12"/>
  <c r="L6" i="12" s="1"/>
  <c r="N6" i="12" s="1"/>
  <c r="D12" i="12"/>
  <c r="L5" i="12" s="1"/>
  <c r="N5" i="12" s="1"/>
  <c r="D11" i="12"/>
  <c r="D10" i="12"/>
  <c r="L3" i="12" s="1"/>
  <c r="N3" i="12" s="1"/>
  <c r="D7" i="12"/>
  <c r="D6" i="12"/>
  <c r="D5" i="12"/>
  <c r="D4" i="12"/>
  <c r="D3" i="12"/>
  <c r="D2" i="12"/>
  <c r="C21" i="11"/>
  <c r="C20" i="11"/>
  <c r="C19" i="11"/>
  <c r="C18" i="11"/>
  <c r="C17" i="11"/>
  <c r="C16" i="11"/>
  <c r="H6" i="11"/>
  <c r="H8" i="11" s="1"/>
  <c r="B21" i="11"/>
  <c r="B17" i="11"/>
  <c r="B18" i="11"/>
  <c r="B19" i="11"/>
  <c r="B20" i="11"/>
  <c r="B16" i="11"/>
  <c r="C14" i="11"/>
  <c r="C13" i="11"/>
  <c r="C12" i="11"/>
  <c r="C11" i="11"/>
  <c r="C10" i="11"/>
  <c r="B10" i="11"/>
  <c r="B11" i="11"/>
  <c r="B12" i="11"/>
  <c r="B13" i="11"/>
  <c r="B14" i="11"/>
  <c r="B9" i="11"/>
  <c r="C7" i="11"/>
  <c r="C6" i="11"/>
  <c r="C5" i="11"/>
  <c r="C4" i="11"/>
  <c r="C3" i="11"/>
  <c r="C2" i="11"/>
  <c r="U3" i="8"/>
  <c r="AZ29" i="5"/>
  <c r="AR29" i="5"/>
  <c r="AD30" i="5"/>
  <c r="AG30" i="5"/>
  <c r="U29" i="5"/>
  <c r="Y29" i="5"/>
  <c r="O29" i="5"/>
  <c r="P29" i="5"/>
  <c r="Q29" i="5"/>
  <c r="C29" i="5"/>
  <c r="D29" i="5"/>
  <c r="G29" i="5"/>
  <c r="BA31" i="5"/>
  <c r="AI32" i="5"/>
  <c r="AW9" i="8"/>
  <c r="AX9" i="8" s="1"/>
  <c r="AY9" i="8" s="1"/>
  <c r="AZ9" i="8" s="1"/>
  <c r="BA9" i="8" s="1"/>
  <c r="BB9" i="8" s="1"/>
  <c r="BC9" i="8" s="1"/>
  <c r="N9" i="10"/>
  <c r="N8" i="10"/>
  <c r="N7" i="10"/>
  <c r="N6" i="10"/>
  <c r="N5" i="10"/>
  <c r="N4" i="10"/>
  <c r="N3" i="10"/>
  <c r="L11" i="10"/>
  <c r="L10" i="10"/>
  <c r="L9" i="10"/>
  <c r="L8" i="10"/>
  <c r="L7" i="10"/>
  <c r="L6" i="10"/>
  <c r="L5" i="10"/>
  <c r="L4" i="10"/>
  <c r="L3" i="10"/>
  <c r="G4" i="9"/>
  <c r="E4" i="9"/>
  <c r="D4" i="9"/>
  <c r="B4" i="9"/>
  <c r="I9" i="10"/>
  <c r="I8" i="10"/>
  <c r="I7" i="10"/>
  <c r="I6" i="10"/>
  <c r="I5" i="10"/>
  <c r="I4" i="10"/>
  <c r="I3" i="10"/>
  <c r="G11" i="10"/>
  <c r="G10" i="10"/>
  <c r="G9" i="10"/>
  <c r="G8" i="10"/>
  <c r="G6" i="10"/>
  <c r="G5" i="10"/>
  <c r="G4" i="10"/>
  <c r="G3" i="10"/>
  <c r="AA14" i="10"/>
  <c r="AC12" i="10"/>
  <c r="AA12" i="10"/>
  <c r="V14" i="10"/>
  <c r="X12" i="10"/>
  <c r="V12" i="10"/>
  <c r="Q14" i="10"/>
  <c r="S12" i="10"/>
  <c r="Q12" i="10"/>
  <c r="L12" i="10"/>
  <c r="F4" i="9"/>
  <c r="B14" i="10"/>
  <c r="D9" i="10"/>
  <c r="D8" i="10"/>
  <c r="D7" i="10"/>
  <c r="D6" i="10"/>
  <c r="D5" i="10"/>
  <c r="D4" i="10"/>
  <c r="D3" i="10"/>
  <c r="B11" i="10"/>
  <c r="B10" i="10"/>
  <c r="B9" i="10"/>
  <c r="B8" i="10"/>
  <c r="B7" i="10"/>
  <c r="B6" i="10"/>
  <c r="B5" i="10"/>
  <c r="B4" i="10"/>
  <c r="B3" i="10"/>
  <c r="AV9" i="8"/>
  <c r="AV8" i="8"/>
  <c r="AV7" i="8"/>
  <c r="AV4" i="8"/>
  <c r="AV5" i="8" s="1"/>
  <c r="AV6" i="8" s="1"/>
  <c r="AV19" i="8"/>
  <c r="AQ72" i="2"/>
  <c r="AR72" i="2"/>
  <c r="AS72" i="2"/>
  <c r="AT72" i="2"/>
  <c r="AP72" i="2"/>
  <c r="AW8" i="8"/>
  <c r="AW7" i="8"/>
  <c r="AW4" i="8"/>
  <c r="AQ37" i="3"/>
  <c r="AR37" i="3"/>
  <c r="AS37" i="3"/>
  <c r="AT37" i="3"/>
  <c r="AP37" i="3"/>
  <c r="AW3" i="8"/>
  <c r="AV3" i="8"/>
  <c r="AX3" i="8" s="1"/>
  <c r="AY3" i="8" s="1"/>
  <c r="AZ3" i="8" s="1"/>
  <c r="BA3" i="8" s="1"/>
  <c r="BB3" i="8" s="1"/>
  <c r="BC3" i="8" s="1"/>
  <c r="AM8" i="8"/>
  <c r="AM7" i="8"/>
  <c r="AM4" i="8"/>
  <c r="AM3" i="8"/>
  <c r="AO3" i="8" s="1"/>
  <c r="AP3" i="8" s="1"/>
  <c r="AQ3" i="8" s="1"/>
  <c r="AR3" i="8" s="1"/>
  <c r="AS3" i="8" s="1"/>
  <c r="AM19" i="8"/>
  <c r="AO9" i="8"/>
  <c r="AP9" i="8" s="1"/>
  <c r="AQ9" i="8" s="1"/>
  <c r="AR9" i="8" s="1"/>
  <c r="AS9" i="8" s="1"/>
  <c r="AM9" i="8"/>
  <c r="AN9" i="8"/>
  <c r="AI76" i="2"/>
  <c r="AJ76" i="2"/>
  <c r="AK76" i="2"/>
  <c r="AL76" i="2"/>
  <c r="AM76" i="2"/>
  <c r="AH76" i="2"/>
  <c r="AN8" i="8"/>
  <c r="AN7" i="8"/>
  <c r="AO7" i="8" s="1"/>
  <c r="AP7" i="8" s="1"/>
  <c r="AQ7" i="8" s="1"/>
  <c r="AR7" i="8" s="1"/>
  <c r="AM6" i="8"/>
  <c r="AM10" i="8" s="1"/>
  <c r="AM5" i="8"/>
  <c r="AN4" i="8"/>
  <c r="AO4" i="8" s="1"/>
  <c r="AN3" i="8"/>
  <c r="AI29" i="3"/>
  <c r="AJ29" i="3"/>
  <c r="AK29" i="3"/>
  <c r="AL29" i="3"/>
  <c r="AM29" i="3"/>
  <c r="AH29" i="3"/>
  <c r="AC9" i="8"/>
  <c r="AD9" i="8"/>
  <c r="AA65" i="2"/>
  <c r="AB65" i="2"/>
  <c r="AC65" i="2"/>
  <c r="AD65" i="2"/>
  <c r="Z65" i="2"/>
  <c r="AC8" i="8"/>
  <c r="AD8" i="8"/>
  <c r="AC7" i="8"/>
  <c r="AD7" i="8"/>
  <c r="AC4" i="8"/>
  <c r="AC5" i="8" s="1"/>
  <c r="AC6" i="8" s="1"/>
  <c r="AD4" i="8"/>
  <c r="AA30" i="3"/>
  <c r="AB30" i="3"/>
  <c r="AC30" i="3"/>
  <c r="AD30" i="3"/>
  <c r="Z30" i="3"/>
  <c r="AC3" i="8"/>
  <c r="AD3" i="8"/>
  <c r="AC19" i="8"/>
  <c r="U9" i="8"/>
  <c r="V9" i="8" s="1"/>
  <c r="W9" i="8" s="1"/>
  <c r="X9" i="8" s="1"/>
  <c r="Y9" i="8" s="1"/>
  <c r="Z9" i="8" s="1"/>
  <c r="T8" i="8"/>
  <c r="U8" i="8"/>
  <c r="U7" i="8"/>
  <c r="U4" i="8"/>
  <c r="V4" i="8" s="1"/>
  <c r="S46" i="3"/>
  <c r="T46" i="3"/>
  <c r="U46" i="3"/>
  <c r="V46" i="3"/>
  <c r="W46" i="3"/>
  <c r="R46" i="3"/>
  <c r="S45" i="3"/>
  <c r="T45" i="3"/>
  <c r="U45" i="3"/>
  <c r="V45" i="3"/>
  <c r="W45" i="3"/>
  <c r="R45" i="3"/>
  <c r="T19" i="8"/>
  <c r="T9" i="8"/>
  <c r="W69" i="2"/>
  <c r="V69" i="2"/>
  <c r="R69" i="2"/>
  <c r="T7" i="8"/>
  <c r="T5" i="8"/>
  <c r="T6" i="8" s="1"/>
  <c r="T4" i="8"/>
  <c r="T3" i="8"/>
  <c r="K8" i="8"/>
  <c r="K7" i="8"/>
  <c r="L9" i="8"/>
  <c r="K9" i="8"/>
  <c r="M9" i="8" s="1"/>
  <c r="N9" i="8" s="1"/>
  <c r="O9" i="8" s="1"/>
  <c r="P9" i="8" s="1"/>
  <c r="Q9" i="8" s="1"/>
  <c r="O65" i="2"/>
  <c r="N65" i="2"/>
  <c r="J65" i="2"/>
  <c r="L8" i="8"/>
  <c r="C9" i="8"/>
  <c r="C7" i="8"/>
  <c r="C3" i="8"/>
  <c r="L4" i="8"/>
  <c r="L3" i="8"/>
  <c r="L7" i="8"/>
  <c r="M7" i="8" s="1"/>
  <c r="K19" i="8"/>
  <c r="M3" i="8"/>
  <c r="N3" i="8" s="1"/>
  <c r="O3" i="8" s="1"/>
  <c r="P3" i="8" s="1"/>
  <c r="Q3" i="8" s="1"/>
  <c r="K5" i="8"/>
  <c r="K6" i="8" s="1"/>
  <c r="J31" i="3"/>
  <c r="O31" i="3"/>
  <c r="K4" i="8"/>
  <c r="M4" i="8" s="1"/>
  <c r="K3" i="8"/>
  <c r="B19" i="8"/>
  <c r="D9" i="8"/>
  <c r="E9" i="8" s="1"/>
  <c r="F9" i="8" s="1"/>
  <c r="G9" i="8" s="1"/>
  <c r="H9" i="8" s="1"/>
  <c r="B26" i="3"/>
  <c r="G26" i="3"/>
  <c r="B9" i="8"/>
  <c r="B60" i="2"/>
  <c r="F60" i="2"/>
  <c r="G60" i="2"/>
  <c r="B7" i="8"/>
  <c r="D7" i="8" s="1"/>
  <c r="E7" i="8" s="1"/>
  <c r="F7" i="8" s="1"/>
  <c r="G7" i="8" s="1"/>
  <c r="H7" i="8" s="1"/>
  <c r="B8" i="8"/>
  <c r="B4" i="8"/>
  <c r="B5" i="8" s="1"/>
  <c r="B3" i="8"/>
  <c r="D3" i="8" s="1"/>
  <c r="E3" i="8" s="1"/>
  <c r="F3" i="8" s="1"/>
  <c r="G3" i="8" s="1"/>
  <c r="H3" i="8" s="1"/>
  <c r="P6" i="6"/>
  <c r="O6" i="6"/>
  <c r="N6" i="6"/>
  <c r="M6" i="6"/>
  <c r="L6" i="6"/>
  <c r="K6" i="6"/>
  <c r="L4" i="6"/>
  <c r="M4" i="6"/>
  <c r="N4" i="6"/>
  <c r="O4" i="6"/>
  <c r="P4" i="6"/>
  <c r="K4" i="6"/>
  <c r="C14" i="6"/>
  <c r="D14" i="6"/>
  <c r="E14" i="6"/>
  <c r="F14" i="6"/>
  <c r="G14" i="6"/>
  <c r="B14" i="6"/>
  <c r="C13" i="6"/>
  <c r="D13" i="6"/>
  <c r="E13" i="6"/>
  <c r="F13" i="6"/>
  <c r="G13" i="6"/>
  <c r="B13" i="6"/>
  <c r="C12" i="6"/>
  <c r="D12" i="6"/>
  <c r="E12" i="6"/>
  <c r="F12" i="6"/>
  <c r="G12" i="6"/>
  <c r="B12" i="6"/>
  <c r="G11" i="6"/>
  <c r="F11" i="6"/>
  <c r="E11" i="6"/>
  <c r="D11" i="6"/>
  <c r="C11" i="6"/>
  <c r="B11" i="6"/>
  <c r="G10" i="6"/>
  <c r="F10" i="6"/>
  <c r="E10" i="6"/>
  <c r="D10" i="6"/>
  <c r="C10" i="6"/>
  <c r="B10" i="6"/>
  <c r="G7" i="6"/>
  <c r="G9" i="6" s="1"/>
  <c r="D9" i="6"/>
  <c r="E9" i="6"/>
  <c r="F9" i="6"/>
  <c r="C9" i="6"/>
  <c r="E7" i="6"/>
  <c r="D7" i="6"/>
  <c r="B9" i="6"/>
  <c r="C7" i="6"/>
  <c r="J6" i="12" l="1"/>
  <c r="J4" i="12"/>
  <c r="J3" i="12"/>
  <c r="J8" i="12" s="1"/>
  <c r="D8" i="12"/>
  <c r="C22" i="11"/>
  <c r="H9" i="11" s="1"/>
  <c r="C8" i="11"/>
  <c r="N12" i="10"/>
  <c r="L14" i="10" s="1"/>
  <c r="C4" i="9" s="1"/>
  <c r="I12" i="10"/>
  <c r="G12" i="10"/>
  <c r="G14" i="10" s="1"/>
  <c r="D12" i="10"/>
  <c r="B12" i="10"/>
  <c r="AX7" i="8"/>
  <c r="AY7" i="8" s="1"/>
  <c r="AZ7" i="8" s="1"/>
  <c r="BA7" i="8" s="1"/>
  <c r="V7" i="8"/>
  <c r="W7" i="8" s="1"/>
  <c r="X7" i="8" s="1"/>
  <c r="Y7" i="8" s="1"/>
  <c r="AO8" i="8"/>
  <c r="AP8" i="8" s="1"/>
  <c r="AQ8" i="8" s="1"/>
  <c r="AR8" i="8" s="1"/>
  <c r="AS8" i="8" s="1"/>
  <c r="AX8" i="8"/>
  <c r="AY8" i="8" s="1"/>
  <c r="AZ8" i="8" s="1"/>
  <c r="BA8" i="8" s="1"/>
  <c r="BB8" i="8" s="1"/>
  <c r="BC8" i="8" s="1"/>
  <c r="B6" i="8"/>
  <c r="B10" i="8" s="1"/>
  <c r="M8" i="8"/>
  <c r="N8" i="8" s="1"/>
  <c r="O8" i="8" s="1"/>
  <c r="P8" i="8" s="1"/>
  <c r="Q8" i="8" s="1"/>
  <c r="V3" i="8"/>
  <c r="W3" i="8" s="1"/>
  <c r="X3" i="8" s="1"/>
  <c r="Y3" i="8" s="1"/>
  <c r="Z3" i="8" s="1"/>
  <c r="AV10" i="8"/>
  <c r="AX4" i="8"/>
  <c r="BB7" i="8"/>
  <c r="AP4" i="8"/>
  <c r="AO5" i="8"/>
  <c r="AO6" i="8" s="1"/>
  <c r="AO10" i="8" s="1"/>
  <c r="AS7" i="8"/>
  <c r="AE9" i="8"/>
  <c r="AF9" i="8" s="1"/>
  <c r="AG9" i="8" s="1"/>
  <c r="AH9" i="8" s="1"/>
  <c r="AI9" i="8" s="1"/>
  <c r="AJ9" i="8" s="1"/>
  <c r="AE8" i="8"/>
  <c r="AF8" i="8" s="1"/>
  <c r="AG8" i="8" s="1"/>
  <c r="AH8" i="8" s="1"/>
  <c r="AI8" i="8" s="1"/>
  <c r="AJ8" i="8" s="1"/>
  <c r="AC10" i="8"/>
  <c r="AE7" i="8"/>
  <c r="AF7" i="8" s="1"/>
  <c r="AG7" i="8" s="1"/>
  <c r="AH7" i="8" s="1"/>
  <c r="AI7" i="8" s="1"/>
  <c r="AJ7" i="8" s="1"/>
  <c r="AE4" i="8"/>
  <c r="AF4" i="8" s="1"/>
  <c r="AE5" i="8"/>
  <c r="AE6" i="8" s="1"/>
  <c r="AE3" i="8"/>
  <c r="AF3" i="8" s="1"/>
  <c r="AG3" i="8" s="1"/>
  <c r="AH3" i="8" s="1"/>
  <c r="AI3" i="8" s="1"/>
  <c r="AJ3" i="8" s="1"/>
  <c r="V8" i="8"/>
  <c r="W8" i="8" s="1"/>
  <c r="X8" i="8" s="1"/>
  <c r="Y8" i="8" s="1"/>
  <c r="Z8" i="8" s="1"/>
  <c r="V5" i="8"/>
  <c r="V6" i="8" s="1"/>
  <c r="V10" i="8" s="1"/>
  <c r="W4" i="8"/>
  <c r="T10" i="8"/>
  <c r="Z7" i="8"/>
  <c r="K10" i="8"/>
  <c r="D5" i="8"/>
  <c r="D6" i="8" s="1"/>
  <c r="N7" i="8"/>
  <c r="N4" i="8"/>
  <c r="M5" i="8"/>
  <c r="M6" i="8" s="1"/>
  <c r="D10" i="8" l="1"/>
  <c r="D16" i="12"/>
  <c r="D22" i="12" s="1"/>
  <c r="M10" i="8"/>
  <c r="AY4" i="8"/>
  <c r="AX5" i="8"/>
  <c r="AX6" i="8" s="1"/>
  <c r="AX10" i="8" s="1"/>
  <c r="BC7" i="8"/>
  <c r="AQ4" i="8"/>
  <c r="AP5" i="8"/>
  <c r="AP6" i="8" s="1"/>
  <c r="AP10" i="8" s="1"/>
  <c r="AE10" i="8"/>
  <c r="AG4" i="8"/>
  <c r="AF5" i="8"/>
  <c r="AF6" i="8" s="1"/>
  <c r="AF10" i="8" s="1"/>
  <c r="W5" i="8"/>
  <c r="W6" i="8" s="1"/>
  <c r="W10" i="8" s="1"/>
  <c r="X4" i="8"/>
  <c r="E5" i="8"/>
  <c r="E6" i="8" s="1"/>
  <c r="O7" i="8"/>
  <c r="N5" i="8"/>
  <c r="N6" i="8"/>
  <c r="N10" i="8" s="1"/>
  <c r="O4" i="8"/>
  <c r="D9" i="12" l="1"/>
  <c r="C9" i="11"/>
  <c r="C15" i="11" s="1"/>
  <c r="E10" i="8"/>
  <c r="AZ4" i="8"/>
  <c r="AY5" i="8"/>
  <c r="AY6" i="8" s="1"/>
  <c r="AY10" i="8" s="1"/>
  <c r="AR4" i="8"/>
  <c r="AQ5" i="8"/>
  <c r="AQ6" i="8" s="1"/>
  <c r="AQ10" i="8" s="1"/>
  <c r="AH4" i="8"/>
  <c r="AG5" i="8"/>
  <c r="AG6" i="8" s="1"/>
  <c r="AG10" i="8" s="1"/>
  <c r="Y4" i="8"/>
  <c r="X5" i="8"/>
  <c r="X6" i="8" s="1"/>
  <c r="X10" i="8" s="1"/>
  <c r="F5" i="8"/>
  <c r="F6" i="8" s="1"/>
  <c r="F10" i="8" s="1"/>
  <c r="P7" i="8"/>
  <c r="P4" i="8"/>
  <c r="O5" i="8"/>
  <c r="O6" i="8" s="1"/>
  <c r="O10" i="8" s="1"/>
  <c r="L2" i="12" l="1"/>
  <c r="N2" i="12" s="1"/>
  <c r="D15" i="12"/>
  <c r="BA4" i="8"/>
  <c r="AZ5" i="8"/>
  <c r="AZ6" i="8"/>
  <c r="AZ10" i="8" s="1"/>
  <c r="AS4" i="8"/>
  <c r="AR5" i="8"/>
  <c r="AR6" i="8"/>
  <c r="AR10" i="8" s="1"/>
  <c r="AH5" i="8"/>
  <c r="AH6" i="8" s="1"/>
  <c r="AH10" i="8" s="1"/>
  <c r="AI4" i="8"/>
  <c r="Z4" i="8"/>
  <c r="Y5" i="8"/>
  <c r="Y6" i="8" s="1"/>
  <c r="Y10" i="8" s="1"/>
  <c r="G5" i="8"/>
  <c r="G6" i="8" s="1"/>
  <c r="G10" i="8" s="1"/>
  <c r="K2" i="12"/>
  <c r="Q7" i="8"/>
  <c r="Q4" i="8"/>
  <c r="P5" i="8"/>
  <c r="P6" i="8" s="1"/>
  <c r="P10" i="8" s="1"/>
  <c r="O2" i="12" l="1"/>
  <c r="P8" i="12"/>
  <c r="O8" i="12"/>
  <c r="BA5" i="8"/>
  <c r="BB4" i="8"/>
  <c r="BA6" i="8"/>
  <c r="BA10" i="8" s="1"/>
  <c r="AS5" i="8"/>
  <c r="AS6" i="8"/>
  <c r="AS10" i="8" s="1"/>
  <c r="AI5" i="8"/>
  <c r="AI6" i="8"/>
  <c r="AI10" i="8" s="1"/>
  <c r="AJ4" i="8"/>
  <c r="Z5" i="8"/>
  <c r="Z6" i="8" s="1"/>
  <c r="Z10" i="8" s="1"/>
  <c r="H5" i="8"/>
  <c r="H6" i="8" s="1"/>
  <c r="Q5" i="8"/>
  <c r="Q6" i="8" s="1"/>
  <c r="Q10" i="8" s="1"/>
  <c r="AW25" i="5"/>
  <c r="AX25" i="5"/>
  <c r="AY25" i="5"/>
  <c r="AZ25" i="5"/>
  <c r="AV25" i="5"/>
  <c r="AW24" i="5"/>
  <c r="AX24" i="5"/>
  <c r="AY24" i="5"/>
  <c r="AZ24" i="5"/>
  <c r="AV24" i="5"/>
  <c r="AW23" i="5"/>
  <c r="AX23" i="5"/>
  <c r="AY23" i="5"/>
  <c r="AZ23" i="5"/>
  <c r="AV23" i="5"/>
  <c r="AW17" i="5"/>
  <c r="AX17" i="5"/>
  <c r="AY17" i="5"/>
  <c r="AZ17" i="5"/>
  <c r="AV17" i="5"/>
  <c r="AW16" i="5"/>
  <c r="AX16" i="5"/>
  <c r="AY16" i="5"/>
  <c r="AZ16" i="5"/>
  <c r="AV16" i="5"/>
  <c r="AX15" i="5"/>
  <c r="AY15" i="5"/>
  <c r="AZ15" i="5"/>
  <c r="AW15" i="5"/>
  <c r="AV15" i="5"/>
  <c r="AX14" i="5"/>
  <c r="AY14" i="5"/>
  <c r="AZ14" i="5"/>
  <c r="AW14" i="5"/>
  <c r="AV14" i="5"/>
  <c r="AW13" i="5"/>
  <c r="AX13" i="5"/>
  <c r="AY13" i="5"/>
  <c r="AZ13" i="5"/>
  <c r="AV13" i="5"/>
  <c r="AW12" i="5"/>
  <c r="AX12" i="5"/>
  <c r="AY12" i="5"/>
  <c r="AZ12" i="5"/>
  <c r="AV12" i="5"/>
  <c r="AW11" i="5"/>
  <c r="AX11" i="5"/>
  <c r="AY11" i="5"/>
  <c r="AZ11" i="5"/>
  <c r="AV11" i="5"/>
  <c r="AW10" i="5"/>
  <c r="AX10" i="5"/>
  <c r="AY10" i="5"/>
  <c r="AZ10" i="5"/>
  <c r="AV10" i="5"/>
  <c r="AQ36" i="3"/>
  <c r="AR36" i="3"/>
  <c r="AS36" i="3"/>
  <c r="AT36" i="3"/>
  <c r="AP36" i="3"/>
  <c r="AW9" i="5"/>
  <c r="AX9" i="5"/>
  <c r="AY9" i="5"/>
  <c r="AZ9" i="5"/>
  <c r="AV9" i="5"/>
  <c r="AW8" i="5"/>
  <c r="AX8" i="5"/>
  <c r="AY8" i="5"/>
  <c r="AZ8" i="5"/>
  <c r="AV8" i="5"/>
  <c r="AW7" i="5"/>
  <c r="AX7" i="5"/>
  <c r="AY7" i="5"/>
  <c r="AZ7" i="5"/>
  <c r="AV7" i="5"/>
  <c r="AZ6" i="5"/>
  <c r="AW6" i="5"/>
  <c r="AX6" i="5"/>
  <c r="AY6" i="5"/>
  <c r="AV6" i="5"/>
  <c r="AW5" i="5"/>
  <c r="AX5" i="5"/>
  <c r="AY5" i="5"/>
  <c r="AZ5" i="5"/>
  <c r="AV5" i="5"/>
  <c r="AW4" i="5"/>
  <c r="AX4" i="5"/>
  <c r="AY4" i="5"/>
  <c r="AZ4" i="5"/>
  <c r="AV4" i="5"/>
  <c r="AW3" i="5"/>
  <c r="AX3" i="5"/>
  <c r="AY3" i="5"/>
  <c r="AZ3" i="5"/>
  <c r="AV3" i="5"/>
  <c r="AN25" i="5"/>
  <c r="AO25" i="5"/>
  <c r="AP25" i="5"/>
  <c r="AQ25" i="5"/>
  <c r="AR25" i="5"/>
  <c r="AM25" i="5"/>
  <c r="AN24" i="5"/>
  <c r="AO24" i="5"/>
  <c r="AP24" i="5"/>
  <c r="AQ24" i="5"/>
  <c r="AR24" i="5"/>
  <c r="AM24" i="5"/>
  <c r="AN23" i="5"/>
  <c r="AO23" i="5"/>
  <c r="AP23" i="5"/>
  <c r="AQ23" i="5"/>
  <c r="AR23" i="5"/>
  <c r="AM23" i="5"/>
  <c r="AN17" i="5"/>
  <c r="AO17" i="5"/>
  <c r="AP17" i="5"/>
  <c r="AQ17" i="5"/>
  <c r="AR17" i="5"/>
  <c r="AM17" i="5"/>
  <c r="AN16" i="5"/>
  <c r="AO16" i="5"/>
  <c r="AP16" i="5"/>
  <c r="AQ16" i="5"/>
  <c r="AR16" i="5"/>
  <c r="AM16" i="5"/>
  <c r="AO15" i="5"/>
  <c r="AP15" i="5"/>
  <c r="AQ15" i="5"/>
  <c r="AR15" i="5"/>
  <c r="AN15" i="5"/>
  <c r="AM15" i="5"/>
  <c r="AO14" i="5"/>
  <c r="AP14" i="5"/>
  <c r="AQ14" i="5"/>
  <c r="AR14" i="5"/>
  <c r="AN14" i="5"/>
  <c r="AM14" i="5"/>
  <c r="AN13" i="5"/>
  <c r="AO13" i="5"/>
  <c r="AP13" i="5"/>
  <c r="AQ13" i="5"/>
  <c r="AR13" i="5"/>
  <c r="AM13" i="5"/>
  <c r="AN12" i="5"/>
  <c r="AO12" i="5"/>
  <c r="AP12" i="5"/>
  <c r="AQ12" i="5"/>
  <c r="AR12" i="5"/>
  <c r="AM12" i="5"/>
  <c r="AN11" i="5"/>
  <c r="AO11" i="5"/>
  <c r="AP11" i="5"/>
  <c r="AQ11" i="5"/>
  <c r="AR11" i="5"/>
  <c r="AM11" i="5"/>
  <c r="AN10" i="5"/>
  <c r="AO10" i="5"/>
  <c r="AP10" i="5"/>
  <c r="AQ10" i="5"/>
  <c r="AR10" i="5"/>
  <c r="AM10" i="5"/>
  <c r="AI28" i="3"/>
  <c r="AJ28" i="3"/>
  <c r="AK28" i="3"/>
  <c r="AL28" i="3"/>
  <c r="AM28" i="3"/>
  <c r="AH28" i="3"/>
  <c r="AN9" i="5"/>
  <c r="AO9" i="5"/>
  <c r="AP9" i="5"/>
  <c r="AQ9" i="5"/>
  <c r="AR9" i="5"/>
  <c r="AM9" i="5"/>
  <c r="AN8" i="5"/>
  <c r="AO8" i="5"/>
  <c r="AP8" i="5"/>
  <c r="AQ8" i="5"/>
  <c r="AR8" i="5"/>
  <c r="AM8" i="5"/>
  <c r="AN7" i="5"/>
  <c r="AO7" i="5"/>
  <c r="AP7" i="5"/>
  <c r="AQ7" i="5"/>
  <c r="AR7" i="5"/>
  <c r="AM7" i="5"/>
  <c r="AN6" i="5"/>
  <c r="AO6" i="5"/>
  <c r="AP6" i="5"/>
  <c r="AQ6" i="5"/>
  <c r="AR6" i="5"/>
  <c r="AM6" i="5"/>
  <c r="AN5" i="5"/>
  <c r="AO5" i="5"/>
  <c r="AP5" i="5"/>
  <c r="AQ5" i="5"/>
  <c r="AR5" i="5"/>
  <c r="AM5" i="5"/>
  <c r="AN4" i="5"/>
  <c r="AO4" i="5"/>
  <c r="AP4" i="5"/>
  <c r="AQ4" i="5"/>
  <c r="AR4" i="5"/>
  <c r="AM4" i="5"/>
  <c r="AN3" i="5"/>
  <c r="AO3" i="5"/>
  <c r="AP3" i="5"/>
  <c r="AQ3" i="5"/>
  <c r="AR3" i="5"/>
  <c r="AM3" i="5"/>
  <c r="V25" i="5"/>
  <c r="W25" i="5"/>
  <c r="X25" i="5"/>
  <c r="Y25" i="5"/>
  <c r="Z25" i="5"/>
  <c r="U25" i="5"/>
  <c r="V24" i="5"/>
  <c r="W24" i="5"/>
  <c r="X24" i="5"/>
  <c r="Y24" i="5"/>
  <c r="Z24" i="5"/>
  <c r="U24" i="5"/>
  <c r="V23" i="5"/>
  <c r="W23" i="5"/>
  <c r="X23" i="5"/>
  <c r="Y23" i="5"/>
  <c r="Z23" i="5"/>
  <c r="U23" i="5"/>
  <c r="AE26" i="5"/>
  <c r="AF26" i="5"/>
  <c r="AG26" i="5"/>
  <c r="AH26" i="5"/>
  <c r="AD26" i="5"/>
  <c r="AE24" i="5" a="1"/>
  <c r="AE24" i="5" s="1"/>
  <c r="AF24" i="5" a="1"/>
  <c r="AF24" i="5" s="1"/>
  <c r="AG24" i="5" a="1"/>
  <c r="AG24" i="5" s="1"/>
  <c r="AH24" i="5" a="1"/>
  <c r="AH24" i="5" s="1"/>
  <c r="AD24" i="5" a="1"/>
  <c r="AD24" i="5" s="1"/>
  <c r="AE23" i="5"/>
  <c r="AF23" i="5"/>
  <c r="AG23" i="5"/>
  <c r="AH23" i="5"/>
  <c r="AD23" i="5"/>
  <c r="AE17" i="5"/>
  <c r="AF17" i="5"/>
  <c r="AG17" i="5"/>
  <c r="AH17" i="5"/>
  <c r="AD17" i="5"/>
  <c r="AE16" i="5"/>
  <c r="AF16" i="5"/>
  <c r="AG16" i="5"/>
  <c r="AH16" i="5"/>
  <c r="AD16" i="5"/>
  <c r="AF15" i="5"/>
  <c r="AG15" i="5"/>
  <c r="AH15" i="5"/>
  <c r="AE15" i="5"/>
  <c r="AD15" i="5"/>
  <c r="AF14" i="5"/>
  <c r="AG14" i="5"/>
  <c r="AH14" i="5"/>
  <c r="AE14" i="5"/>
  <c r="AD14" i="5"/>
  <c r="AE13" i="5"/>
  <c r="AF13" i="5"/>
  <c r="AG13" i="5"/>
  <c r="AH13" i="5"/>
  <c r="AD13" i="5"/>
  <c r="AE12" i="5"/>
  <c r="AF12" i="5"/>
  <c r="AG12" i="5"/>
  <c r="AH12" i="5"/>
  <c r="AD12" i="5"/>
  <c r="AE11" i="5"/>
  <c r="AF11" i="5"/>
  <c r="AG11" i="5"/>
  <c r="AH11" i="5"/>
  <c r="AD11" i="5"/>
  <c r="AE10" i="5"/>
  <c r="AF10" i="5"/>
  <c r="AG10" i="5"/>
  <c r="AH10" i="5"/>
  <c r="AD10" i="5"/>
  <c r="AA29" i="3"/>
  <c r="AB29" i="3"/>
  <c r="AC29" i="3"/>
  <c r="AD29" i="3"/>
  <c r="Z29" i="3"/>
  <c r="AE9" i="5"/>
  <c r="AF9" i="5"/>
  <c r="AG9" i="5"/>
  <c r="AH9" i="5"/>
  <c r="AD9" i="5"/>
  <c r="AE8" i="5"/>
  <c r="AF8" i="5"/>
  <c r="AG8" i="5"/>
  <c r="AH8" i="5"/>
  <c r="AD8" i="5"/>
  <c r="AE7" i="5"/>
  <c r="AF7" i="5"/>
  <c r="AG7" i="5"/>
  <c r="AH7" i="5"/>
  <c r="AD7" i="5"/>
  <c r="AE6" i="5"/>
  <c r="AF6" i="5"/>
  <c r="AG6" i="5"/>
  <c r="AH6" i="5"/>
  <c r="AD6" i="5"/>
  <c r="AE5" i="5"/>
  <c r="AF5" i="5"/>
  <c r="AG5" i="5"/>
  <c r="AH5" i="5"/>
  <c r="AD5" i="5"/>
  <c r="AE4" i="5"/>
  <c r="AF4" i="5"/>
  <c r="AG4" i="5"/>
  <c r="AH4" i="5"/>
  <c r="AD4" i="5"/>
  <c r="AE3" i="5"/>
  <c r="AF3" i="5"/>
  <c r="AG3" i="5"/>
  <c r="AH3" i="5"/>
  <c r="AD3" i="5"/>
  <c r="V17" i="5"/>
  <c r="W17" i="5"/>
  <c r="X17" i="5"/>
  <c r="Y17" i="5"/>
  <c r="Z17" i="5"/>
  <c r="U17" i="5"/>
  <c r="V16" i="5"/>
  <c r="W16" i="5"/>
  <c r="X16" i="5"/>
  <c r="Y16" i="5"/>
  <c r="Z16" i="5"/>
  <c r="U16" i="5"/>
  <c r="W15" i="5"/>
  <c r="X15" i="5"/>
  <c r="Y15" i="5"/>
  <c r="Z15" i="5"/>
  <c r="V15" i="5"/>
  <c r="U15" i="5"/>
  <c r="W14" i="5"/>
  <c r="X14" i="5"/>
  <c r="Y14" i="5"/>
  <c r="Z14" i="5"/>
  <c r="V14" i="5"/>
  <c r="U14" i="5"/>
  <c r="V13" i="5"/>
  <c r="W13" i="5"/>
  <c r="X13" i="5"/>
  <c r="Y13" i="5"/>
  <c r="Z13" i="5"/>
  <c r="U13" i="5"/>
  <c r="V12" i="5"/>
  <c r="W12" i="5"/>
  <c r="X12" i="5"/>
  <c r="Y12" i="5"/>
  <c r="Z12" i="5"/>
  <c r="U12" i="5"/>
  <c r="V11" i="5"/>
  <c r="W11" i="5"/>
  <c r="X11" i="5"/>
  <c r="Y11" i="5"/>
  <c r="Z11" i="5"/>
  <c r="U11" i="5"/>
  <c r="S44" i="3"/>
  <c r="T44" i="3"/>
  <c r="U44" i="3"/>
  <c r="V44" i="3"/>
  <c r="W44" i="3"/>
  <c r="R44" i="3"/>
  <c r="V10" i="5"/>
  <c r="W10" i="5"/>
  <c r="X10" i="5"/>
  <c r="Y10" i="5"/>
  <c r="Z10" i="5"/>
  <c r="U10" i="5"/>
  <c r="V9" i="5"/>
  <c r="W9" i="5"/>
  <c r="X9" i="5"/>
  <c r="Y9" i="5"/>
  <c r="Z9" i="5"/>
  <c r="U9" i="5"/>
  <c r="V8" i="5"/>
  <c r="W8" i="5"/>
  <c r="X8" i="5"/>
  <c r="Y8" i="5"/>
  <c r="Z8" i="5"/>
  <c r="U8" i="5"/>
  <c r="V7" i="5"/>
  <c r="W7" i="5"/>
  <c r="X7" i="5"/>
  <c r="Y7" i="5"/>
  <c r="Z7" i="5"/>
  <c r="U7" i="5"/>
  <c r="V6" i="5"/>
  <c r="W6" i="5"/>
  <c r="X6" i="5"/>
  <c r="Y6" i="5"/>
  <c r="Z6" i="5"/>
  <c r="U6" i="5"/>
  <c r="V5" i="5"/>
  <c r="W5" i="5"/>
  <c r="X5" i="5"/>
  <c r="Y5" i="5"/>
  <c r="Z5" i="5"/>
  <c r="U5" i="5"/>
  <c r="V4" i="5"/>
  <c r="W4" i="5"/>
  <c r="X4" i="5"/>
  <c r="Y4" i="5"/>
  <c r="Z4" i="5"/>
  <c r="U4" i="5"/>
  <c r="V3" i="5"/>
  <c r="W3" i="5"/>
  <c r="X3" i="5"/>
  <c r="Y3" i="5"/>
  <c r="Z3" i="5"/>
  <c r="U3" i="5"/>
  <c r="M25" i="5"/>
  <c r="N25" i="5"/>
  <c r="O25" i="5"/>
  <c r="P25" i="5"/>
  <c r="Q25" i="5"/>
  <c r="L25" i="5"/>
  <c r="M24" i="5"/>
  <c r="N24" i="5"/>
  <c r="O24" i="5"/>
  <c r="P24" i="5"/>
  <c r="Q24" i="5"/>
  <c r="L24" i="5"/>
  <c r="M23" i="5"/>
  <c r="N23" i="5"/>
  <c r="O23" i="5"/>
  <c r="P23" i="5"/>
  <c r="Q23" i="5"/>
  <c r="L23" i="5"/>
  <c r="M17" i="5"/>
  <c r="N17" i="5"/>
  <c r="O17" i="5"/>
  <c r="P17" i="5"/>
  <c r="Q17" i="5"/>
  <c r="L17" i="5"/>
  <c r="M16" i="5"/>
  <c r="N16" i="5"/>
  <c r="O16" i="5"/>
  <c r="P16" i="5"/>
  <c r="Q16" i="5"/>
  <c r="L16" i="5"/>
  <c r="N15" i="5"/>
  <c r="O15" i="5"/>
  <c r="P15" i="5"/>
  <c r="Q15" i="5"/>
  <c r="L15" i="5"/>
  <c r="M15" i="5"/>
  <c r="N14" i="5"/>
  <c r="O14" i="5"/>
  <c r="P14" i="5"/>
  <c r="Q14" i="5"/>
  <c r="M14" i="5"/>
  <c r="L14" i="5"/>
  <c r="M13" i="5"/>
  <c r="N13" i="5"/>
  <c r="O13" i="5"/>
  <c r="P13" i="5"/>
  <c r="Q13" i="5"/>
  <c r="L13" i="5"/>
  <c r="M12" i="5"/>
  <c r="N12" i="5"/>
  <c r="O12" i="5"/>
  <c r="P12" i="5"/>
  <c r="Q12" i="5"/>
  <c r="L12" i="5"/>
  <c r="N11" i="5"/>
  <c r="O11" i="5"/>
  <c r="P11" i="5"/>
  <c r="Q11" i="5"/>
  <c r="M11" i="5"/>
  <c r="L11" i="5"/>
  <c r="M9" i="5"/>
  <c r="N9" i="5"/>
  <c r="O9" i="5"/>
  <c r="P9" i="5"/>
  <c r="Q9" i="5"/>
  <c r="L9" i="5"/>
  <c r="M10" i="5"/>
  <c r="N10" i="5"/>
  <c r="O10" i="5"/>
  <c r="P10" i="5"/>
  <c r="Q10" i="5"/>
  <c r="L10" i="5"/>
  <c r="M8" i="5"/>
  <c r="N8" i="5"/>
  <c r="O8" i="5"/>
  <c r="P8" i="5"/>
  <c r="Q8" i="5"/>
  <c r="L8" i="5"/>
  <c r="M7" i="5"/>
  <c r="N7" i="5"/>
  <c r="O7" i="5"/>
  <c r="P7" i="5"/>
  <c r="Q7" i="5"/>
  <c r="L7" i="5"/>
  <c r="M6" i="5"/>
  <c r="N6" i="5"/>
  <c r="O6" i="5"/>
  <c r="P6" i="5"/>
  <c r="Q6" i="5"/>
  <c r="L6" i="5"/>
  <c r="M5" i="5"/>
  <c r="N5" i="5"/>
  <c r="O5" i="5"/>
  <c r="P5" i="5"/>
  <c r="Q5" i="5"/>
  <c r="L5" i="5"/>
  <c r="M4" i="5"/>
  <c r="N4" i="5"/>
  <c r="O4" i="5"/>
  <c r="P4" i="5"/>
  <c r="Q4" i="5"/>
  <c r="L4" i="5"/>
  <c r="M3" i="5"/>
  <c r="N3" i="5"/>
  <c r="O3" i="5"/>
  <c r="P3" i="5"/>
  <c r="Q3" i="5"/>
  <c r="L3" i="5"/>
  <c r="D25" i="5"/>
  <c r="E25" i="5"/>
  <c r="F25" i="5"/>
  <c r="G25" i="5"/>
  <c r="H25" i="5"/>
  <c r="C25" i="5"/>
  <c r="C24" i="5"/>
  <c r="D24" i="5"/>
  <c r="E24" i="5"/>
  <c r="F24" i="5"/>
  <c r="G24" i="5"/>
  <c r="H24" i="5"/>
  <c r="D23" i="5"/>
  <c r="E23" i="5"/>
  <c r="F23" i="5"/>
  <c r="G23" i="5"/>
  <c r="H23" i="5"/>
  <c r="C23" i="5"/>
  <c r="D17" i="5"/>
  <c r="E17" i="5"/>
  <c r="F17" i="5"/>
  <c r="G17" i="5"/>
  <c r="H17" i="5"/>
  <c r="C17" i="5"/>
  <c r="E15" i="5"/>
  <c r="F15" i="5"/>
  <c r="G15" i="5"/>
  <c r="H15" i="5"/>
  <c r="D15" i="5"/>
  <c r="D16" i="5"/>
  <c r="E16" i="5"/>
  <c r="F16" i="5"/>
  <c r="G16" i="5"/>
  <c r="H16" i="5"/>
  <c r="C16" i="5"/>
  <c r="C15" i="5"/>
  <c r="E14" i="5"/>
  <c r="F14" i="5"/>
  <c r="G14" i="5"/>
  <c r="H14" i="5"/>
  <c r="D14" i="5"/>
  <c r="C14" i="5"/>
  <c r="D13" i="5"/>
  <c r="E13" i="5"/>
  <c r="F13" i="5"/>
  <c r="G13" i="5"/>
  <c r="H13" i="5"/>
  <c r="C13" i="5"/>
  <c r="D12" i="5"/>
  <c r="E12" i="5"/>
  <c r="F12" i="5"/>
  <c r="G12" i="5"/>
  <c r="H12" i="5"/>
  <c r="C12" i="5"/>
  <c r="D11" i="5"/>
  <c r="E11" i="5"/>
  <c r="F11" i="5"/>
  <c r="G11" i="5"/>
  <c r="H11" i="5"/>
  <c r="C11" i="5"/>
  <c r="D10" i="5"/>
  <c r="E10" i="5"/>
  <c r="F10" i="5"/>
  <c r="G10" i="5"/>
  <c r="H10" i="5"/>
  <c r="C10" i="5"/>
  <c r="D9" i="5"/>
  <c r="E9" i="5"/>
  <c r="F9" i="5"/>
  <c r="G9" i="5"/>
  <c r="H9" i="5"/>
  <c r="C9" i="5"/>
  <c r="D8" i="5"/>
  <c r="E8" i="5"/>
  <c r="F8" i="5"/>
  <c r="G8" i="5"/>
  <c r="H8" i="5"/>
  <c r="C8" i="5"/>
  <c r="D7" i="5"/>
  <c r="E7" i="5"/>
  <c r="F7" i="5"/>
  <c r="G7" i="5"/>
  <c r="H7" i="5"/>
  <c r="C7" i="5"/>
  <c r="D6" i="5"/>
  <c r="E6" i="5"/>
  <c r="F6" i="5"/>
  <c r="G6" i="5"/>
  <c r="H6" i="5"/>
  <c r="C6" i="5"/>
  <c r="D5" i="5"/>
  <c r="E5" i="5"/>
  <c r="F5" i="5"/>
  <c r="G5" i="5"/>
  <c r="H5" i="5"/>
  <c r="C5" i="5"/>
  <c r="D4" i="5"/>
  <c r="E4" i="5"/>
  <c r="F4" i="5"/>
  <c r="G4" i="5"/>
  <c r="H4" i="5"/>
  <c r="C4" i="5"/>
  <c r="D3" i="5"/>
  <c r="E3" i="5"/>
  <c r="F3" i="5"/>
  <c r="G3" i="5"/>
  <c r="H3" i="5"/>
  <c r="C3" i="5"/>
  <c r="AT54" i="4"/>
  <c r="AT12" i="4"/>
  <c r="AT17" i="4" s="1"/>
  <c r="AT24" i="4" s="1"/>
  <c r="AR26" i="4"/>
  <c r="AS26" i="4"/>
  <c r="AR13" i="4"/>
  <c r="AQ24" i="4"/>
  <c r="AP24" i="4"/>
  <c r="AP26" i="4" s="1"/>
  <c r="AQ26" i="4"/>
  <c r="AQ51" i="4"/>
  <c r="AR51" i="4"/>
  <c r="AS51" i="4"/>
  <c r="AT51" i="4"/>
  <c r="AP51" i="4"/>
  <c r="AQ37" i="4"/>
  <c r="AR37" i="4"/>
  <c r="AS37" i="4"/>
  <c r="AT37" i="4"/>
  <c r="AP37" i="4"/>
  <c r="AQ17" i="4"/>
  <c r="AR17" i="4"/>
  <c r="AR24" i="4" s="1"/>
  <c r="AS17" i="4"/>
  <c r="AS24" i="4" s="1"/>
  <c r="AP17" i="4"/>
  <c r="AK37" i="4"/>
  <c r="AK30" i="4"/>
  <c r="AJ27" i="4"/>
  <c r="AJ32" i="4" s="1"/>
  <c r="AH37" i="4"/>
  <c r="AI37" i="4"/>
  <c r="AI39" i="4" s="1"/>
  <c r="AI16" i="4"/>
  <c r="AI21" i="4" s="1"/>
  <c r="AI23" i="4" s="1"/>
  <c r="AJ16" i="4"/>
  <c r="AJ21" i="4" s="1"/>
  <c r="AJ23" i="4" s="1"/>
  <c r="AK16" i="4"/>
  <c r="AK21" i="4" s="1"/>
  <c r="AK23" i="4" s="1"/>
  <c r="AL16" i="4"/>
  <c r="AL21" i="4" s="1"/>
  <c r="AL23" i="4" s="1"/>
  <c r="AM16" i="4"/>
  <c r="AM21" i="4" s="1"/>
  <c r="AM23" i="4" s="1"/>
  <c r="AH16" i="4"/>
  <c r="AH21" i="4" s="1"/>
  <c r="AH23" i="4" s="1"/>
  <c r="AJ39" i="4"/>
  <c r="AK39" i="4"/>
  <c r="AL39" i="4"/>
  <c r="AM39" i="4"/>
  <c r="AH39" i="4"/>
  <c r="AI32" i="4"/>
  <c r="AK32" i="4"/>
  <c r="AL32" i="4"/>
  <c r="AM32" i="4"/>
  <c r="AH32" i="4"/>
  <c r="AD8" i="4"/>
  <c r="AC8" i="4"/>
  <c r="AC15" i="4" s="1"/>
  <c r="AC26" i="4" s="1"/>
  <c r="AC28" i="4" s="1"/>
  <c r="AA26" i="4"/>
  <c r="AA28" i="4" s="1"/>
  <c r="AA49" i="4"/>
  <c r="AB49" i="4"/>
  <c r="AC49" i="4"/>
  <c r="AD49" i="4"/>
  <c r="Z49" i="4"/>
  <c r="AA40" i="4"/>
  <c r="AB40" i="4"/>
  <c r="AC40" i="4"/>
  <c r="AD40" i="4"/>
  <c r="Z40" i="4"/>
  <c r="AA15" i="4"/>
  <c r="AB15" i="4"/>
  <c r="AB26" i="4" s="1"/>
  <c r="AB28" i="4" s="1"/>
  <c r="AD15" i="4"/>
  <c r="AD26" i="4" s="1"/>
  <c r="AD28" i="4" s="1"/>
  <c r="AE15" i="4"/>
  <c r="AE26" i="4" s="1"/>
  <c r="AE28" i="4" s="1"/>
  <c r="Z15" i="4"/>
  <c r="Z26" i="4" s="1"/>
  <c r="Z28" i="4" s="1"/>
  <c r="W80" i="4"/>
  <c r="W60" i="4"/>
  <c r="W61" i="4" s="1"/>
  <c r="V60" i="4"/>
  <c r="U75" i="4"/>
  <c r="T75" i="4"/>
  <c r="T77" i="4" s="1"/>
  <c r="U22" i="4"/>
  <c r="U29" i="4" s="1"/>
  <c r="U39" i="4" s="1"/>
  <c r="U41" i="4" s="1"/>
  <c r="S77" i="4"/>
  <c r="U77" i="4"/>
  <c r="V77" i="4"/>
  <c r="W77" i="4"/>
  <c r="R77" i="4"/>
  <c r="S29" i="4"/>
  <c r="S39" i="4" s="1"/>
  <c r="S41" i="4" s="1"/>
  <c r="T29" i="4"/>
  <c r="T39" i="4" s="1"/>
  <c r="T41" i="4" s="1"/>
  <c r="V29" i="4"/>
  <c r="V39" i="4" s="1"/>
  <c r="V41" i="4" s="1"/>
  <c r="W29" i="4"/>
  <c r="W39" i="4" s="1"/>
  <c r="W41" i="4" s="1"/>
  <c r="R29" i="4"/>
  <c r="R39" i="4" s="1"/>
  <c r="R41" i="4" s="1"/>
  <c r="S61" i="4"/>
  <c r="T61" i="4"/>
  <c r="U61" i="4"/>
  <c r="V61" i="4"/>
  <c r="R61" i="4"/>
  <c r="O16" i="4"/>
  <c r="N16" i="4"/>
  <c r="K56" i="4"/>
  <c r="L56" i="4"/>
  <c r="M56" i="4"/>
  <c r="N56" i="4"/>
  <c r="O56" i="4"/>
  <c r="J56" i="4"/>
  <c r="K44" i="4"/>
  <c r="L44" i="4"/>
  <c r="M44" i="4"/>
  <c r="N44" i="4"/>
  <c r="O44" i="4"/>
  <c r="J44" i="4"/>
  <c r="L17" i="4"/>
  <c r="L23" i="4" s="1"/>
  <c r="L25" i="4" s="1"/>
  <c r="M17" i="4"/>
  <c r="M23" i="4" s="1"/>
  <c r="M25" i="4" s="1"/>
  <c r="K6" i="4"/>
  <c r="K17" i="4" s="1"/>
  <c r="K23" i="4" s="1"/>
  <c r="K25" i="4" s="1"/>
  <c r="L6" i="4"/>
  <c r="M6" i="4"/>
  <c r="N6" i="4"/>
  <c r="N17" i="4" s="1"/>
  <c r="N23" i="4" s="1"/>
  <c r="N25" i="4" s="1"/>
  <c r="O6" i="4"/>
  <c r="O17" i="4" s="1"/>
  <c r="O23" i="4" s="1"/>
  <c r="O25" i="4" s="1"/>
  <c r="J6" i="4"/>
  <c r="J17" i="4" s="1"/>
  <c r="J23" i="4" s="1"/>
  <c r="J25" i="4" s="1"/>
  <c r="G32" i="4"/>
  <c r="F32" i="4"/>
  <c r="D41" i="4"/>
  <c r="E41" i="4"/>
  <c r="D18" i="4"/>
  <c r="D33" i="4" s="1"/>
  <c r="D35" i="4" s="1"/>
  <c r="C35" i="4"/>
  <c r="C54" i="4"/>
  <c r="D54" i="4"/>
  <c r="E54" i="4"/>
  <c r="F54" i="4"/>
  <c r="G54" i="4"/>
  <c r="B54" i="4"/>
  <c r="C47" i="4"/>
  <c r="D47" i="4"/>
  <c r="E47" i="4"/>
  <c r="F47" i="4"/>
  <c r="G47" i="4"/>
  <c r="B47" i="4"/>
  <c r="C18" i="4"/>
  <c r="C33" i="4" s="1"/>
  <c r="E18" i="4"/>
  <c r="E33" i="4" s="1"/>
  <c r="E35" i="4" s="1"/>
  <c r="F18" i="4"/>
  <c r="F33" i="4" s="1"/>
  <c r="F35" i="4" s="1"/>
  <c r="G18" i="4"/>
  <c r="B18" i="4"/>
  <c r="B33" i="4" s="1"/>
  <c r="B35" i="4" s="1"/>
  <c r="AT21" i="3"/>
  <c r="AS21" i="3"/>
  <c r="AU21" i="3"/>
  <c r="AR21" i="3"/>
  <c r="AQ21" i="3"/>
  <c r="AP21" i="3"/>
  <c r="AI21" i="3"/>
  <c r="AH21" i="3"/>
  <c r="AI19" i="3"/>
  <c r="AH19" i="3"/>
  <c r="AI12" i="3"/>
  <c r="AH12" i="3"/>
  <c r="W20" i="3"/>
  <c r="V20" i="3"/>
  <c r="V22" i="3" s="1"/>
  <c r="T40" i="3"/>
  <c r="U33" i="3"/>
  <c r="T33" i="3"/>
  <c r="T34" i="3" s="1"/>
  <c r="U20" i="3"/>
  <c r="T20" i="3"/>
  <c r="N25" i="3"/>
  <c r="O14" i="3"/>
  <c r="N14" i="3"/>
  <c r="O5" i="3"/>
  <c r="N5" i="3"/>
  <c r="N6" i="3" s="1"/>
  <c r="M25" i="3"/>
  <c r="L25" i="3"/>
  <c r="K20" i="3"/>
  <c r="J20" i="3"/>
  <c r="K16" i="3"/>
  <c r="L16" i="3"/>
  <c r="M16" i="3"/>
  <c r="N16" i="3"/>
  <c r="O16" i="3"/>
  <c r="J16" i="3"/>
  <c r="G5" i="3"/>
  <c r="F5" i="3"/>
  <c r="AU33" i="3"/>
  <c r="AQ31" i="3"/>
  <c r="AQ33" i="3" s="1"/>
  <c r="AR31" i="3"/>
  <c r="AR33" i="3" s="1"/>
  <c r="AS31" i="3"/>
  <c r="AS33" i="3" s="1"/>
  <c r="AT31" i="3"/>
  <c r="AT33" i="3" s="1"/>
  <c r="AU31" i="3"/>
  <c r="AP31" i="3"/>
  <c r="AP33" i="3" s="1"/>
  <c r="AU26" i="3"/>
  <c r="AU34" i="3" s="1"/>
  <c r="AQ25" i="3"/>
  <c r="AQ26" i="3" s="1"/>
  <c r="AR25" i="3"/>
  <c r="AS25" i="3"/>
  <c r="AT25" i="3"/>
  <c r="AU25" i="3"/>
  <c r="AP25" i="3"/>
  <c r="AP26" i="3" s="1"/>
  <c r="AU18" i="3"/>
  <c r="AQ17" i="3"/>
  <c r="AR17" i="3"/>
  <c r="AS17" i="3"/>
  <c r="AT17" i="3"/>
  <c r="AU17" i="3"/>
  <c r="AP17" i="3"/>
  <c r="AU8" i="3"/>
  <c r="AQ6" i="3"/>
  <c r="AQ8" i="3" s="1"/>
  <c r="AR6" i="3"/>
  <c r="AR8" i="3" s="1"/>
  <c r="AS6" i="3"/>
  <c r="AS8" i="3" s="1"/>
  <c r="AT6" i="3"/>
  <c r="AT8" i="3" s="1"/>
  <c r="AU6" i="3"/>
  <c r="AP6" i="3"/>
  <c r="AP8" i="3" s="1"/>
  <c r="AI17" i="3"/>
  <c r="AJ17" i="3"/>
  <c r="AK17" i="3"/>
  <c r="AL17" i="3"/>
  <c r="AM17" i="3"/>
  <c r="AH17" i="3"/>
  <c r="AI25" i="3"/>
  <c r="AJ25" i="3"/>
  <c r="AK25" i="3"/>
  <c r="AL25" i="3"/>
  <c r="AM25" i="3"/>
  <c r="AH25" i="3"/>
  <c r="AI13" i="3"/>
  <c r="AJ13" i="3"/>
  <c r="AK13" i="3"/>
  <c r="AL13" i="3"/>
  <c r="AM13" i="3"/>
  <c r="AH13" i="3"/>
  <c r="AI6" i="3"/>
  <c r="AJ6" i="3"/>
  <c r="AK6" i="3"/>
  <c r="AK14" i="3" s="1"/>
  <c r="AL6" i="3"/>
  <c r="AM6" i="3"/>
  <c r="AH6" i="3"/>
  <c r="AA24" i="3"/>
  <c r="AB24" i="3"/>
  <c r="AC24" i="3"/>
  <c r="AD24" i="3"/>
  <c r="AE24" i="3"/>
  <c r="Z24" i="3"/>
  <c r="AE16" i="3"/>
  <c r="AE18" i="3" s="1"/>
  <c r="AE20" i="3" s="1"/>
  <c r="AE25" i="3" s="1"/>
  <c r="AE27" i="3" s="1"/>
  <c r="AA15" i="3"/>
  <c r="AB15" i="3"/>
  <c r="AC15" i="3"/>
  <c r="AD15" i="3"/>
  <c r="AE15" i="3"/>
  <c r="Z15" i="3"/>
  <c r="AA6" i="3"/>
  <c r="AB6" i="3"/>
  <c r="AC6" i="3"/>
  <c r="AD6" i="3"/>
  <c r="AE6" i="3"/>
  <c r="Z6" i="3"/>
  <c r="S34" i="3"/>
  <c r="U34" i="3"/>
  <c r="V34" i="3"/>
  <c r="W34" i="3"/>
  <c r="R34" i="3"/>
  <c r="S39" i="3"/>
  <c r="T39" i="3"/>
  <c r="U39" i="3"/>
  <c r="U40" i="3" s="1"/>
  <c r="V39" i="3"/>
  <c r="W39" i="3"/>
  <c r="R39" i="3"/>
  <c r="S22" i="3"/>
  <c r="T22" i="3"/>
  <c r="U22" i="3"/>
  <c r="W22" i="3"/>
  <c r="R22" i="3"/>
  <c r="S6" i="3"/>
  <c r="S8" i="3" s="1"/>
  <c r="T6" i="3"/>
  <c r="T8" i="3" s="1"/>
  <c r="U6" i="3"/>
  <c r="U8" i="3" s="1"/>
  <c r="V6" i="3"/>
  <c r="V8" i="3" s="1"/>
  <c r="W6" i="3"/>
  <c r="W8" i="3" s="1"/>
  <c r="R6" i="3"/>
  <c r="R8" i="3" s="1"/>
  <c r="K28" i="3"/>
  <c r="L28" i="3"/>
  <c r="M28" i="3"/>
  <c r="N28" i="3"/>
  <c r="O28" i="3"/>
  <c r="J28" i="3"/>
  <c r="K24" i="3"/>
  <c r="L24" i="3"/>
  <c r="M24" i="3"/>
  <c r="N24" i="3"/>
  <c r="O24" i="3"/>
  <c r="O25" i="3" s="1"/>
  <c r="J24" i="3"/>
  <c r="K6" i="3"/>
  <c r="L6" i="3"/>
  <c r="M6" i="3"/>
  <c r="O6" i="3"/>
  <c r="J6" i="3"/>
  <c r="C23" i="3"/>
  <c r="D23" i="3"/>
  <c r="E23" i="3"/>
  <c r="F23" i="3"/>
  <c r="G23" i="3"/>
  <c r="B23" i="3"/>
  <c r="C16" i="3"/>
  <c r="D16" i="3"/>
  <c r="E16" i="3"/>
  <c r="F16" i="3"/>
  <c r="G16" i="3"/>
  <c r="B16" i="3"/>
  <c r="C6" i="3"/>
  <c r="D6" i="3"/>
  <c r="E6" i="3"/>
  <c r="E19" i="3" s="1"/>
  <c r="E24" i="3" s="1"/>
  <c r="F6" i="3"/>
  <c r="F19" i="3" s="1"/>
  <c r="G6" i="3"/>
  <c r="B6" i="3"/>
  <c r="AM32" i="2"/>
  <c r="AL32" i="2"/>
  <c r="AD31" i="2"/>
  <c r="AC31" i="2"/>
  <c r="AB46" i="2"/>
  <c r="AB31" i="2"/>
  <c r="W49" i="2"/>
  <c r="V49" i="2"/>
  <c r="T63" i="2"/>
  <c r="O44" i="2"/>
  <c r="N44" i="2"/>
  <c r="M44" i="2"/>
  <c r="L44" i="2"/>
  <c r="K61" i="2"/>
  <c r="K62" i="2" s="1"/>
  <c r="K63" i="2" s="1"/>
  <c r="L61" i="2"/>
  <c r="M61" i="2"/>
  <c r="N61" i="2"/>
  <c r="O61" i="2"/>
  <c r="J61" i="2"/>
  <c r="J62" i="2" s="1"/>
  <c r="J63" i="2" s="1"/>
  <c r="K19" i="2"/>
  <c r="L19" i="2"/>
  <c r="M19" i="2"/>
  <c r="N19" i="2"/>
  <c r="O19" i="2"/>
  <c r="J19" i="2"/>
  <c r="G14" i="2"/>
  <c r="F14" i="2"/>
  <c r="D15" i="2"/>
  <c r="E15" i="2"/>
  <c r="F15" i="2"/>
  <c r="G15" i="2"/>
  <c r="E14" i="2"/>
  <c r="D14" i="2"/>
  <c r="C15" i="2"/>
  <c r="B15" i="2"/>
  <c r="AU69" i="2"/>
  <c r="AU70" i="2" s="1"/>
  <c r="AQ67" i="2"/>
  <c r="AR67" i="2"/>
  <c r="AS67" i="2"/>
  <c r="AT67" i="2"/>
  <c r="AU67" i="2"/>
  <c r="AP67" i="2"/>
  <c r="AQ55" i="2"/>
  <c r="AR55" i="2"/>
  <c r="AS55" i="2"/>
  <c r="AT55" i="2"/>
  <c r="AU55" i="2"/>
  <c r="AP55" i="2"/>
  <c r="AU43" i="2"/>
  <c r="AQ41" i="2"/>
  <c r="AQ43" i="2" s="1"/>
  <c r="AR41" i="2"/>
  <c r="AR43" i="2" s="1"/>
  <c r="AS41" i="2"/>
  <c r="AS43" i="2" s="1"/>
  <c r="AT41" i="2"/>
  <c r="AT43" i="2" s="1"/>
  <c r="AU41" i="2"/>
  <c r="AP41" i="2"/>
  <c r="AP43" i="2" s="1"/>
  <c r="AU34" i="2"/>
  <c r="AQ32" i="2"/>
  <c r="AR32" i="2"/>
  <c r="AS32" i="2"/>
  <c r="AT32" i="2"/>
  <c r="AU32" i="2"/>
  <c r="AP32" i="2"/>
  <c r="AQ21" i="2"/>
  <c r="AR21" i="2"/>
  <c r="AS21" i="2"/>
  <c r="AS34" i="2" s="1"/>
  <c r="AT21" i="2"/>
  <c r="AU21" i="2"/>
  <c r="AP21" i="2"/>
  <c r="AI72" i="2"/>
  <c r="AJ72" i="2"/>
  <c r="AK72" i="2"/>
  <c r="AL72" i="2"/>
  <c r="AM72" i="2"/>
  <c r="AH72" i="2"/>
  <c r="AI58" i="2"/>
  <c r="AJ58" i="2"/>
  <c r="AK58" i="2"/>
  <c r="AL58" i="2"/>
  <c r="AM58" i="2"/>
  <c r="AH58" i="2"/>
  <c r="AK41" i="2"/>
  <c r="AM39" i="2"/>
  <c r="AM41" i="2" s="1"/>
  <c r="AL39" i="2"/>
  <c r="AL41" i="2" s="1"/>
  <c r="AK39" i="2"/>
  <c r="AJ39" i="2"/>
  <c r="AJ41" i="2" s="1"/>
  <c r="AI39" i="2"/>
  <c r="AI41" i="2" s="1"/>
  <c r="AH39" i="2"/>
  <c r="AH41" i="2" s="1"/>
  <c r="AI33" i="2"/>
  <c r="AJ33" i="2"/>
  <c r="AK33" i="2"/>
  <c r="AL33" i="2"/>
  <c r="AM33" i="2"/>
  <c r="AH33" i="2"/>
  <c r="AI20" i="2"/>
  <c r="AJ20" i="2"/>
  <c r="AK20" i="2"/>
  <c r="AL20" i="2"/>
  <c r="AM20" i="2"/>
  <c r="AH20" i="2"/>
  <c r="AE62" i="2"/>
  <c r="AE63" i="2" s="1"/>
  <c r="AE61" i="2"/>
  <c r="AD61" i="2"/>
  <c r="AC61" i="2"/>
  <c r="AB61" i="2"/>
  <c r="AA61" i="2"/>
  <c r="Z61" i="2"/>
  <c r="AA49" i="2"/>
  <c r="AB49" i="2"/>
  <c r="AC49" i="2"/>
  <c r="AD49" i="2"/>
  <c r="AE49" i="2"/>
  <c r="Z49" i="2"/>
  <c r="AE40" i="2"/>
  <c r="AE38" i="2"/>
  <c r="AD38" i="2"/>
  <c r="AD40" i="2" s="1"/>
  <c r="AC38" i="2"/>
  <c r="AC40" i="2" s="1"/>
  <c r="AB38" i="2"/>
  <c r="AB40" i="2" s="1"/>
  <c r="AA38" i="2"/>
  <c r="AA40" i="2" s="1"/>
  <c r="Z38" i="2"/>
  <c r="Z40" i="2" s="1"/>
  <c r="AE33" i="2"/>
  <c r="AA32" i="2"/>
  <c r="AB32" i="2"/>
  <c r="AC32" i="2"/>
  <c r="AD32" i="2"/>
  <c r="AE32" i="2"/>
  <c r="Z32" i="2"/>
  <c r="AA21" i="2"/>
  <c r="AB21" i="2"/>
  <c r="AC21" i="2"/>
  <c r="AD21" i="2"/>
  <c r="AE21" i="2"/>
  <c r="Z21" i="2"/>
  <c r="W65" i="2"/>
  <c r="V65" i="2"/>
  <c r="U65" i="2"/>
  <c r="T65" i="2"/>
  <c r="S65" i="2"/>
  <c r="R65" i="2"/>
  <c r="W52" i="2"/>
  <c r="V52" i="2"/>
  <c r="U52" i="2"/>
  <c r="T52" i="2"/>
  <c r="S52" i="2"/>
  <c r="R52" i="2"/>
  <c r="W40" i="2"/>
  <c r="W42" i="2" s="1"/>
  <c r="V40" i="2"/>
  <c r="V42" i="2" s="1"/>
  <c r="U40" i="2"/>
  <c r="U42" i="2" s="1"/>
  <c r="T40" i="2"/>
  <c r="T42" i="2" s="1"/>
  <c r="S40" i="2"/>
  <c r="S42" i="2" s="1"/>
  <c r="R40" i="2"/>
  <c r="R42" i="2" s="1"/>
  <c r="S34" i="2"/>
  <c r="T34" i="2"/>
  <c r="U34" i="2"/>
  <c r="V34" i="2"/>
  <c r="W34" i="2"/>
  <c r="R34" i="2"/>
  <c r="S20" i="2"/>
  <c r="T20" i="2"/>
  <c r="U20" i="2"/>
  <c r="V20" i="2"/>
  <c r="W20" i="2"/>
  <c r="R20" i="2"/>
  <c r="K49" i="2"/>
  <c r="L49" i="2"/>
  <c r="M49" i="2"/>
  <c r="N49" i="2"/>
  <c r="O49" i="2"/>
  <c r="J49" i="2"/>
  <c r="O37" i="2"/>
  <c r="O39" i="2" s="1"/>
  <c r="N37" i="2"/>
  <c r="N39" i="2" s="1"/>
  <c r="M37" i="2"/>
  <c r="M39" i="2" s="1"/>
  <c r="L37" i="2"/>
  <c r="L39" i="2" s="1"/>
  <c r="K37" i="2"/>
  <c r="K39" i="2" s="1"/>
  <c r="J37" i="2"/>
  <c r="J39" i="2" s="1"/>
  <c r="O31" i="2"/>
  <c r="N31" i="2"/>
  <c r="M31" i="2"/>
  <c r="L31" i="2"/>
  <c r="K31" i="2"/>
  <c r="J31" i="2"/>
  <c r="C56" i="2"/>
  <c r="D56" i="2"/>
  <c r="E56" i="2"/>
  <c r="F56" i="2"/>
  <c r="G56" i="2"/>
  <c r="B56" i="2"/>
  <c r="C44" i="2"/>
  <c r="C57" i="2" s="1"/>
  <c r="D44" i="2"/>
  <c r="E44" i="2"/>
  <c r="F44" i="2"/>
  <c r="G44" i="2"/>
  <c r="B44" i="2"/>
  <c r="C35" i="2"/>
  <c r="C33" i="2"/>
  <c r="D33" i="2"/>
  <c r="D35" i="2" s="1"/>
  <c r="E33" i="2"/>
  <c r="E35" i="2" s="1"/>
  <c r="F33" i="2"/>
  <c r="F35" i="2" s="1"/>
  <c r="G33" i="2"/>
  <c r="G35" i="2" s="1"/>
  <c r="B33" i="2"/>
  <c r="B35" i="2" s="1"/>
  <c r="C27" i="2"/>
  <c r="D27" i="2"/>
  <c r="E27" i="2"/>
  <c r="F27" i="2"/>
  <c r="G27" i="2"/>
  <c r="B27" i="2"/>
  <c r="C9" i="1" a="1"/>
  <c r="C9" i="1" s="1"/>
  <c r="C10" i="1" s="1"/>
  <c r="D9" i="1" a="1"/>
  <c r="D9" i="1" s="1"/>
  <c r="D10" i="1" s="1"/>
  <c r="E9" i="1" a="1"/>
  <c r="E9" i="1" s="1"/>
  <c r="E10" i="1" s="1"/>
  <c r="F9" i="1" a="1"/>
  <c r="F9" i="1" s="1"/>
  <c r="F10" i="1" s="1"/>
  <c r="G9" i="1" a="1"/>
  <c r="G9" i="1" s="1"/>
  <c r="G10" i="1" s="1"/>
  <c r="B9" i="1" a="1"/>
  <c r="B9" i="1" s="1"/>
  <c r="B10" i="1" s="1"/>
  <c r="C19" i="1" a="1"/>
  <c r="C19" i="1" s="1"/>
  <c r="C4" i="6" s="1"/>
  <c r="C6" i="6" s="1"/>
  <c r="D19" i="1" a="1"/>
  <c r="D19" i="1" s="1"/>
  <c r="D4" i="6" s="1"/>
  <c r="D6" i="6" s="1"/>
  <c r="E19" i="1" a="1"/>
  <c r="E19" i="1" s="1"/>
  <c r="E4" i="6" s="1"/>
  <c r="E6" i="6" s="1"/>
  <c r="F19" i="1" a="1"/>
  <c r="F19" i="1" s="1"/>
  <c r="G19" i="1" a="1"/>
  <c r="G19" i="1" s="1"/>
  <c r="G4" i="6" s="1"/>
  <c r="G6" i="6" s="1"/>
  <c r="B19" i="1" a="1"/>
  <c r="B19" i="1" s="1"/>
  <c r="B4" i="6" s="1"/>
  <c r="C17" i="1" a="1"/>
  <c r="C17" i="1" s="1"/>
  <c r="C18" i="1" s="1"/>
  <c r="D17" i="1" a="1"/>
  <c r="D17" i="1" s="1"/>
  <c r="D18" i="1" s="1"/>
  <c r="E17" i="1" a="1"/>
  <c r="E17" i="1" s="1"/>
  <c r="E18" i="1" s="1"/>
  <c r="E5" i="9" s="1"/>
  <c r="F17" i="1" a="1"/>
  <c r="F17" i="1" s="1"/>
  <c r="F18" i="1" s="1"/>
  <c r="G17" i="1" a="1"/>
  <c r="G17" i="1" s="1"/>
  <c r="G18" i="1" s="1"/>
  <c r="B17" i="1" a="1"/>
  <c r="B17" i="1" s="1"/>
  <c r="B18" i="1" s="1"/>
  <c r="C15" i="1" a="1"/>
  <c r="C15" i="1" s="1"/>
  <c r="C16" i="1" s="1"/>
  <c r="D15" i="1" a="1"/>
  <c r="D15" i="1" s="1"/>
  <c r="D16" i="1" s="1"/>
  <c r="E15" i="1" a="1"/>
  <c r="E15" i="1" s="1"/>
  <c r="E16" i="1" s="1"/>
  <c r="F15" i="1" a="1"/>
  <c r="F15" i="1" s="1"/>
  <c r="F16" i="1" s="1"/>
  <c r="G15" i="1" a="1"/>
  <c r="G15" i="1" s="1"/>
  <c r="G16" i="1" s="1"/>
  <c r="B15" i="1" a="1"/>
  <c r="B15" i="1" s="1"/>
  <c r="B16" i="1" s="1"/>
  <c r="C14" i="1" a="1"/>
  <c r="C14" i="1" s="1"/>
  <c r="D14" i="1" a="1"/>
  <c r="D14" i="1" s="1"/>
  <c r="E14" i="1" a="1"/>
  <c r="E14" i="1" s="1"/>
  <c r="F14" i="1" a="1"/>
  <c r="F14" i="1" s="1"/>
  <c r="G14" i="1" a="1"/>
  <c r="G14" i="1" s="1"/>
  <c r="B14" i="1" a="1"/>
  <c r="B14" i="1" s="1"/>
  <c r="C11" i="1" a="1"/>
  <c r="C11" i="1" s="1"/>
  <c r="D11" i="1" a="1"/>
  <c r="D11" i="1" s="1"/>
  <c r="E11" i="1" a="1"/>
  <c r="E11" i="1" s="1"/>
  <c r="F11" i="1" a="1"/>
  <c r="F11" i="1" s="1"/>
  <c r="B17" i="10" s="1"/>
  <c r="G11" i="1" a="1"/>
  <c r="G11" i="1" s="1"/>
  <c r="B11" i="1" a="1"/>
  <c r="B11" i="1" s="1"/>
  <c r="C12" i="1" a="1"/>
  <c r="C12" i="1" s="1"/>
  <c r="D12" i="1" a="1"/>
  <c r="D12" i="1" s="1"/>
  <c r="E12" i="1" a="1"/>
  <c r="E12" i="1" s="1"/>
  <c r="F12" i="1" a="1"/>
  <c r="F12" i="1" s="1"/>
  <c r="G12" i="1" a="1"/>
  <c r="G12" i="1" s="1"/>
  <c r="B12" i="1" a="1"/>
  <c r="B12" i="1" s="1"/>
  <c r="C8" i="1" a="1"/>
  <c r="C8" i="1" s="1"/>
  <c r="D8" i="1" a="1"/>
  <c r="D8" i="1" s="1"/>
  <c r="E8" i="1" a="1"/>
  <c r="E8" i="1" s="1"/>
  <c r="F8" i="1" a="1"/>
  <c r="F8" i="1" s="1"/>
  <c r="G8" i="1" a="1"/>
  <c r="G8" i="1" s="1"/>
  <c r="B8" i="1" a="1"/>
  <c r="B8" i="1" s="1"/>
  <c r="C7" i="1" a="1"/>
  <c r="C7" i="1" s="1"/>
  <c r="D7" i="1" a="1"/>
  <c r="D7" i="1" s="1"/>
  <c r="E7" i="1" a="1"/>
  <c r="E7" i="1" s="1"/>
  <c r="F7" i="1" a="1"/>
  <c r="F7" i="1" s="1"/>
  <c r="G7" i="1" a="1"/>
  <c r="G7" i="1" s="1"/>
  <c r="B7" i="1" a="1"/>
  <c r="B7" i="1" s="1"/>
  <c r="C6" i="1" a="1"/>
  <c r="C6" i="1" s="1"/>
  <c r="D6" i="1" a="1"/>
  <c r="D6" i="1" s="1"/>
  <c r="E6" i="1" a="1"/>
  <c r="E6" i="1" s="1"/>
  <c r="F6" i="1" a="1"/>
  <c r="F6" i="1" s="1"/>
  <c r="G6" i="1" a="1"/>
  <c r="G6" i="1" s="1"/>
  <c r="B6" i="1" a="1"/>
  <c r="B6" i="1" s="1"/>
  <c r="C5" i="1" a="1"/>
  <c r="C5" i="1" s="1"/>
  <c r="D5" i="1" a="1"/>
  <c r="D5" i="1" s="1"/>
  <c r="E5" i="1" a="1"/>
  <c r="E5" i="1" s="1"/>
  <c r="F5" i="1" a="1"/>
  <c r="F5" i="1" s="1"/>
  <c r="G5" i="1" a="1"/>
  <c r="G5" i="1" s="1"/>
  <c r="B5" i="1" a="1"/>
  <c r="B5" i="1" s="1"/>
  <c r="C4" i="1" a="1"/>
  <c r="C4" i="1" s="1"/>
  <c r="D4" i="1" a="1"/>
  <c r="D4" i="1" s="1"/>
  <c r="E4" i="1" a="1"/>
  <c r="E4" i="1" s="1"/>
  <c r="F4" i="1" a="1"/>
  <c r="F4" i="1" s="1"/>
  <c r="G4" i="1" a="1"/>
  <c r="G4" i="1" s="1"/>
  <c r="B4" i="1" a="1"/>
  <c r="B4" i="1" s="1"/>
  <c r="H10" i="8" l="1"/>
  <c r="D23" i="12"/>
  <c r="D29" i="12" s="1"/>
  <c r="B6" i="6"/>
  <c r="AA15" i="10"/>
  <c r="AA16" i="10" s="1"/>
  <c r="G8" i="9" s="1"/>
  <c r="AW30" i="5"/>
  <c r="AW31" i="5" s="1"/>
  <c r="AX30" i="5"/>
  <c r="AX31" i="5" s="1"/>
  <c r="AY30" i="5"/>
  <c r="AY31" i="5" s="1"/>
  <c r="AZ30" i="5"/>
  <c r="AZ31" i="5" s="1"/>
  <c r="AV30" i="5"/>
  <c r="AV31" i="5" s="1"/>
  <c r="B15" i="10"/>
  <c r="B16" i="10" s="1"/>
  <c r="F6" i="9" s="1"/>
  <c r="AO30" i="5"/>
  <c r="AO31" i="5" s="1"/>
  <c r="AQ30" i="5"/>
  <c r="AQ31" i="5" s="1"/>
  <c r="AM30" i="5"/>
  <c r="AM31" i="5" s="1"/>
  <c r="AR30" i="5"/>
  <c r="AR31" i="5" s="1"/>
  <c r="AN30" i="5"/>
  <c r="AN31" i="5" s="1"/>
  <c r="AP30" i="5"/>
  <c r="AP31" i="5" s="1"/>
  <c r="V15" i="10"/>
  <c r="V16" i="10" s="1"/>
  <c r="E8" i="9" s="1"/>
  <c r="AF31" i="5"/>
  <c r="AF32" i="5" s="1"/>
  <c r="AG31" i="5"/>
  <c r="AG32" i="5" s="1"/>
  <c r="AH31" i="5"/>
  <c r="AH32" i="5" s="1"/>
  <c r="AD31" i="5"/>
  <c r="AD32" i="5" s="1"/>
  <c r="AE31" i="5"/>
  <c r="AE32" i="5" s="1"/>
  <c r="L15" i="10"/>
  <c r="L16" i="10" s="1"/>
  <c r="C8" i="9" s="1"/>
  <c r="M30" i="5"/>
  <c r="M31" i="5" s="1"/>
  <c r="N30" i="5"/>
  <c r="N31" i="5" s="1"/>
  <c r="O30" i="5"/>
  <c r="O31" i="5" s="1"/>
  <c r="P30" i="5"/>
  <c r="P31" i="5" s="1"/>
  <c r="Q30" i="5"/>
  <c r="Q31" i="5" s="1"/>
  <c r="L30" i="5"/>
  <c r="L31" i="5" s="1"/>
  <c r="Q15" i="10"/>
  <c r="Q16" i="10" s="1"/>
  <c r="D8" i="9" s="1"/>
  <c r="V30" i="5"/>
  <c r="V31" i="5" s="1"/>
  <c r="W30" i="5"/>
  <c r="W31" i="5" s="1"/>
  <c r="X30" i="5"/>
  <c r="X31" i="5" s="1"/>
  <c r="Y30" i="5"/>
  <c r="Y31" i="5" s="1"/>
  <c r="U30" i="5"/>
  <c r="U31" i="5" s="1"/>
  <c r="Z30" i="5"/>
  <c r="Z31" i="5" s="1"/>
  <c r="G15" i="10"/>
  <c r="G16" i="10" s="1"/>
  <c r="B8" i="9" s="1"/>
  <c r="C30" i="5"/>
  <c r="C31" i="5" s="1"/>
  <c r="H30" i="5"/>
  <c r="H31" i="5" s="1"/>
  <c r="D30" i="5"/>
  <c r="D31" i="5" s="1"/>
  <c r="E30" i="5"/>
  <c r="E31" i="5" s="1"/>
  <c r="F30" i="5"/>
  <c r="F31" i="5" s="1"/>
  <c r="G30" i="5"/>
  <c r="G31" i="5" s="1"/>
  <c r="F4" i="6"/>
  <c r="F6" i="6" s="1"/>
  <c r="AC23" i="8"/>
  <c r="E7" i="9"/>
  <c r="AW21" i="5"/>
  <c r="G5" i="9"/>
  <c r="T23" i="8"/>
  <c r="D7" i="9"/>
  <c r="AM21" i="5"/>
  <c r="F5" i="9"/>
  <c r="K23" i="8"/>
  <c r="C7" i="9"/>
  <c r="AM23" i="8"/>
  <c r="F7" i="9"/>
  <c r="V21" i="5"/>
  <c r="D5" i="9"/>
  <c r="M21" i="5"/>
  <c r="C5" i="9"/>
  <c r="B23" i="8"/>
  <c r="B7" i="9"/>
  <c r="C21" i="5"/>
  <c r="B5" i="9"/>
  <c r="AV23" i="8"/>
  <c r="G7" i="9"/>
  <c r="BB5" i="8"/>
  <c r="BB6" i="8" s="1"/>
  <c r="BB10" i="8" s="1"/>
  <c r="BC4" i="8"/>
  <c r="AV18" i="5"/>
  <c r="AV21" i="8"/>
  <c r="AQ18" i="5"/>
  <c r="AM21" i="8"/>
  <c r="AJ5" i="8"/>
  <c r="AJ6" i="8" s="1"/>
  <c r="AJ10" i="8" s="1"/>
  <c r="AE18" i="5"/>
  <c r="AC21" i="8"/>
  <c r="V18" i="5"/>
  <c r="T21" i="8"/>
  <c r="AX20" i="5"/>
  <c r="M18" i="5"/>
  <c r="K21" i="8"/>
  <c r="F18" i="5"/>
  <c r="B21" i="8"/>
  <c r="G15" i="6"/>
  <c r="AV12" i="8" s="1"/>
  <c r="P5" i="6"/>
  <c r="C15" i="6"/>
  <c r="L5" i="6"/>
  <c r="E15" i="6"/>
  <c r="AC12" i="8" s="1"/>
  <c r="N5" i="6"/>
  <c r="D15" i="6"/>
  <c r="T12" i="8" s="1"/>
  <c r="M5" i="6"/>
  <c r="B15" i="6"/>
  <c r="K5" i="6"/>
  <c r="AW20" i="5"/>
  <c r="AV21" i="5"/>
  <c r="AZ21" i="5"/>
  <c r="AY21" i="5"/>
  <c r="AV20" i="5"/>
  <c r="AX21" i="5"/>
  <c r="AZ20" i="5"/>
  <c r="AY20" i="5"/>
  <c r="AZ18" i="5"/>
  <c r="AW18" i="5"/>
  <c r="AY18" i="5"/>
  <c r="AX18" i="5"/>
  <c r="AN20" i="5"/>
  <c r="U21" i="5"/>
  <c r="Z21" i="5"/>
  <c r="Y21" i="5"/>
  <c r="X21" i="5"/>
  <c r="W21" i="5"/>
  <c r="AP21" i="5"/>
  <c r="AO21" i="5"/>
  <c r="AN21" i="5"/>
  <c r="L21" i="5"/>
  <c r="AO20" i="5"/>
  <c r="AR21" i="5"/>
  <c r="AQ20" i="5"/>
  <c r="P21" i="5"/>
  <c r="AM20" i="5"/>
  <c r="AQ21" i="5"/>
  <c r="AR20" i="5"/>
  <c r="AP20" i="5"/>
  <c r="O21" i="5"/>
  <c r="N21" i="5"/>
  <c r="Q21" i="5"/>
  <c r="AP18" i="5"/>
  <c r="AO18" i="5"/>
  <c r="AN18" i="5"/>
  <c r="AM18" i="5"/>
  <c r="AR18" i="5"/>
  <c r="AD20" i="5"/>
  <c r="AH20" i="5"/>
  <c r="AG21" i="5"/>
  <c r="AE21" i="5"/>
  <c r="AF21" i="5"/>
  <c r="AG20" i="5"/>
  <c r="AF20" i="5"/>
  <c r="AE20" i="5"/>
  <c r="AD21" i="5"/>
  <c r="AH21" i="5"/>
  <c r="AG18" i="5"/>
  <c r="AD18" i="5"/>
  <c r="AH18" i="5"/>
  <c r="AF18" i="5"/>
  <c r="X20" i="5"/>
  <c r="W20" i="5"/>
  <c r="V20" i="5"/>
  <c r="U20" i="5"/>
  <c r="Z20" i="5"/>
  <c r="Y20" i="5"/>
  <c r="X18" i="5"/>
  <c r="U18" i="5"/>
  <c r="Z18" i="5"/>
  <c r="Y18" i="5"/>
  <c r="W18" i="5"/>
  <c r="O20" i="5"/>
  <c r="N20" i="5"/>
  <c r="M20" i="5"/>
  <c r="L20" i="5"/>
  <c r="Q20" i="5"/>
  <c r="P20" i="5"/>
  <c r="L18" i="5"/>
  <c r="Q18" i="5"/>
  <c r="P18" i="5"/>
  <c r="O18" i="5"/>
  <c r="N18" i="5"/>
  <c r="H21" i="5"/>
  <c r="G21" i="5"/>
  <c r="F21" i="5"/>
  <c r="E21" i="5"/>
  <c r="D21" i="5"/>
  <c r="D20" i="5"/>
  <c r="C20" i="5"/>
  <c r="H20" i="5"/>
  <c r="G20" i="5"/>
  <c r="F20" i="5"/>
  <c r="E20" i="5"/>
  <c r="C18" i="5"/>
  <c r="E18" i="5"/>
  <c r="D18" i="5"/>
  <c r="H18" i="5"/>
  <c r="G18" i="5"/>
  <c r="AC50" i="4"/>
  <c r="AT26" i="4"/>
  <c r="AT52" i="4" s="1"/>
  <c r="AT55" i="4" s="1"/>
  <c r="AS52" i="4"/>
  <c r="AS55" i="4" s="1"/>
  <c r="AR52" i="4"/>
  <c r="AR55" i="4" s="1"/>
  <c r="G33" i="4"/>
  <c r="G35" i="4" s="1"/>
  <c r="AQ52" i="4"/>
  <c r="AQ55" i="4" s="1"/>
  <c r="AP52" i="4"/>
  <c r="AP55" i="4" s="1"/>
  <c r="AJ40" i="4"/>
  <c r="AK40" i="4"/>
  <c r="AI40" i="4"/>
  <c r="AM40" i="4"/>
  <c r="AH40" i="4"/>
  <c r="AH43" i="4" s="1"/>
  <c r="AI41" i="4" s="1"/>
  <c r="AL40" i="4"/>
  <c r="AB50" i="4"/>
  <c r="AA50" i="4"/>
  <c r="Z50" i="4"/>
  <c r="Z52" i="4" s="1"/>
  <c r="AA51" i="4" s="1"/>
  <c r="AD50" i="4"/>
  <c r="V78" i="4"/>
  <c r="W78" i="4"/>
  <c r="U78" i="4"/>
  <c r="T78" i="4"/>
  <c r="R78" i="4"/>
  <c r="R81" i="4" s="1"/>
  <c r="S78" i="4"/>
  <c r="S81" i="4" s="1"/>
  <c r="T79" i="4" s="1"/>
  <c r="O57" i="4"/>
  <c r="O61" i="4" s="1"/>
  <c r="N57" i="4"/>
  <c r="N61" i="4" s="1"/>
  <c r="M57" i="4"/>
  <c r="M61" i="4" s="1"/>
  <c r="L57" i="4"/>
  <c r="L61" i="4" s="1"/>
  <c r="J57" i="4"/>
  <c r="J61" i="4" s="1"/>
  <c r="K57" i="4"/>
  <c r="K61" i="4" s="1"/>
  <c r="G55" i="4"/>
  <c r="F55" i="4"/>
  <c r="E55" i="4"/>
  <c r="D55" i="4"/>
  <c r="B55" i="4"/>
  <c r="B57" i="4" s="1"/>
  <c r="C56" i="4" s="1"/>
  <c r="C55" i="4"/>
  <c r="AT18" i="3"/>
  <c r="AT26" i="3" s="1"/>
  <c r="AT34" i="3" s="1"/>
  <c r="AS18" i="3"/>
  <c r="AS26" i="3" s="1"/>
  <c r="AS34" i="3" s="1"/>
  <c r="AR18" i="3"/>
  <c r="AR26" i="3" s="1"/>
  <c r="AR34" i="3" s="1"/>
  <c r="AQ34" i="3"/>
  <c r="AP34" i="3"/>
  <c r="AQ18" i="3"/>
  <c r="AP18" i="3"/>
  <c r="AM14" i="3"/>
  <c r="AM19" i="3" s="1"/>
  <c r="AM21" i="3" s="1"/>
  <c r="AM26" i="3" s="1"/>
  <c r="AL14" i="3"/>
  <c r="AL19" i="3" s="1"/>
  <c r="AL21" i="3" s="1"/>
  <c r="AL26" i="3" s="1"/>
  <c r="AK19" i="3"/>
  <c r="AK21" i="3" s="1"/>
  <c r="AK26" i="3" s="1"/>
  <c r="AJ14" i="3"/>
  <c r="AJ19" i="3" s="1"/>
  <c r="AJ21" i="3" s="1"/>
  <c r="AJ26" i="3" s="1"/>
  <c r="AI14" i="3"/>
  <c r="AI26" i="3" s="1"/>
  <c r="AH14" i="3"/>
  <c r="AH26" i="3" s="1"/>
  <c r="AD16" i="3"/>
  <c r="AD18" i="3" s="1"/>
  <c r="AD20" i="3" s="1"/>
  <c r="AD25" i="3" s="1"/>
  <c r="AD27" i="3" s="1"/>
  <c r="AC16" i="3"/>
  <c r="AC18" i="3" s="1"/>
  <c r="AC20" i="3" s="1"/>
  <c r="AC25" i="3" s="1"/>
  <c r="AC27" i="3" s="1"/>
  <c r="AB16" i="3"/>
  <c r="AB18" i="3" s="1"/>
  <c r="AB20" i="3" s="1"/>
  <c r="AB25" i="3" s="1"/>
  <c r="AB27" i="3" s="1"/>
  <c r="AA16" i="3"/>
  <c r="AA18" i="3" s="1"/>
  <c r="AA20" i="3" s="1"/>
  <c r="AA25" i="3" s="1"/>
  <c r="AA27" i="3" s="1"/>
  <c r="Z16" i="3"/>
  <c r="Z18" i="3" s="1"/>
  <c r="Z20" i="3" s="1"/>
  <c r="Z25" i="3" s="1"/>
  <c r="Z27" i="3" s="1"/>
  <c r="W23" i="3"/>
  <c r="W35" i="3" s="1"/>
  <c r="V23" i="3"/>
  <c r="V35" i="3" s="1"/>
  <c r="V40" i="3" s="1"/>
  <c r="V42" i="3" s="1"/>
  <c r="U23" i="3"/>
  <c r="U35" i="3" s="1"/>
  <c r="U42" i="3" s="1"/>
  <c r="T23" i="3"/>
  <c r="T35" i="3" s="1"/>
  <c r="T42" i="3" s="1"/>
  <c r="R23" i="3"/>
  <c r="R35" i="3" s="1"/>
  <c r="R40" i="3" s="1"/>
  <c r="R42" i="3" s="1"/>
  <c r="S23" i="3"/>
  <c r="S35" i="3" s="1"/>
  <c r="S40" i="3" s="1"/>
  <c r="S42" i="3" s="1"/>
  <c r="N17" i="3"/>
  <c r="N20" i="3" s="1"/>
  <c r="N29" i="3" s="1"/>
  <c r="M17" i="3"/>
  <c r="M20" i="3" s="1"/>
  <c r="M29" i="3" s="1"/>
  <c r="L17" i="3"/>
  <c r="L20" i="3" s="1"/>
  <c r="L29" i="3" s="1"/>
  <c r="O17" i="3"/>
  <c r="O20" i="3" s="1"/>
  <c r="O29" i="3" s="1"/>
  <c r="K25" i="3"/>
  <c r="K29" i="3" s="1"/>
  <c r="J25" i="3"/>
  <c r="J29" i="3" s="1"/>
  <c r="K17" i="3"/>
  <c r="J17" i="3"/>
  <c r="F24" i="3"/>
  <c r="G19" i="3"/>
  <c r="G24" i="3" s="1"/>
  <c r="D19" i="3"/>
  <c r="D24" i="3" s="1"/>
  <c r="C19" i="3"/>
  <c r="C24" i="3" s="1"/>
  <c r="B19" i="3"/>
  <c r="B24" i="3" s="1"/>
  <c r="AT69" i="2"/>
  <c r="AT70" i="2" s="1"/>
  <c r="AT34" i="2"/>
  <c r="AS69" i="2"/>
  <c r="AS70" i="2" s="1"/>
  <c r="AR69" i="2"/>
  <c r="AR70" i="2" s="1"/>
  <c r="AR34" i="2"/>
  <c r="AQ69" i="2"/>
  <c r="AQ70" i="2" s="1"/>
  <c r="AP69" i="2"/>
  <c r="AP70" i="2" s="1"/>
  <c r="AQ34" i="2"/>
  <c r="AP34" i="2"/>
  <c r="AM73" i="2"/>
  <c r="AL73" i="2"/>
  <c r="AL74" i="2" s="1"/>
  <c r="AM74" i="2"/>
  <c r="AM34" i="2"/>
  <c r="AL34" i="2"/>
  <c r="AK73" i="2"/>
  <c r="AK74" i="2" s="1"/>
  <c r="AJ73" i="2"/>
  <c r="AJ74" i="2" s="1"/>
  <c r="AJ34" i="2"/>
  <c r="AK34" i="2"/>
  <c r="AI73" i="2"/>
  <c r="AI74" i="2" s="1"/>
  <c r="AH73" i="2"/>
  <c r="AH74" i="2" s="1"/>
  <c r="AI34" i="2"/>
  <c r="AH34" i="2"/>
  <c r="AC62" i="2"/>
  <c r="AC63" i="2" s="1"/>
  <c r="AD62" i="2"/>
  <c r="AD63" i="2" s="1"/>
  <c r="AD33" i="2"/>
  <c r="AC33" i="2"/>
  <c r="AB62" i="2"/>
  <c r="AB63" i="2" s="1"/>
  <c r="AB33" i="2"/>
  <c r="AA62" i="2"/>
  <c r="AA63" i="2" s="1"/>
  <c r="Z62" i="2"/>
  <c r="Z63" i="2" s="1"/>
  <c r="Z33" i="2"/>
  <c r="AA33" i="2"/>
  <c r="W66" i="2"/>
  <c r="W67" i="2" s="1"/>
  <c r="V66" i="2"/>
  <c r="V67" i="2" s="1"/>
  <c r="W35" i="2"/>
  <c r="V35" i="2"/>
  <c r="U66" i="2"/>
  <c r="U67" i="2" s="1"/>
  <c r="T66" i="2"/>
  <c r="T67" i="2" s="1"/>
  <c r="U35" i="2"/>
  <c r="T35" i="2"/>
  <c r="S66" i="2"/>
  <c r="S67" i="2" s="1"/>
  <c r="R66" i="2"/>
  <c r="R67" i="2" s="1"/>
  <c r="S35" i="2"/>
  <c r="R35" i="2"/>
  <c r="O62" i="2"/>
  <c r="O63" i="2" s="1"/>
  <c r="N62" i="2"/>
  <c r="N63" i="2" s="1"/>
  <c r="O32" i="2"/>
  <c r="N32" i="2"/>
  <c r="L62" i="2"/>
  <c r="L63" i="2" s="1"/>
  <c r="M62" i="2"/>
  <c r="M63" i="2" s="1"/>
  <c r="L32" i="2"/>
  <c r="M32" i="2"/>
  <c r="K32" i="2"/>
  <c r="J32" i="2"/>
  <c r="F57" i="2"/>
  <c r="F58" i="2" s="1"/>
  <c r="G57" i="2"/>
  <c r="G58" i="2" s="1"/>
  <c r="G28" i="2"/>
  <c r="E57" i="2"/>
  <c r="D57" i="2"/>
  <c r="D58" i="2" s="1"/>
  <c r="F28" i="2"/>
  <c r="E28" i="2"/>
  <c r="D28" i="2"/>
  <c r="B57" i="2"/>
  <c r="B58" i="2" s="1"/>
  <c r="B28" i="2"/>
  <c r="C58" i="2"/>
  <c r="E58" i="2"/>
  <c r="C28" i="2"/>
  <c r="G17" i="10" l="1"/>
  <c r="G18" i="10" s="1"/>
  <c r="L17" i="10"/>
  <c r="L18" i="10" s="1"/>
  <c r="F15" i="6"/>
  <c r="AM12" i="8" s="1"/>
  <c r="AM15" i="8" s="1"/>
  <c r="B18" i="10"/>
  <c r="F8" i="9"/>
  <c r="V19" i="5"/>
  <c r="AV26" i="5"/>
  <c r="AE19" i="5"/>
  <c r="M19" i="5"/>
  <c r="AQ19" i="5"/>
  <c r="F19" i="5"/>
  <c r="K12" i="8"/>
  <c r="K15" i="8" s="1"/>
  <c r="B12" i="8"/>
  <c r="B15" i="8" s="1"/>
  <c r="O5" i="6"/>
  <c r="AV19" i="5"/>
  <c r="BC12" i="8"/>
  <c r="BB12" i="8"/>
  <c r="BB13" i="8" s="1"/>
  <c r="BA12" i="8"/>
  <c r="BA13" i="8" s="1"/>
  <c r="AZ12" i="8"/>
  <c r="AZ13" i="8" s="1"/>
  <c r="AY12" i="8"/>
  <c r="AY13" i="8" s="1"/>
  <c r="AX12" i="8"/>
  <c r="AX13" i="8" s="1"/>
  <c r="BC5" i="8"/>
  <c r="BC6" i="8" s="1"/>
  <c r="BC10" i="8" s="1"/>
  <c r="AV15" i="8" s="1"/>
  <c r="AF27" i="5"/>
  <c r="AI12" i="8"/>
  <c r="AI13" i="8" s="1"/>
  <c r="AH12" i="8"/>
  <c r="AH13" i="8" s="1"/>
  <c r="AG12" i="8"/>
  <c r="AG13" i="8" s="1"/>
  <c r="AF12" i="8"/>
  <c r="AF13" i="8" s="1"/>
  <c r="AJ12" i="8"/>
  <c r="AJ13" i="8" s="1"/>
  <c r="AE12" i="8"/>
  <c r="AE13" i="8" s="1"/>
  <c r="AC15" i="8"/>
  <c r="AC16" i="8" s="1"/>
  <c r="Z12" i="8"/>
  <c r="Z13" i="8" s="1"/>
  <c r="Y12" i="8"/>
  <c r="Y13" i="8" s="1"/>
  <c r="X12" i="8"/>
  <c r="X13" i="8" s="1"/>
  <c r="W12" i="8"/>
  <c r="W13" i="8" s="1"/>
  <c r="V12" i="8"/>
  <c r="V13" i="8" s="1"/>
  <c r="T15" i="8"/>
  <c r="T16" i="8" s="1"/>
  <c r="M26" i="5"/>
  <c r="AX19" i="5"/>
  <c r="AX26" i="5"/>
  <c r="AY19" i="5"/>
  <c r="AY26" i="5"/>
  <c r="AZ19" i="5"/>
  <c r="AZ26" i="5"/>
  <c r="AW19" i="5"/>
  <c r="AW26" i="5"/>
  <c r="AM19" i="5"/>
  <c r="AM26" i="5"/>
  <c r="AN19" i="5"/>
  <c r="AN26" i="5"/>
  <c r="AP19" i="5"/>
  <c r="AP26" i="5"/>
  <c r="AO19" i="5"/>
  <c r="AO26" i="5"/>
  <c r="AR19" i="5"/>
  <c r="AR26" i="5"/>
  <c r="AQ26" i="5"/>
  <c r="AH27" i="5"/>
  <c r="AG27" i="5"/>
  <c r="AF19" i="5"/>
  <c r="AD19" i="5"/>
  <c r="AD27" i="5"/>
  <c r="AG19" i="5"/>
  <c r="AH19" i="5"/>
  <c r="AE27" i="5"/>
  <c r="Y26" i="5"/>
  <c r="Y19" i="5"/>
  <c r="Z19" i="5"/>
  <c r="Z26" i="5"/>
  <c r="X19" i="5"/>
  <c r="X26" i="5"/>
  <c r="U19" i="5"/>
  <c r="U26" i="5"/>
  <c r="W19" i="5"/>
  <c r="W26" i="5"/>
  <c r="V26" i="5"/>
  <c r="N19" i="5"/>
  <c r="N26" i="5"/>
  <c r="O19" i="5"/>
  <c r="O26" i="5"/>
  <c r="P19" i="5"/>
  <c r="P26" i="5"/>
  <c r="Q19" i="5"/>
  <c r="Q26" i="5"/>
  <c r="L19" i="5"/>
  <c r="L26" i="5"/>
  <c r="H19" i="5"/>
  <c r="H26" i="5"/>
  <c r="D19" i="5"/>
  <c r="D26" i="5"/>
  <c r="E19" i="5"/>
  <c r="F26" i="5"/>
  <c r="E26" i="5"/>
  <c r="G19" i="5"/>
  <c r="G26" i="5"/>
  <c r="C19" i="5"/>
  <c r="C26" i="5"/>
  <c r="T81" i="4"/>
  <c r="U79" i="4" s="1"/>
  <c r="AI43" i="4"/>
  <c r="AJ41" i="4" s="1"/>
  <c r="AJ43" i="4" s="1"/>
  <c r="AK41" i="4" s="1"/>
  <c r="AK43" i="4" s="1"/>
  <c r="AL41" i="4" s="1"/>
  <c r="AL43" i="4" s="1"/>
  <c r="AM41" i="4" s="1"/>
  <c r="AM43" i="4" s="1"/>
  <c r="AA52" i="4"/>
  <c r="AB51" i="4" s="1"/>
  <c r="AB52" i="4" s="1"/>
  <c r="AC51" i="4" s="1"/>
  <c r="AC52" i="4" s="1"/>
  <c r="AD51" i="4" s="1"/>
  <c r="AD52" i="4" s="1"/>
  <c r="U81" i="4"/>
  <c r="V79" i="4" s="1"/>
  <c r="V81" i="4" s="1"/>
  <c r="W79" i="4" s="1"/>
  <c r="W81" i="4" s="1"/>
  <c r="C57" i="4"/>
  <c r="D56" i="4" s="1"/>
  <c r="D57" i="4" s="1"/>
  <c r="E56" i="4" s="1"/>
  <c r="E57" i="4" s="1"/>
  <c r="F56" i="4" s="1"/>
  <c r="F57" i="4" s="1"/>
  <c r="G56" i="4" s="1"/>
  <c r="G57" i="4" s="1"/>
  <c r="W40" i="3"/>
  <c r="W42" i="3" s="1"/>
  <c r="AQ22" i="5" l="1"/>
  <c r="AS12" i="8"/>
  <c r="AS13" i="8" s="1"/>
  <c r="AP12" i="8"/>
  <c r="AP13" i="8" s="1"/>
  <c r="AO12" i="8"/>
  <c r="AO13" i="8" s="1"/>
  <c r="AQ12" i="8"/>
  <c r="AQ13" i="8" s="1"/>
  <c r="F22" i="5"/>
  <c r="AR12" i="8"/>
  <c r="AR13" i="8" s="1"/>
  <c r="AM16" i="8"/>
  <c r="V22" i="5"/>
  <c r="AE22" i="5"/>
  <c r="G12" i="8"/>
  <c r="G13" i="8" s="1"/>
  <c r="P12" i="8"/>
  <c r="P13" i="8" s="1"/>
  <c r="Q12" i="8"/>
  <c r="Q13" i="8" s="1"/>
  <c r="N12" i="8"/>
  <c r="N13" i="8" s="1"/>
  <c r="AV22" i="5"/>
  <c r="M12" i="8"/>
  <c r="M13" i="8" s="1"/>
  <c r="O12" i="8"/>
  <c r="O13" i="8" s="1"/>
  <c r="F12" i="8"/>
  <c r="F13" i="8" s="1"/>
  <c r="M22" i="5"/>
  <c r="D12" i="8"/>
  <c r="D13" i="8" s="1"/>
  <c r="E12" i="8"/>
  <c r="E13" i="8" s="1"/>
  <c r="H12" i="8"/>
  <c r="H13" i="8" s="1"/>
  <c r="BC13" i="8"/>
  <c r="AV17" i="8" s="1"/>
  <c r="AV16" i="8"/>
  <c r="AF22" i="5"/>
  <c r="AC17" i="8"/>
  <c r="AC18" i="8" s="1"/>
  <c r="AC20" i="8" s="1"/>
  <c r="T17" i="8"/>
  <c r="T18" i="8" s="1"/>
  <c r="T20" i="8" s="1"/>
  <c r="AX22" i="5"/>
  <c r="AW22" i="5"/>
  <c r="AZ22" i="5"/>
  <c r="AY22" i="5"/>
  <c r="AH22" i="5"/>
  <c r="AM22" i="5"/>
  <c r="AO22" i="5"/>
  <c r="AP22" i="5"/>
  <c r="AN22" i="5"/>
  <c r="AG22" i="5"/>
  <c r="AR22" i="5"/>
  <c r="AD22" i="5"/>
  <c r="Y22" i="5"/>
  <c r="Z22" i="5"/>
  <c r="U22" i="5"/>
  <c r="X22" i="5"/>
  <c r="W22" i="5"/>
  <c r="Q22" i="5"/>
  <c r="P22" i="5"/>
  <c r="L22" i="5"/>
  <c r="N22" i="5"/>
  <c r="O22" i="5"/>
  <c r="C22" i="5"/>
  <c r="D22" i="5"/>
  <c r="E22" i="5"/>
  <c r="G22" i="5"/>
  <c r="H22" i="5"/>
  <c r="AM17" i="8" l="1"/>
  <c r="AM18" i="8" s="1"/>
  <c r="AM20" i="8" s="1"/>
  <c r="AM22" i="8" s="1"/>
  <c r="K17" i="8"/>
  <c r="K16" i="8"/>
  <c r="B17" i="8"/>
  <c r="B16" i="8"/>
  <c r="T22" i="8"/>
  <c r="D3" i="9"/>
  <c r="AC22" i="8"/>
  <c r="E3" i="9"/>
  <c r="AV18" i="8"/>
  <c r="AV20" i="8" s="1"/>
  <c r="K18" i="8" l="1"/>
  <c r="K20" i="8" s="1"/>
  <c r="K22" i="8" s="1"/>
  <c r="B18" i="8"/>
  <c r="B20" i="8" s="1"/>
  <c r="B22" i="8" s="1"/>
  <c r="AM24" i="8"/>
  <c r="F9" i="9"/>
  <c r="AC24" i="8"/>
  <c r="E6" i="9"/>
  <c r="E9" i="9" s="1"/>
  <c r="T24" i="8"/>
  <c r="D6" i="9"/>
  <c r="D9" i="9" s="1"/>
  <c r="AV22" i="8"/>
  <c r="G3" i="9"/>
  <c r="C3" i="9" l="1"/>
  <c r="B3" i="9"/>
  <c r="B24" i="8"/>
  <c r="B6" i="9"/>
  <c r="B9" i="9" s="1"/>
  <c r="K24" i="8"/>
  <c r="C6" i="9"/>
  <c r="C9" i="9" s="1"/>
  <c r="AV24" i="8"/>
  <c r="G6" i="9"/>
  <c r="G9" i="9"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5"/>
        </ext>
      </extLst>
    </bk>
  </futureMetadata>
  <cellMetadata count="1">
    <bk>
      <rc t="1" v="0"/>
    </bk>
  </cellMetadata>
  <valueMetadata count="13">
    <bk>
      <rc t="2" v="0"/>
    </bk>
    <bk>
      <rc t="2" v="1"/>
    </bk>
    <bk>
      <rc t="2" v="2"/>
    </bk>
    <bk>
      <rc t="2" v="3"/>
    </bk>
    <bk>
      <rc t="2" v="4"/>
    </bk>
    <bk>
      <rc t="2" v="5"/>
    </bk>
    <bk>
      <rc t="2" v="6"/>
    </bk>
    <bk>
      <rc t="2" v="7"/>
    </bk>
    <bk>
      <rc t="2" v="8"/>
    </bk>
    <bk>
      <rc t="2" v="9"/>
    </bk>
    <bk>
      <rc t="2" v="10"/>
    </bk>
    <bk>
      <rc t="2" v="11"/>
    </bk>
    <bk>
      <rc t="2" v="12"/>
    </bk>
  </valueMetadata>
</metadata>
</file>

<file path=xl/sharedStrings.xml><?xml version="1.0" encoding="utf-8"?>
<sst xmlns="http://schemas.openxmlformats.org/spreadsheetml/2006/main" count="1647" uniqueCount="576">
  <si>
    <t>Particulars</t>
  </si>
  <si>
    <t xml:space="preserve">Company </t>
  </si>
  <si>
    <t>Official Name</t>
  </si>
  <si>
    <t>Ticker Symbol</t>
  </si>
  <si>
    <t>Industry</t>
  </si>
  <si>
    <t>Headquarters</t>
  </si>
  <si>
    <t>Established year</t>
  </si>
  <si>
    <t>Share Price</t>
  </si>
  <si>
    <t>Share Outstanding</t>
  </si>
  <si>
    <t>Market Cap</t>
  </si>
  <si>
    <t>Currency conversion</t>
  </si>
  <si>
    <t>Beta</t>
  </si>
  <si>
    <t>Change (%)</t>
  </si>
  <si>
    <t>Employees</t>
  </si>
  <si>
    <t>COMPANY PROFILE</t>
  </si>
  <si>
    <t>Balance Sheet</t>
  </si>
  <si>
    <t>ASSETS</t>
  </si>
  <si>
    <t>Non-Current Assets</t>
  </si>
  <si>
    <t>PPE</t>
  </si>
  <si>
    <t>Capital work-in-progress</t>
  </si>
  <si>
    <t>Intangible assets</t>
  </si>
  <si>
    <t>Intangible assets under development</t>
  </si>
  <si>
    <t>Right-of-use assets</t>
  </si>
  <si>
    <t>Financial assets</t>
  </si>
  <si>
    <t>Investments</t>
  </si>
  <si>
    <t>Loans</t>
  </si>
  <si>
    <t>Other Financial assets</t>
  </si>
  <si>
    <t>Total non-current assets</t>
  </si>
  <si>
    <t>Current Assets</t>
  </si>
  <si>
    <t>Inventories</t>
  </si>
  <si>
    <t>Trade Receivables</t>
  </si>
  <si>
    <t>Cash and Cash Equivalents</t>
  </si>
  <si>
    <t>Other bank balances</t>
  </si>
  <si>
    <t>Current tax assets (net)</t>
  </si>
  <si>
    <t>Other current assets</t>
  </si>
  <si>
    <t>Total current Assets</t>
  </si>
  <si>
    <t>Total Assets</t>
  </si>
  <si>
    <t>EQUITY AND LIABILITIES</t>
  </si>
  <si>
    <t>Equity</t>
  </si>
  <si>
    <t>Equity share capital</t>
  </si>
  <si>
    <t>Other equity</t>
  </si>
  <si>
    <t>Equity attributable to owners of the company</t>
  </si>
  <si>
    <t>Non-controlling interest</t>
  </si>
  <si>
    <t>Total Equity</t>
  </si>
  <si>
    <t>Liabilities</t>
  </si>
  <si>
    <t>Non-current liabilities</t>
  </si>
  <si>
    <t>Financial Liabilities</t>
  </si>
  <si>
    <t>Borrowings</t>
  </si>
  <si>
    <t>Lease Liabilities</t>
  </si>
  <si>
    <t>Provisions</t>
  </si>
  <si>
    <t>Deferred tax liabilities (net)</t>
  </si>
  <si>
    <t>Other non-current liabilities</t>
  </si>
  <si>
    <t>Total non-current liabilities</t>
  </si>
  <si>
    <t>Current Liabilities</t>
  </si>
  <si>
    <t>Trade Payables</t>
  </si>
  <si>
    <t>Total outstanding dues of micro &amp; small enterprises</t>
  </si>
  <si>
    <t>Total outstanding dues of creditors other than M&amp;S</t>
  </si>
  <si>
    <t>Other financial liabilities</t>
  </si>
  <si>
    <t>Current tax liabilities (net)</t>
  </si>
  <si>
    <t>Other current liabilities</t>
  </si>
  <si>
    <t>Total Current Liabilities</t>
  </si>
  <si>
    <t>Total  Liabilities</t>
  </si>
  <si>
    <t>Total Equity and Liabilities</t>
  </si>
  <si>
    <t>Total Non-current liabilities</t>
  </si>
  <si>
    <t>Right of use assets</t>
  </si>
  <si>
    <t>Investment in equity accounted investees</t>
  </si>
  <si>
    <t>Other investments</t>
  </si>
  <si>
    <t>Financial receivables</t>
  </si>
  <si>
    <t>Loans and advances</t>
  </si>
  <si>
    <t>Other financial assets</t>
  </si>
  <si>
    <t>Deferred tax assets (net)</t>
  </si>
  <si>
    <t>Non-current tax assets (net)</t>
  </si>
  <si>
    <t>Other non-current assets</t>
  </si>
  <si>
    <t>Trade receivables</t>
  </si>
  <si>
    <t>Cash and cash equivalents</t>
  </si>
  <si>
    <t>Bank Balances</t>
  </si>
  <si>
    <t>Assets classified as held-for-sale</t>
  </si>
  <si>
    <t>Other assets</t>
  </si>
  <si>
    <t>Total Current assets</t>
  </si>
  <si>
    <t>Acceptances</t>
  </si>
  <si>
    <t>NA</t>
  </si>
  <si>
    <t>Investment properties</t>
  </si>
  <si>
    <t>Goodwill</t>
  </si>
  <si>
    <t>Goodwill on consolidation</t>
  </si>
  <si>
    <t>Other tangible assets</t>
  </si>
  <si>
    <t>Investments accounted using equity method</t>
  </si>
  <si>
    <t>Deferred tax assets</t>
  </si>
  <si>
    <t>Total Non-current assets</t>
  </si>
  <si>
    <t>Total current assets</t>
  </si>
  <si>
    <t>Lease liabilities</t>
  </si>
  <si>
    <t>Others</t>
  </si>
  <si>
    <t>Reinsurance asset</t>
  </si>
  <si>
    <t>Investments on life insurance business</t>
  </si>
  <si>
    <t>Investments of life insurance business</t>
  </si>
  <si>
    <t>Bank balances</t>
  </si>
  <si>
    <t>Insurance contract liabilities</t>
  </si>
  <si>
    <t>Investment contract liabilities</t>
  </si>
  <si>
    <t>Fund for discontinued policies</t>
  </si>
  <si>
    <t>Fund for future appropriation</t>
  </si>
  <si>
    <t>Total current liabilities</t>
  </si>
  <si>
    <t>Total Liabilities</t>
  </si>
  <si>
    <t>Right-to-use assets</t>
  </si>
  <si>
    <t>Investment property</t>
  </si>
  <si>
    <t>Other Intangible assets</t>
  </si>
  <si>
    <t>Investments accounted for using the equity method</t>
  </si>
  <si>
    <t>Assets classified as held for distribution</t>
  </si>
  <si>
    <t>Total assets</t>
  </si>
  <si>
    <t>Reserves and Surplus</t>
  </si>
  <si>
    <t>Other reserves</t>
  </si>
  <si>
    <t>Non-controlling interests</t>
  </si>
  <si>
    <t>Total equity</t>
  </si>
  <si>
    <t>Trade payables</t>
  </si>
  <si>
    <t>Employee benefit obligations</t>
  </si>
  <si>
    <t>Government grants</t>
  </si>
  <si>
    <t>Liabilities directly associated with the assets held for distribution</t>
  </si>
  <si>
    <t>Income tax assets (net)</t>
  </si>
  <si>
    <t>Other intangible assets</t>
  </si>
  <si>
    <t>INCOME STATEMENT</t>
  </si>
  <si>
    <t>Revenue from operations</t>
  </si>
  <si>
    <t>INCOME</t>
  </si>
  <si>
    <t>Other income</t>
  </si>
  <si>
    <t>Total income</t>
  </si>
  <si>
    <t>EXPENSES</t>
  </si>
  <si>
    <t>Cost of material consumed</t>
  </si>
  <si>
    <t>Purchase of stock-in-trade</t>
  </si>
  <si>
    <t>Change in inventories of finished good, work-in-progress and SIT</t>
  </si>
  <si>
    <t>Employee benefit expenses</t>
  </si>
  <si>
    <t>Finance costs</t>
  </si>
  <si>
    <t>Depreciation and ammortisation expenses</t>
  </si>
  <si>
    <t>Other expenses</t>
  </si>
  <si>
    <t>Vehicle/dies for own use</t>
  </si>
  <si>
    <t>Total expenses</t>
  </si>
  <si>
    <t>Share of profit of associates</t>
  </si>
  <si>
    <t>Share of profit of joint ventures</t>
  </si>
  <si>
    <t>Profit before tax</t>
  </si>
  <si>
    <t>Tax expense</t>
  </si>
  <si>
    <t>Current tax</t>
  </si>
  <si>
    <t>Deferred tax</t>
  </si>
  <si>
    <t>Total tax expense</t>
  </si>
  <si>
    <t>Profit/Loss for the year</t>
  </si>
  <si>
    <t>Profit/Loss before tax</t>
  </si>
  <si>
    <t>Cost of materials consumed</t>
  </si>
  <si>
    <t>Changes in inventory of finished goods, stock in trade and work in progress</t>
  </si>
  <si>
    <t>Employee benefit expense</t>
  </si>
  <si>
    <t>Finance cost</t>
  </si>
  <si>
    <t>(-) Amounts capitalised</t>
  </si>
  <si>
    <t>Profit before exceptional items, share of profit of associates and joint ventures and tax</t>
  </si>
  <si>
    <t>Exceptional items (net)</t>
  </si>
  <si>
    <t>Share of profit associates and joint ventures, (net)</t>
  </si>
  <si>
    <t>Profit/loss for the year from continuing operations</t>
  </si>
  <si>
    <t>Profit/loss before tax from discontinued operations</t>
  </si>
  <si>
    <t>Tax expense of discontinued operations</t>
  </si>
  <si>
    <t>Profit/Loss after tax from discontinued operations</t>
  </si>
  <si>
    <t>Profit/loss after tax from continuing and discontinued operations</t>
  </si>
  <si>
    <t>Other Operating revenues</t>
  </si>
  <si>
    <t>Total revenue from operations</t>
  </si>
  <si>
    <t>Other income (includes government grants)</t>
  </si>
  <si>
    <t>Basis adjustment on hedge accounted derivatives</t>
  </si>
  <si>
    <t>Purchase of products for sale</t>
  </si>
  <si>
    <t>Changes in inventories of finished goods, WIP and products for sale</t>
  </si>
  <si>
    <t>Foreign exchange gain/loss (net)</t>
  </si>
  <si>
    <t>Depreciation and ammortisation expense</t>
  </si>
  <si>
    <t>Product development/engineering expenses</t>
  </si>
  <si>
    <t>Amount transferred to capital and other account</t>
  </si>
  <si>
    <t>Profit/loss before exceptional items and tax</t>
  </si>
  <si>
    <t>Exceptional items</t>
  </si>
  <si>
    <t>Defined benefit pension plan amendment past service cost</t>
  </si>
  <si>
    <t>Employee seperation cost</t>
  </si>
  <si>
    <t>Charge associated with change in JLR strategy</t>
  </si>
  <si>
    <t>Write off/provision (reversal) for tangible/intangible assets</t>
  </si>
  <si>
    <t>Impairment losses/reversal in passenger vehicle business</t>
  </si>
  <si>
    <t>Provision/reversal for onerous contracts and supplier claims</t>
  </si>
  <si>
    <t>Reversal for cost of closure of operation of a subsidiary</t>
  </si>
  <si>
    <t>Impairment in subsidiaries</t>
  </si>
  <si>
    <t>Provision for loan given to a joint venture</t>
  </si>
  <si>
    <t>Current tax (including minimum alternate tax)</t>
  </si>
  <si>
    <t>Profit/Loss for the year from continuing operations</t>
  </si>
  <si>
    <t>Total exceptional items</t>
  </si>
  <si>
    <t>Share of profit/loss of joint ventures and associates (net)</t>
  </si>
  <si>
    <t>Profit/loss for the year</t>
  </si>
  <si>
    <t>Purchase of stock in trade</t>
  </si>
  <si>
    <t>Changes in inventories of finished goods, stock-in-trade and work in progress</t>
  </si>
  <si>
    <t>Profit before exceptional items, share of net profit/loss from associates and tax</t>
  </si>
  <si>
    <t>Share of net profit/loss from associates using  equity method</t>
  </si>
  <si>
    <t>Profit before exceptional items and tax</t>
  </si>
  <si>
    <t>Profit for the year</t>
  </si>
  <si>
    <t>Profit/Loss attributable to non-controlling interest</t>
  </si>
  <si>
    <t>Profit for the year attributable to owners</t>
  </si>
  <si>
    <t>Changes in inventories of finished goods, work-in-progress and stock-in-trade</t>
  </si>
  <si>
    <t>EBITDA</t>
  </si>
  <si>
    <t>Interest, depreciation and ammortisation expenses</t>
  </si>
  <si>
    <t xml:space="preserve">Current tax </t>
  </si>
  <si>
    <t>Profit after tax</t>
  </si>
  <si>
    <t>Other operating revenue</t>
  </si>
  <si>
    <t>Change in inventories of finished goods, WIP and SIT</t>
  </si>
  <si>
    <t>Depreciation and amortisation expense</t>
  </si>
  <si>
    <t>Profit before exceptional items, share of profit of investments accounted for using equity method and tax</t>
  </si>
  <si>
    <t>Exceptional income/expenses</t>
  </si>
  <si>
    <t>Group's share in net profit/loss of associates and Joint ventures</t>
  </si>
  <si>
    <t>Profit/Loss before tax from continuing operations</t>
  </si>
  <si>
    <t>Tax expenses</t>
  </si>
  <si>
    <t>Deferred tax expense</t>
  </si>
  <si>
    <t>Profit for the year from continuing operations</t>
  </si>
  <si>
    <t>Discontinued operations:</t>
  </si>
  <si>
    <t>Profit before tax from discontinued operations</t>
  </si>
  <si>
    <t>Tax expense/credit of discontinued operations</t>
  </si>
  <si>
    <t>Profit/Loss for the year from discontinued operations</t>
  </si>
  <si>
    <t>Profit/Loss for the year from continuing and discontinued operations</t>
  </si>
  <si>
    <t>Share of loss of equity accounted investees, net of tax</t>
  </si>
  <si>
    <t>CASH FLOW STATEMENT</t>
  </si>
  <si>
    <t>Cash flow from Operating activities</t>
  </si>
  <si>
    <t>Adjustments for:</t>
  </si>
  <si>
    <t>Share of dividend from joint ventures and associates</t>
  </si>
  <si>
    <t>Interest income</t>
  </si>
  <si>
    <t>Dividend income</t>
  </si>
  <si>
    <t>Net loss/gain on sale/discarding of PPE</t>
  </si>
  <si>
    <t>Net gain/loss of sale of investments in debt mutual funds</t>
  </si>
  <si>
    <t>Fair valuation gain on investments in debt mutual funds</t>
  </si>
  <si>
    <t>Liabilities no longer required written back</t>
  </si>
  <si>
    <t>Unrealised foreign exchange gain/loss</t>
  </si>
  <si>
    <t>Operating profit/loss before working capital changes</t>
  </si>
  <si>
    <t>Adjustments for changes in Working capital changes:</t>
  </si>
  <si>
    <t>Increase/decrease in other financial assets</t>
  </si>
  <si>
    <t>Increase/decrease in other non current assets</t>
  </si>
  <si>
    <t>Increase/decrease in inventories</t>
  </si>
  <si>
    <t>Increase/decrease in trade receivables</t>
  </si>
  <si>
    <t>Increase/decrease in loans (current)</t>
  </si>
  <si>
    <t>Increase/decrease in other financial assets (current)</t>
  </si>
  <si>
    <t>Increase/decrease in other current assets</t>
  </si>
  <si>
    <t>Increase/decrease in non-current provisions</t>
  </si>
  <si>
    <t>Increase/decrease in other non-current liabilities</t>
  </si>
  <si>
    <t>Increase/decrease in trade payables</t>
  </si>
  <si>
    <t>Increase/decrease in other financial liabilities (current)</t>
  </si>
  <si>
    <t>Increase/decrease in current provisions</t>
  </si>
  <si>
    <t>Increase/decrease in other current liabilities</t>
  </si>
  <si>
    <t>Cash generated/used in Operating activities</t>
  </si>
  <si>
    <t>Income taxes paid (net)</t>
  </si>
  <si>
    <t>Net cash from/used in Operating activities</t>
  </si>
  <si>
    <t>Cash flow from Investing activities</t>
  </si>
  <si>
    <t>Payments for purchase of PPE and capital WIP</t>
  </si>
  <si>
    <t>Payments for purchase of intangible assets and IA under dev</t>
  </si>
  <si>
    <t>Proceeds from sale of PPE</t>
  </si>
  <si>
    <t>Payments for purchase of investment in joint venture/associate</t>
  </si>
  <si>
    <t>Payment for purchase of Non-controlling interest</t>
  </si>
  <si>
    <t>Proceeds from sale of debt mutual funds</t>
  </si>
  <si>
    <t>Payments for purchase of debt mutual funds</t>
  </si>
  <si>
    <t>Investment in fixed deposits with bank</t>
  </si>
  <si>
    <t>Interest received</t>
  </si>
  <si>
    <t>Dividend received</t>
  </si>
  <si>
    <t>Net cash from/used in Investing actitivities</t>
  </si>
  <si>
    <t>Cash flow from Financing activities</t>
  </si>
  <si>
    <t>Movement in long term/short term borrowings (net)</t>
  </si>
  <si>
    <t>Principal elements of lease payments</t>
  </si>
  <si>
    <t>Finance cost paid</t>
  </si>
  <si>
    <t>Payment of dividend on equity shares</t>
  </si>
  <si>
    <t>Related income tax</t>
  </si>
  <si>
    <t>Net cash from/used in financing activities</t>
  </si>
  <si>
    <t>Net increase/decrease in cash and cash equivalents</t>
  </si>
  <si>
    <t>Cash and cash equivalents at the beginning of year</t>
  </si>
  <si>
    <t>Cash and cash equivalents at the end of the year</t>
  </si>
  <si>
    <t>Profit/Loss before exceptional items and tax</t>
  </si>
  <si>
    <t>Profit/Loss before tax from discontinued operations</t>
  </si>
  <si>
    <t>Depreciation, amortisation and impairment expense</t>
  </si>
  <si>
    <t>Loss/Gain on foreign exchange fluctuation (net)</t>
  </si>
  <si>
    <t>Gain due to change in lease arrangements</t>
  </si>
  <si>
    <t>Dividend on investments and interest income</t>
  </si>
  <si>
    <t>Interest, commitment and finance charges</t>
  </si>
  <si>
    <t>Equity-settled share based payment expenses</t>
  </si>
  <si>
    <t>Net gain on financial instruments measured at fair value</t>
  </si>
  <si>
    <t>Gain/Loss on PPE sold/scrapped/written off</t>
  </si>
  <si>
    <t>Items related to discontinued operations and gain on loss of control</t>
  </si>
  <si>
    <t>Profit/Loss</t>
  </si>
  <si>
    <t>Operating profit before working capital changes</t>
  </si>
  <si>
    <t>Changes in:</t>
  </si>
  <si>
    <t>Trade and other receivables</t>
  </si>
  <si>
    <t>Financial services receivable</t>
  </si>
  <si>
    <t>Trade and other payables and provisions</t>
  </si>
  <si>
    <t>Cash generated from/used in operations</t>
  </si>
  <si>
    <t>Income taxes paid</t>
  </si>
  <si>
    <t>Net cash from/used in operating activities</t>
  </si>
  <si>
    <t>Payment to  acquire PPE and other intangible assets</t>
  </si>
  <si>
    <t>Proceeds from sale of PPE and other intangible assets</t>
  </si>
  <si>
    <t>Payment to acquire investments</t>
  </si>
  <si>
    <t>Proceeds from sale of investments</t>
  </si>
  <si>
    <t xml:space="preserve">Interest received </t>
  </si>
  <si>
    <t>Proceeds from buy back of shares by associate</t>
  </si>
  <si>
    <t>Dividends received from others</t>
  </si>
  <si>
    <t>Bank deposits placed</t>
  </si>
  <si>
    <t>Bank deposits matured</t>
  </si>
  <si>
    <t>Net change in earmarked and margin account</t>
  </si>
  <si>
    <t>Inter corporate deposits placed</t>
  </si>
  <si>
    <t>Inter corporate deposits refunded</t>
  </si>
  <si>
    <t>Purchase of investment in join ventures and associates</t>
  </si>
  <si>
    <t>Purchase consideration paid on acquisition of subsidiaries net of cash</t>
  </si>
  <si>
    <t>Consideration received on disposal of subsidiaries</t>
  </si>
  <si>
    <t>Consideration received on disposal of associate</t>
  </si>
  <si>
    <t>Net cash from/used in investing activities</t>
  </si>
  <si>
    <t>Proceeds from sale of shares by M&amp;M benefit trust</t>
  </si>
  <si>
    <t>Proceeds from issue of shares to employees by ESOP trust</t>
  </si>
  <si>
    <t>Proceeds from borrowings</t>
  </si>
  <si>
    <t>Repayment of borrowings</t>
  </si>
  <si>
    <t>Net change in loans repayable on demand and cash credit</t>
  </si>
  <si>
    <t>Repayment of lease liabilities</t>
  </si>
  <si>
    <t>Dividends paid</t>
  </si>
  <si>
    <t>Dividend paid to non-controlling interests</t>
  </si>
  <si>
    <t>Transactions with non-controlling interest</t>
  </si>
  <si>
    <t>Interest, commitment and finance charges paid</t>
  </si>
  <si>
    <t>Net cash from/used in Financing activities</t>
  </si>
  <si>
    <t>Cash and cash equivalents at the beginning of the year</t>
  </si>
  <si>
    <t>Cash and cash equivalents related to discontinued operations</t>
  </si>
  <si>
    <t>Unrealised gain/loss on foreign currency cash and cash equivalents</t>
  </si>
  <si>
    <t>Cash flow from operating activities</t>
  </si>
  <si>
    <t>Allowances for finance receivables</t>
  </si>
  <si>
    <t>Allowances for trade and other receivables</t>
  </si>
  <si>
    <t>Inventory write-down</t>
  </si>
  <si>
    <t>Reversal for costs of closure of operations of a subsidiary company</t>
  </si>
  <si>
    <t>Write off/provision for tangible/intangible assets</t>
  </si>
  <si>
    <t>Provision/reversal for onerous contracts and related supplier claims</t>
  </si>
  <si>
    <t>Accrual for share based payments</t>
  </si>
  <si>
    <t>Gain/loss on marked to market investments</t>
  </si>
  <si>
    <t>Profit/Loss on sale of assets</t>
  </si>
  <si>
    <t>Profit on sale of investments</t>
  </si>
  <si>
    <t>Provision for loan given to a joint ventures</t>
  </si>
  <si>
    <t>Share of profits/loss of joint ventures and associates</t>
  </si>
  <si>
    <t>Foreign exchange gain/loss</t>
  </si>
  <si>
    <t>Finance receivables</t>
  </si>
  <si>
    <t>Loans and advances and other financial assets</t>
  </si>
  <si>
    <t>Other current and non-current assets</t>
  </si>
  <si>
    <t>Trade payables and acceptances</t>
  </si>
  <si>
    <t>Other current and non current liabilities</t>
  </si>
  <si>
    <t>Income tax paid (net)</t>
  </si>
  <si>
    <t>Payments for PPE</t>
  </si>
  <si>
    <t>Payments for other intangible assets</t>
  </si>
  <si>
    <t>Investments in mutual fund purchased/sold (net)</t>
  </si>
  <si>
    <t>Acquisition of subsidiary company</t>
  </si>
  <si>
    <t>Investments in equity accounted investees</t>
  </si>
  <si>
    <t>Investments-others</t>
  </si>
  <si>
    <t>Proceeds from loans given to others</t>
  </si>
  <si>
    <t>Loans given to joint venture</t>
  </si>
  <si>
    <t>Proceeds from sale of investments in other companies</t>
  </si>
  <si>
    <t>Dividend received from equity accounted investees</t>
  </si>
  <si>
    <t>Deposits with financial institution</t>
  </si>
  <si>
    <t>Realisation of deposit with financial institution</t>
  </si>
  <si>
    <t>Deposits/restricted deposits with banks</t>
  </si>
  <si>
    <t>Realisation of deposits/restricted deposits with banks</t>
  </si>
  <si>
    <t>Increase/decrease in short term inter-corporate deposits</t>
  </si>
  <si>
    <t>Net cash from/used in Investing activities</t>
  </si>
  <si>
    <t>Proceeds from issue of shares and warrants</t>
  </si>
  <si>
    <t>Proceeds from long-term borrowings</t>
  </si>
  <si>
    <t>Repayment of long term borrowings</t>
  </si>
  <si>
    <t>Proceeds from option settlement of long term borrowings</t>
  </si>
  <si>
    <t>Repayment of matured fixed deposits</t>
  </si>
  <si>
    <t>Proceeds from short term borrowings</t>
  </si>
  <si>
    <t>Repayment of short term borrowings</t>
  </si>
  <si>
    <t xml:space="preserve">Net change in other short term borrowings </t>
  </si>
  <si>
    <t>Repayment of lease liability</t>
  </si>
  <si>
    <t>Dividend paid to non-controlling interest shareholders of subsidiaries</t>
  </si>
  <si>
    <t>Proceeds from issuance/payment for acquisition of shares from non-controlling</t>
  </si>
  <si>
    <t>Dividend paid</t>
  </si>
  <si>
    <t>Proceeds from issuance of perpetual debt instrument classified</t>
  </si>
  <si>
    <t>Interest paid</t>
  </si>
  <si>
    <t>Net cash from Financing activities</t>
  </si>
  <si>
    <t>Cash and cash equivalens at the beginning of the year</t>
  </si>
  <si>
    <t>Effect of foreign exchange on cash and cash equivalents</t>
  </si>
  <si>
    <t>Cash Flow from Operating actitivities</t>
  </si>
  <si>
    <t>Net profit before tax</t>
  </si>
  <si>
    <t>Add: Depreciation and amortisation for the year</t>
  </si>
  <si>
    <t>Gain on lease preclosure</t>
  </si>
  <si>
    <t>Profit/Loss on sale of fixed assets</t>
  </si>
  <si>
    <t>Profit/Loss on sale of investments</t>
  </si>
  <si>
    <t>Unrealised exchange gain/loss</t>
  </si>
  <si>
    <t>Net profit/loss from associates using equity method</t>
  </si>
  <si>
    <t>Loans given by a financial enterprise</t>
  </si>
  <si>
    <t>Direct taxes paid</t>
  </si>
  <si>
    <t>Sale of fixed assets</t>
  </si>
  <si>
    <t>Purchase of investments</t>
  </si>
  <si>
    <t>Purchase of investments in associates</t>
  </si>
  <si>
    <t>Redemption of preference shares</t>
  </si>
  <si>
    <t>Sale of investments</t>
  </si>
  <si>
    <t>Contribution from non-controlling interest</t>
  </si>
  <si>
    <t>Dividends received</t>
  </si>
  <si>
    <t>Borrowings:</t>
  </si>
  <si>
    <t>Non-current borrowings availed/repaid</t>
  </si>
  <si>
    <t>Current borrowings availed/repaid</t>
  </si>
  <si>
    <t>Lease liabilities paid</t>
  </si>
  <si>
    <t>Dividend and dividend tax paid</t>
  </si>
  <si>
    <t>Purchase of PPE, intangible assets, capital WIP, intangibles under development, net of capital advances</t>
  </si>
  <si>
    <t>Depreciation and amortisation</t>
  </si>
  <si>
    <t>Gain on disposal of investment</t>
  </si>
  <si>
    <t>Profit/loss on PPE sold/discarded (net)</t>
  </si>
  <si>
    <t>Income from investments including dividend and interest</t>
  </si>
  <si>
    <t>Gain on fair valuation of investment</t>
  </si>
  <si>
    <t>Unrealised foreign exchange loss</t>
  </si>
  <si>
    <t>Provision for expected credit loss on trade receivables</t>
  </si>
  <si>
    <t>Share of profit of equity accounted investees, (net)</t>
  </si>
  <si>
    <t>Increase/decrease in other financial assets and other assets</t>
  </si>
  <si>
    <t>Increase in other financial liabilities, other liabilities and provisions</t>
  </si>
  <si>
    <t>Income tax</t>
  </si>
  <si>
    <t>Purchase and construction of PPE</t>
  </si>
  <si>
    <t>Net movement in bank deposits</t>
  </si>
  <si>
    <t>Purchase of investment</t>
  </si>
  <si>
    <t>Proceeds from sale of investment</t>
  </si>
  <si>
    <t>Investment income</t>
  </si>
  <si>
    <t>Payment towards lease liabilities</t>
  </si>
  <si>
    <t>Net cash generated from/used in Financing activitie</t>
  </si>
  <si>
    <t>Effect of exchnage rates changes</t>
  </si>
  <si>
    <t>Change in valuation of liability against life policies</t>
  </si>
  <si>
    <t>Acquisitions/disposal interest in associates (net)</t>
  </si>
  <si>
    <t>Profit before tax from continuing operation</t>
  </si>
  <si>
    <t>Profit before tax from discontinued operation</t>
  </si>
  <si>
    <t>Adjustments:</t>
  </si>
  <si>
    <t>Share of profit/loss in associates and joint venture accounted for using the equity method</t>
  </si>
  <si>
    <t>Loss/gain on disposal of PPE</t>
  </si>
  <si>
    <t>Bad debts/advances written off</t>
  </si>
  <si>
    <t>Provision for doubtful debts/advances</t>
  </si>
  <si>
    <t>Liability no longer required written back</t>
  </si>
  <si>
    <t>Unrealised foreign currency loss/gain</t>
  </si>
  <si>
    <t>Increase/decrease in trade and other payables</t>
  </si>
  <si>
    <t>Increase/decrease in other financial liabilities</t>
  </si>
  <si>
    <t>Increase/decrease in other receivables</t>
  </si>
  <si>
    <t>Cash generated/used in operating activities</t>
  </si>
  <si>
    <t>Taxes</t>
  </si>
  <si>
    <t>Net cash generated/used in operating activities</t>
  </si>
  <si>
    <t>Cash flow investing activities</t>
  </si>
  <si>
    <t>Payments for PPE and other intangible assets</t>
  </si>
  <si>
    <t>Proceeds from sale of PPE and other intangibles</t>
  </si>
  <si>
    <t>Proceeds from sale/payment for purchase of investments</t>
  </si>
  <si>
    <t>Loan to/repaid by related parties (net)</t>
  </si>
  <si>
    <t>Dividend received from associates and joint ventures entities</t>
  </si>
  <si>
    <t>Investment/proceeds from maturity of deposits with remaining maturity</t>
  </si>
  <si>
    <t xml:space="preserve">Consideration paid on acquisition of subsidiaries </t>
  </si>
  <si>
    <t>Cash flow from financing activities</t>
  </si>
  <si>
    <t>Proceeds from minority shareholders</t>
  </si>
  <si>
    <t>Dividend distribution tax</t>
  </si>
  <si>
    <t>Dividend paid to minority share holders</t>
  </si>
  <si>
    <t>Proceeds from long term borrowings</t>
  </si>
  <si>
    <t>Proceeds from loans from other related parties</t>
  </si>
  <si>
    <t>Payment of leased liability</t>
  </si>
  <si>
    <t>Net cash from/used in financing activites</t>
  </si>
  <si>
    <t>Net foreign exchange difference on balance with banks in foreign currency</t>
  </si>
  <si>
    <t>Net cash and cash equivalents at the beginning of the year</t>
  </si>
  <si>
    <t>Repayment of loans to other related parties</t>
  </si>
  <si>
    <t>FINANCIAL RATIOS</t>
  </si>
  <si>
    <t>Ratio</t>
  </si>
  <si>
    <t>Category</t>
  </si>
  <si>
    <t>Liquidity</t>
  </si>
  <si>
    <t>Current Ratio</t>
  </si>
  <si>
    <t>Quick ratio</t>
  </si>
  <si>
    <t>Debt to Equity</t>
  </si>
  <si>
    <t>Interest coverage</t>
  </si>
  <si>
    <t>Profitability</t>
  </si>
  <si>
    <t>Net Profit margin</t>
  </si>
  <si>
    <t>Efficiency</t>
  </si>
  <si>
    <t>Inventory Turnover</t>
  </si>
  <si>
    <t>Asset Turnover</t>
  </si>
  <si>
    <t>Valuation</t>
  </si>
  <si>
    <t>EV/EBITDA</t>
  </si>
  <si>
    <t>Price to book value</t>
  </si>
  <si>
    <t>EPS</t>
  </si>
  <si>
    <t>Debt ratio</t>
  </si>
  <si>
    <t>EBITDA Margin</t>
  </si>
  <si>
    <t>Gross Profit margin</t>
  </si>
  <si>
    <t>Return on Equity</t>
  </si>
  <si>
    <t>Return on capital employed</t>
  </si>
  <si>
    <t>Return on Assets</t>
  </si>
  <si>
    <t>Receivables Turnover</t>
  </si>
  <si>
    <t>Working capital turnover</t>
  </si>
  <si>
    <t>Price to earnings (P/E)</t>
  </si>
  <si>
    <t>Solvency</t>
  </si>
  <si>
    <t>PEG ratio</t>
  </si>
  <si>
    <t xml:space="preserve">Operating cash flow </t>
  </si>
  <si>
    <t>CapEx to Operating CF</t>
  </si>
  <si>
    <t>FCF Margin</t>
  </si>
  <si>
    <t>EPS Growth rate</t>
  </si>
  <si>
    <t>Cash Flow</t>
  </si>
  <si>
    <t>Cash flow</t>
  </si>
  <si>
    <t>COGS</t>
  </si>
  <si>
    <t>EPS Growth</t>
  </si>
  <si>
    <t>Component</t>
  </si>
  <si>
    <t>Risk free rate (Rf)</t>
  </si>
  <si>
    <t>Market risk premium</t>
  </si>
  <si>
    <t>Cost of equity (Ke)</t>
  </si>
  <si>
    <t>Cost of debt (pre tax)</t>
  </si>
  <si>
    <t>Tax rate</t>
  </si>
  <si>
    <t>Cost of debt (Kd)</t>
  </si>
  <si>
    <t>Debt</t>
  </si>
  <si>
    <t>Total Capital</t>
  </si>
  <si>
    <t>We</t>
  </si>
  <si>
    <t>Wd</t>
  </si>
  <si>
    <t>WACC</t>
  </si>
  <si>
    <t>WACC CALCULATION</t>
  </si>
  <si>
    <t>Terminal growth rate</t>
  </si>
  <si>
    <t>Risk-free rate (Rf)</t>
  </si>
  <si>
    <t>Dividend Payout ratio</t>
  </si>
  <si>
    <t>KEY ASSUMPTIONS</t>
  </si>
  <si>
    <t>Year</t>
  </si>
  <si>
    <t>CAGR</t>
  </si>
  <si>
    <t>Revenue</t>
  </si>
  <si>
    <t>EBIT</t>
  </si>
  <si>
    <t>Tax</t>
  </si>
  <si>
    <t>NOPAT</t>
  </si>
  <si>
    <t>Add: Depreciation &amp; Ammortization</t>
  </si>
  <si>
    <t>Less: CapEx</t>
  </si>
  <si>
    <t>Less: Change in Working capital</t>
  </si>
  <si>
    <t>Free cash flow to firm (FCFF)</t>
  </si>
  <si>
    <t>PV Factor</t>
  </si>
  <si>
    <t>PV of FCFF</t>
  </si>
  <si>
    <t>Terminal Value</t>
  </si>
  <si>
    <t>PV of TV</t>
  </si>
  <si>
    <t>Equity Value</t>
  </si>
  <si>
    <t>Net debt</t>
  </si>
  <si>
    <t>Enterprise Value</t>
  </si>
  <si>
    <t>Shares Outstanding</t>
  </si>
  <si>
    <t>Intrinsic Value per Share</t>
  </si>
  <si>
    <t>Current Market Price</t>
  </si>
  <si>
    <t>Upside/Downside</t>
  </si>
  <si>
    <t>Margin</t>
  </si>
  <si>
    <t>Working capital</t>
  </si>
  <si>
    <t>Working Capital</t>
  </si>
  <si>
    <t>VALUATION SUMMARY</t>
  </si>
  <si>
    <t>Market Value</t>
  </si>
  <si>
    <t>Intrinsic Value/share</t>
  </si>
  <si>
    <t>Current Market price</t>
  </si>
  <si>
    <t>Amount</t>
  </si>
  <si>
    <t>Property, Plant and Equipment</t>
  </si>
  <si>
    <t>Capital Work-in-progress</t>
  </si>
  <si>
    <t>Deferred tax Assets</t>
  </si>
  <si>
    <t>Other current Assets</t>
  </si>
  <si>
    <t>Total Adjusted Assets</t>
  </si>
  <si>
    <t>Assets</t>
  </si>
  <si>
    <t>Long-term Borrowings</t>
  </si>
  <si>
    <t>Short-term Borrowings</t>
  </si>
  <si>
    <t>Deferred tax Liabilities</t>
  </si>
  <si>
    <t>NAV</t>
  </si>
  <si>
    <t>Outstanding Shares</t>
  </si>
  <si>
    <t>NAV per share</t>
  </si>
  <si>
    <t>NAV CALCULATION</t>
  </si>
  <si>
    <t>Upside/Downside (Intrinsic:Market)</t>
  </si>
  <si>
    <t>NAV/share</t>
  </si>
  <si>
    <t>Market Price</t>
  </si>
  <si>
    <t>Shares</t>
  </si>
  <si>
    <t>Market cap</t>
  </si>
  <si>
    <t>Revenue CAGR</t>
  </si>
  <si>
    <t>Suzuki</t>
  </si>
  <si>
    <t>M&amp;M</t>
  </si>
  <si>
    <t>Tata</t>
  </si>
  <si>
    <t>TVS</t>
  </si>
  <si>
    <t>Exide</t>
  </si>
  <si>
    <t>Motherson</t>
  </si>
  <si>
    <t>Average</t>
  </si>
  <si>
    <t>Capital Senstivity</t>
  </si>
  <si>
    <t>Earnings growth</t>
  </si>
  <si>
    <t>GDP growth</t>
  </si>
  <si>
    <t>2020-21</t>
  </si>
  <si>
    <t>Change</t>
  </si>
  <si>
    <t>Senstivity</t>
  </si>
  <si>
    <t>Metrics</t>
  </si>
  <si>
    <t>Company</t>
  </si>
  <si>
    <t>2020-25</t>
  </si>
  <si>
    <t>Average Capex</t>
  </si>
  <si>
    <t>2026-30</t>
  </si>
  <si>
    <t>Capex CAGR</t>
  </si>
  <si>
    <t>Capex</t>
  </si>
  <si>
    <t>Change in EBIT (Historical)</t>
  </si>
  <si>
    <t>Change in CE</t>
  </si>
  <si>
    <t>Incremental ROCE (Historical)</t>
  </si>
  <si>
    <t>Change in EBIT (Forecast)</t>
  </si>
  <si>
    <t>Depreciation</t>
  </si>
  <si>
    <t>Effective Capital</t>
  </si>
  <si>
    <t>Raw ROCE (Forecast)</t>
  </si>
  <si>
    <t>Adjusted ROCE (Forecast)</t>
  </si>
  <si>
    <t>Earnings CAGR</t>
  </si>
  <si>
    <t>Leverage</t>
  </si>
  <si>
    <t>Debt/CE</t>
  </si>
  <si>
    <t>D/CE</t>
  </si>
  <si>
    <t>Debt/EBITDA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</si>
</sst>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4009]\ * #,##0.00_ ;_ [$₹-4009]\ * \-#,##0.00_ ;_ [$₹-4009]\ * &quot;-&quot;??_ ;_ @_ "/>
    <numFmt numFmtId="165" formatCode="_([$$-409]* #,##0.0000_);_([$$-409]* \(#,##0.0000\);_([$$-409]* &quot;-&quot;??_);_(@_)"/>
    <numFmt numFmtId="166" formatCode="_ [$₹-4009]\ * #,##0_ ;_ [$₹-4009]\ * \-#,##0_ ;_ [$₹-4009]\ * &quot;-&quot;_ ;_ @_ "/>
    <numFmt numFmtId="167" formatCode="_ * #,##0_ ;_ * \-#,##0_ ;_ * &quot;-&quot;??_ ;_ @_ "/>
    <numFmt numFmtId="168" formatCode="_ * #,##0.0000_ ;_ * \-#,##0.0000_ ;_ * &quot;-&quot;??_ ;_ @_ "/>
    <numFmt numFmtId="169" formatCode="0.0%"/>
  </numFmts>
  <fonts count="8"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20"/>
      <color theme="0"/>
      <name val="Calibri"/>
      <family val="2"/>
      <scheme val="minor"/>
    </font>
    <font>
      <b/>
      <sz val="19"/>
      <color theme="1"/>
      <name val="Calibri"/>
      <family val="2"/>
      <scheme val="minor"/>
    </font>
    <font>
      <b/>
      <sz val="18"/>
      <color theme="0"/>
      <name val="Calibri"/>
      <family val="2"/>
      <scheme val="minor"/>
    </font>
    <font>
      <b/>
      <sz val="16"/>
      <color theme="0"/>
      <name val="Calibri"/>
      <family val="2"/>
      <scheme val="minor"/>
    </font>
  </fonts>
  <fills count="4">
    <fill>
      <patternFill patternType="none"/>
    </fill>
    <fill>
      <patternFill patternType="gray125"/>
    </fill>
    <fill>
      <patternFill patternType="solid">
        <fgColor theme="1"/>
        <bgColor indexed="64"/>
      </patternFill>
    </fill>
    <fill>
      <patternFill patternType="solid">
        <fgColor theme="0" tint="-4.9989318521683403E-2"/>
        <bgColor indexed="64"/>
      </patternFill>
    </fill>
  </fills>
  <borders count="73">
    <border>
      <left/>
      <right/>
      <top/>
      <bottom/>
      <diagonal/>
    </border>
    <border>
      <left style="medium">
        <color theme="1"/>
      </left>
      <right style="medium">
        <color theme="1"/>
      </right>
      <top style="medium">
        <color theme="1"/>
      </top>
      <bottom style="medium">
        <color theme="1"/>
      </bottom>
      <diagonal/>
    </border>
    <border>
      <left style="thin">
        <color theme="1"/>
      </left>
      <right style="thin">
        <color theme="1"/>
      </right>
      <top style="thin">
        <color theme="1"/>
      </top>
      <bottom style="thin">
        <color theme="1"/>
      </bottom>
      <diagonal/>
    </border>
    <border>
      <left/>
      <right/>
      <top style="medium">
        <color theme="1"/>
      </top>
      <bottom/>
      <diagonal/>
    </border>
    <border>
      <left/>
      <right style="medium">
        <color theme="1"/>
      </right>
      <top style="medium">
        <color theme="1"/>
      </top>
      <bottom/>
      <diagonal/>
    </border>
    <border>
      <left style="thin">
        <color theme="1"/>
      </left>
      <right style="medium">
        <color theme="1"/>
      </right>
      <top style="thin">
        <color theme="1"/>
      </top>
      <bottom style="thin">
        <color theme="1"/>
      </bottom>
      <diagonal/>
    </border>
    <border>
      <left style="thin">
        <color theme="1"/>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
      <left/>
      <right style="thin">
        <color theme="1"/>
      </right>
      <top style="thin">
        <color theme="1"/>
      </top>
      <bottom style="thin">
        <color theme="1"/>
      </bottom>
      <diagonal/>
    </border>
    <border>
      <left/>
      <right style="thin">
        <color theme="1"/>
      </right>
      <top style="thin">
        <color theme="1"/>
      </top>
      <bottom style="medium">
        <color theme="1"/>
      </bottom>
      <diagonal/>
    </border>
    <border>
      <left style="medium">
        <color theme="1"/>
      </left>
      <right/>
      <top style="medium">
        <color theme="1"/>
      </top>
      <bottom/>
      <diagonal/>
    </border>
    <border>
      <left style="medium">
        <color theme="1"/>
      </left>
      <right style="medium">
        <color theme="1"/>
      </right>
      <top style="thin">
        <color theme="1"/>
      </top>
      <bottom style="thin">
        <color theme="1"/>
      </bottom>
      <diagonal/>
    </border>
    <border>
      <left style="medium">
        <color theme="1"/>
      </left>
      <right style="medium">
        <color theme="1"/>
      </right>
      <top style="thin">
        <color theme="1"/>
      </top>
      <bottom style="medium">
        <color theme="1"/>
      </bottom>
      <diagonal/>
    </border>
    <border>
      <left style="medium">
        <color theme="1"/>
      </left>
      <right style="medium">
        <color theme="1"/>
      </right>
      <top/>
      <bottom style="thin">
        <color theme="1"/>
      </bottom>
      <diagonal/>
    </border>
    <border>
      <left style="medium">
        <color theme="0"/>
      </left>
      <right/>
      <top style="medium">
        <color theme="0"/>
      </top>
      <bottom style="medium">
        <color theme="0"/>
      </bottom>
      <diagonal/>
    </border>
    <border>
      <left/>
      <right style="thin">
        <color theme="1"/>
      </right>
      <top/>
      <bottom style="thin">
        <color theme="1"/>
      </bottom>
      <diagonal/>
    </border>
    <border>
      <left style="thin">
        <color theme="1"/>
      </left>
      <right style="thin">
        <color theme="1"/>
      </right>
      <top/>
      <bottom style="thin">
        <color theme="1"/>
      </bottom>
      <diagonal/>
    </border>
    <border>
      <left style="thin">
        <color theme="1"/>
      </left>
      <right style="medium">
        <color theme="1"/>
      </right>
      <top/>
      <bottom style="thin">
        <color theme="1"/>
      </bottom>
      <diagonal/>
    </border>
    <border>
      <left/>
      <right/>
      <top style="medium">
        <color theme="1"/>
      </top>
      <bottom style="medium">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37">
    <xf numFmtId="0" fontId="0" fillId="0" borderId="0" xfId="0"/>
    <xf numFmtId="0" fontId="3" fillId="2" borderId="0" xfId="0" applyFont="1" applyFill="1" applyAlignment="1">
      <alignment vertical="center"/>
    </xf>
    <xf numFmtId="0" fontId="0" fillId="0" borderId="0" xfId="0" applyAlignment="1">
      <alignment vertical="center"/>
    </xf>
    <xf numFmtId="43" fontId="0" fillId="0" borderId="0" xfId="1" applyFont="1" applyAlignment="1">
      <alignment vertical="center"/>
    </xf>
    <xf numFmtId="0" fontId="0" fillId="0" borderId="2" xfId="0" applyBorder="1" applyAlignment="1">
      <alignment vertical="center"/>
    </xf>
    <xf numFmtId="0" fontId="0" fillId="0" borderId="2" xfId="0" applyBorder="1" applyAlignment="1">
      <alignment horizontal="center" vertical="center" wrapText="1"/>
    </xf>
    <xf numFmtId="0" fontId="0" fillId="0" borderId="2" xfId="0" applyBorder="1" applyAlignment="1">
      <alignment horizontal="center" vertical="center"/>
    </xf>
    <xf numFmtId="1" fontId="0" fillId="0" borderId="2" xfId="0" applyNumberFormat="1" applyBorder="1" applyAlignment="1">
      <alignment horizontal="center" vertical="center"/>
    </xf>
    <xf numFmtId="167" fontId="0" fillId="0" borderId="2" xfId="1" applyNumberFormat="1" applyFont="1" applyBorder="1" applyAlignment="1">
      <alignment horizontal="center" vertical="center"/>
    </xf>
    <xf numFmtId="168" fontId="0" fillId="0" borderId="2" xfId="1" applyNumberFormat="1" applyFont="1" applyBorder="1" applyAlignment="1">
      <alignment horizontal="center" vertical="center"/>
    </xf>
    <xf numFmtId="164" fontId="0" fillId="0" borderId="2" xfId="0" applyNumberFormat="1" applyBorder="1" applyAlignment="1">
      <alignment vertical="center"/>
    </xf>
    <xf numFmtId="10" fontId="0" fillId="0" borderId="2" xfId="0" applyNumberFormat="1" applyBorder="1" applyAlignment="1">
      <alignment horizontal="center" vertical="center"/>
    </xf>
    <xf numFmtId="165" fontId="0" fillId="0" borderId="2" xfId="0" applyNumberFormat="1" applyBorder="1" applyAlignment="1">
      <alignment horizontal="center" vertical="center"/>
    </xf>
    <xf numFmtId="3" fontId="0" fillId="0" borderId="2" xfId="0" applyNumberFormat="1" applyBorder="1" applyAlignment="1">
      <alignment vertical="center"/>
    </xf>
    <xf numFmtId="43" fontId="0" fillId="0" borderId="2" xfId="1" applyFont="1" applyBorder="1" applyAlignment="1">
      <alignment vertical="center"/>
    </xf>
    <xf numFmtId="166" fontId="0" fillId="0" borderId="2" xfId="0" applyNumberFormat="1" applyBorder="1" applyAlignment="1">
      <alignment vertical="center"/>
    </xf>
    <xf numFmtId="0" fontId="0" fillId="0" borderId="5" xfId="0" applyBorder="1" applyAlignment="1">
      <alignment horizontal="center" vertical="center" wrapText="1"/>
    </xf>
    <xf numFmtId="0" fontId="0" fillId="0" borderId="5" xfId="0" applyBorder="1" applyAlignment="1">
      <alignment horizontal="center" vertical="center"/>
    </xf>
    <xf numFmtId="1" fontId="0" fillId="0" borderId="5" xfId="0" applyNumberFormat="1" applyBorder="1" applyAlignment="1">
      <alignment horizontal="center" vertical="center"/>
    </xf>
    <xf numFmtId="167" fontId="0" fillId="0" borderId="5" xfId="1" applyNumberFormat="1" applyFont="1" applyBorder="1" applyAlignment="1">
      <alignment horizontal="center" vertical="center"/>
    </xf>
    <xf numFmtId="168" fontId="0" fillId="0" borderId="5" xfId="1" applyNumberFormat="1" applyFont="1" applyBorder="1" applyAlignment="1">
      <alignment horizontal="center" vertical="center"/>
    </xf>
    <xf numFmtId="164" fontId="0" fillId="0" borderId="5" xfId="0" applyNumberFormat="1" applyBorder="1" applyAlignment="1">
      <alignment vertical="center"/>
    </xf>
    <xf numFmtId="10" fontId="0" fillId="0" borderId="5" xfId="0" applyNumberFormat="1" applyBorder="1" applyAlignment="1">
      <alignment horizontal="center" vertical="center"/>
    </xf>
    <xf numFmtId="165" fontId="0" fillId="0" borderId="5" xfId="0" applyNumberFormat="1" applyBorder="1" applyAlignment="1">
      <alignment horizontal="center" vertical="center"/>
    </xf>
    <xf numFmtId="3" fontId="0" fillId="0" borderId="5" xfId="0" applyNumberFormat="1" applyBorder="1" applyAlignment="1">
      <alignment vertical="center"/>
    </xf>
    <xf numFmtId="43" fontId="0" fillId="0" borderId="5" xfId="1" applyFont="1" applyBorder="1" applyAlignment="1">
      <alignment vertical="center"/>
    </xf>
    <xf numFmtId="166" fontId="0" fillId="0" borderId="5" xfId="0" applyNumberFormat="1" applyBorder="1" applyAlignment="1">
      <alignment vertical="center"/>
    </xf>
    <xf numFmtId="4" fontId="0" fillId="0" borderId="6" xfId="0" applyNumberFormat="1" applyBorder="1" applyAlignment="1">
      <alignment vertical="center"/>
    </xf>
    <xf numFmtId="4" fontId="0" fillId="0" borderId="7" xfId="0" applyNumberFormat="1" applyBorder="1" applyAlignment="1">
      <alignment vertical="center"/>
    </xf>
    <xf numFmtId="0" fontId="0" fillId="0" borderId="8" xfId="0" applyBorder="1" applyAlignment="1">
      <alignment horizontal="center" vertical="center" wrapText="1"/>
    </xf>
    <xf numFmtId="0" fontId="0" fillId="0" borderId="8" xfId="0" applyBorder="1" applyAlignment="1">
      <alignment horizontal="center" vertical="center"/>
    </xf>
    <xf numFmtId="1" fontId="0" fillId="0" borderId="8" xfId="0" applyNumberFormat="1" applyBorder="1" applyAlignment="1">
      <alignment horizontal="center" vertical="center"/>
    </xf>
    <xf numFmtId="167" fontId="0" fillId="0" borderId="8" xfId="1" applyNumberFormat="1" applyFont="1" applyBorder="1" applyAlignment="1">
      <alignment horizontal="center" vertical="center"/>
    </xf>
    <xf numFmtId="168" fontId="0" fillId="0" borderId="8" xfId="1" applyNumberFormat="1" applyFont="1" applyBorder="1" applyAlignment="1">
      <alignment horizontal="center" vertical="center"/>
    </xf>
    <xf numFmtId="164" fontId="0" fillId="0" borderId="8" xfId="0" applyNumberFormat="1" applyBorder="1" applyAlignment="1">
      <alignment vertical="center"/>
    </xf>
    <xf numFmtId="10" fontId="0" fillId="0" borderId="8" xfId="0" applyNumberFormat="1" applyBorder="1" applyAlignment="1">
      <alignment horizontal="center" vertical="center"/>
    </xf>
    <xf numFmtId="165" fontId="0" fillId="0" borderId="8" xfId="0" applyNumberFormat="1" applyBorder="1" applyAlignment="1">
      <alignment horizontal="center" vertical="center"/>
    </xf>
    <xf numFmtId="3" fontId="0" fillId="0" borderId="8" xfId="0" applyNumberFormat="1" applyBorder="1" applyAlignment="1">
      <alignment vertical="center"/>
    </xf>
    <xf numFmtId="43" fontId="0" fillId="0" borderId="8" xfId="1" applyFont="1" applyBorder="1" applyAlignment="1">
      <alignment vertical="center"/>
    </xf>
    <xf numFmtId="166" fontId="0" fillId="0" borderId="8" xfId="0" applyNumberFormat="1" applyBorder="1" applyAlignment="1">
      <alignment vertical="center"/>
    </xf>
    <xf numFmtId="4" fontId="0" fillId="0" borderId="9" xfId="0" applyNumberFormat="1" applyBorder="1" applyAlignment="1">
      <alignment vertical="center"/>
    </xf>
    <xf numFmtId="0" fontId="0" fillId="0" borderId="11" xfId="0" applyBorder="1" applyAlignment="1">
      <alignment vertical="center"/>
    </xf>
    <xf numFmtId="0" fontId="0" fillId="0" borderId="12" xfId="0" applyBorder="1" applyAlignment="1">
      <alignment vertical="center"/>
    </xf>
    <xf numFmtId="0" fontId="0" fillId="0" borderId="13" xfId="0" applyBorder="1" applyAlignment="1">
      <alignment vertical="center"/>
    </xf>
    <xf numFmtId="0" fontId="3" fillId="2" borderId="14" xfId="0" applyFont="1" applyFill="1" applyBorder="1" applyAlignment="1">
      <alignment vertical="center"/>
    </xf>
    <xf numFmtId="0" fontId="0" fillId="0" borderId="15" xfId="0" applyBorder="1" applyAlignment="1">
      <alignment horizontal="center" vertical="center" wrapText="1"/>
    </xf>
    <xf numFmtId="0" fontId="0" fillId="3" borderId="1" xfId="0" applyFill="1" applyBorder="1" applyAlignment="1">
      <alignment horizontal="center" vertical="center"/>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3" borderId="18" xfId="0" applyFill="1" applyBorder="1" applyAlignment="1">
      <alignment horizontal="center" vertical="center"/>
    </xf>
    <xf numFmtId="0" fontId="2" fillId="0" borderId="2" xfId="0" applyFont="1" applyBorder="1" applyAlignment="1">
      <alignment vertical="center"/>
    </xf>
    <xf numFmtId="43" fontId="2" fillId="0" borderId="2" xfId="1" applyFont="1" applyBorder="1" applyAlignment="1">
      <alignment vertical="center"/>
    </xf>
    <xf numFmtId="0" fontId="3" fillId="2" borderId="0" xfId="0" applyFont="1" applyFill="1" applyAlignment="1">
      <alignment horizontal="center" vertical="center"/>
    </xf>
    <xf numFmtId="43" fontId="1" fillId="0" borderId="2" xfId="1" applyFont="1" applyBorder="1" applyAlignment="1">
      <alignment vertical="center"/>
    </xf>
    <xf numFmtId="0" fontId="3" fillId="2" borderId="0" xfId="0" applyFont="1" applyFill="1" applyAlignment="1">
      <alignment vertical="center" wrapText="1"/>
    </xf>
    <xf numFmtId="0" fontId="0" fillId="0" borderId="21" xfId="0" applyBorder="1" applyAlignment="1">
      <alignment vertical="center" wrapText="1"/>
    </xf>
    <xf numFmtId="43" fontId="0" fillId="0" borderId="21" xfId="1" applyFont="1" applyBorder="1" applyAlignment="1">
      <alignment vertical="center"/>
    </xf>
    <xf numFmtId="0" fontId="2" fillId="0" borderId="21" xfId="0" applyFont="1" applyBorder="1" applyAlignment="1">
      <alignment vertical="center" wrapText="1"/>
    </xf>
    <xf numFmtId="43" fontId="2" fillId="0" borderId="21" xfId="1" applyFont="1" applyBorder="1" applyAlignment="1">
      <alignment vertical="center"/>
    </xf>
    <xf numFmtId="0" fontId="0" fillId="0" borderId="0" xfId="0" applyAlignment="1">
      <alignment vertical="center" wrapText="1"/>
    </xf>
    <xf numFmtId="0" fontId="0" fillId="0" borderId="21" xfId="0" applyBorder="1" applyAlignment="1">
      <alignment vertical="center"/>
    </xf>
    <xf numFmtId="0" fontId="2" fillId="0" borderId="21" xfId="0" applyFont="1" applyBorder="1" applyAlignment="1">
      <alignment vertical="center"/>
    </xf>
    <xf numFmtId="43" fontId="2" fillId="0" borderId="21" xfId="0" applyNumberFormat="1" applyFont="1" applyBorder="1" applyAlignment="1">
      <alignment vertical="center"/>
    </xf>
    <xf numFmtId="0" fontId="0" fillId="3" borderId="0" xfId="0" applyFill="1" applyAlignment="1">
      <alignment horizontal="center" vertical="center"/>
    </xf>
    <xf numFmtId="0" fontId="2" fillId="0" borderId="21" xfId="0" applyFont="1" applyBorder="1" applyAlignment="1">
      <alignment horizontal="center" vertical="center"/>
    </xf>
    <xf numFmtId="0" fontId="2" fillId="0" borderId="0" xfId="0" applyFont="1" applyAlignment="1">
      <alignment vertical="center"/>
    </xf>
    <xf numFmtId="0" fontId="3" fillId="2" borderId="0" xfId="0" applyFont="1" applyFill="1" applyAlignment="1">
      <alignment horizontal="left" vertical="center"/>
    </xf>
    <xf numFmtId="0" fontId="0" fillId="0" borderId="0" xfId="0" applyAlignment="1">
      <alignment horizontal="left" vertical="center"/>
    </xf>
    <xf numFmtId="9" fontId="0" fillId="0" borderId="21" xfId="2" applyFont="1" applyBorder="1" applyAlignment="1">
      <alignment vertical="center"/>
    </xf>
    <xf numFmtId="169" fontId="0" fillId="0" borderId="21" xfId="2" applyNumberFormat="1" applyFont="1" applyBorder="1" applyAlignment="1">
      <alignment vertical="center"/>
    </xf>
    <xf numFmtId="43" fontId="0" fillId="0" borderId="0" xfId="0" applyNumberFormat="1" applyAlignment="1">
      <alignment vertical="center"/>
    </xf>
    <xf numFmtId="43" fontId="0" fillId="0" borderId="30" xfId="1" applyFont="1" applyBorder="1" applyAlignment="1">
      <alignment vertical="center"/>
    </xf>
    <xf numFmtId="43" fontId="0" fillId="0" borderId="31" xfId="1" applyFont="1" applyBorder="1" applyAlignment="1">
      <alignment vertical="center"/>
    </xf>
    <xf numFmtId="43" fontId="0" fillId="0" borderId="33" xfId="1" applyFont="1" applyBorder="1" applyAlignment="1">
      <alignment vertical="center"/>
    </xf>
    <xf numFmtId="169" fontId="0" fillId="0" borderId="33" xfId="2" applyNumberFormat="1" applyFont="1" applyBorder="1" applyAlignment="1">
      <alignment vertical="center"/>
    </xf>
    <xf numFmtId="9" fontId="0" fillId="0" borderId="36" xfId="2" applyFont="1" applyBorder="1" applyAlignment="1">
      <alignment vertical="center"/>
    </xf>
    <xf numFmtId="9" fontId="0" fillId="0" borderId="37" xfId="2" applyFont="1" applyBorder="1" applyAlignment="1">
      <alignment vertical="center"/>
    </xf>
    <xf numFmtId="43" fontId="0" fillId="0" borderId="26" xfId="1" applyFont="1" applyBorder="1" applyAlignment="1">
      <alignment vertical="center"/>
    </xf>
    <xf numFmtId="43" fontId="0" fillId="0" borderId="39" xfId="1" applyFont="1" applyBorder="1" applyAlignment="1">
      <alignment vertical="center"/>
    </xf>
    <xf numFmtId="43" fontId="0" fillId="0" borderId="36" xfId="1" applyFont="1" applyBorder="1" applyAlignment="1">
      <alignment vertical="center"/>
    </xf>
    <xf numFmtId="43" fontId="0" fillId="0" borderId="37" xfId="1" applyFont="1" applyBorder="1" applyAlignment="1">
      <alignment vertical="center"/>
    </xf>
    <xf numFmtId="43" fontId="0" fillId="0" borderId="25" xfId="1" applyFont="1" applyBorder="1" applyAlignment="1">
      <alignment vertical="center"/>
    </xf>
    <xf numFmtId="43" fontId="0" fillId="0" borderId="41" xfId="1" applyFont="1" applyBorder="1" applyAlignment="1">
      <alignment vertical="center"/>
    </xf>
    <xf numFmtId="169" fontId="0" fillId="0" borderId="30" xfId="2" applyNumberFormat="1" applyFont="1" applyBorder="1" applyAlignment="1">
      <alignment vertical="center"/>
    </xf>
    <xf numFmtId="169" fontId="0" fillId="0" borderId="31" xfId="2" applyNumberFormat="1" applyFont="1" applyBorder="1" applyAlignment="1">
      <alignment vertical="center"/>
    </xf>
    <xf numFmtId="169" fontId="0" fillId="0" borderId="36" xfId="2" applyNumberFormat="1" applyFont="1" applyBorder="1" applyAlignment="1">
      <alignment vertical="center"/>
    </xf>
    <xf numFmtId="169" fontId="0" fillId="0" borderId="37" xfId="2" applyNumberFormat="1" applyFont="1" applyBorder="1" applyAlignment="1">
      <alignment vertical="center"/>
    </xf>
    <xf numFmtId="43" fontId="0" fillId="0" borderId="42" xfId="1" applyFont="1" applyBorder="1" applyAlignment="1">
      <alignment vertical="center"/>
    </xf>
    <xf numFmtId="43" fontId="0" fillId="0" borderId="43" xfId="1" applyFont="1" applyBorder="1" applyAlignment="1">
      <alignment vertical="center"/>
    </xf>
    <xf numFmtId="43" fontId="0" fillId="0" borderId="44" xfId="1" applyFont="1" applyBorder="1" applyAlignment="1">
      <alignment vertical="center"/>
    </xf>
    <xf numFmtId="43" fontId="0" fillId="0" borderId="24" xfId="1" applyFont="1" applyBorder="1" applyAlignment="1">
      <alignment vertical="center"/>
    </xf>
    <xf numFmtId="43" fontId="0" fillId="0" borderId="27" xfId="1" applyFont="1" applyBorder="1" applyAlignment="1">
      <alignment vertical="center"/>
    </xf>
    <xf numFmtId="169" fontId="0" fillId="0" borderId="42" xfId="2" applyNumberFormat="1" applyFont="1" applyBorder="1" applyAlignment="1">
      <alignment vertical="center"/>
    </xf>
    <xf numFmtId="169" fontId="0" fillId="0" borderId="24" xfId="2" applyNumberFormat="1" applyFont="1" applyBorder="1" applyAlignment="1">
      <alignment vertical="center"/>
    </xf>
    <xf numFmtId="169" fontId="0" fillId="0" borderId="43" xfId="2" applyNumberFormat="1" applyFont="1" applyBorder="1" applyAlignment="1">
      <alignment vertical="center"/>
    </xf>
    <xf numFmtId="9" fontId="0" fillId="0" borderId="43" xfId="2" applyFont="1" applyBorder="1" applyAlignment="1">
      <alignment vertical="center"/>
    </xf>
    <xf numFmtId="0" fontId="0" fillId="0" borderId="45" xfId="0" applyBorder="1" applyAlignment="1">
      <alignment vertical="center"/>
    </xf>
    <xf numFmtId="0" fontId="0" fillId="0" borderId="46" xfId="0" applyBorder="1" applyAlignment="1">
      <alignment vertical="center"/>
    </xf>
    <xf numFmtId="0" fontId="0" fillId="0" borderId="47" xfId="0" applyBorder="1" applyAlignment="1">
      <alignment vertical="center"/>
    </xf>
    <xf numFmtId="0" fontId="0" fillId="0" borderId="48" xfId="0" applyBorder="1" applyAlignment="1">
      <alignment vertical="center"/>
    </xf>
    <xf numFmtId="0" fontId="0" fillId="0" borderId="49" xfId="0" applyBorder="1" applyAlignment="1">
      <alignment vertical="center"/>
    </xf>
    <xf numFmtId="0" fontId="0" fillId="0" borderId="51" xfId="0" applyBorder="1" applyAlignment="1">
      <alignment vertical="center"/>
    </xf>
    <xf numFmtId="43" fontId="0" fillId="0" borderId="53" xfId="1" applyFont="1" applyBorder="1" applyAlignment="1">
      <alignment vertical="center"/>
    </xf>
    <xf numFmtId="43" fontId="0" fillId="0" borderId="54" xfId="1" applyFont="1" applyBorder="1" applyAlignment="1">
      <alignment vertical="center"/>
    </xf>
    <xf numFmtId="43" fontId="0" fillId="0" borderId="55" xfId="1" applyFont="1" applyBorder="1" applyAlignment="1">
      <alignment vertical="center"/>
    </xf>
    <xf numFmtId="43" fontId="0" fillId="0" borderId="56" xfId="1" applyFont="1" applyBorder="1" applyAlignment="1">
      <alignment vertical="center"/>
    </xf>
    <xf numFmtId="43" fontId="0" fillId="0" borderId="57" xfId="1" applyFont="1" applyBorder="1" applyAlignment="1">
      <alignment vertical="center"/>
    </xf>
    <xf numFmtId="169" fontId="0" fillId="0" borderId="53" xfId="2" applyNumberFormat="1" applyFont="1" applyBorder="1" applyAlignment="1">
      <alignment vertical="center"/>
    </xf>
    <xf numFmtId="169" fontId="0" fillId="0" borderId="56" xfId="2" applyNumberFormat="1" applyFont="1" applyBorder="1" applyAlignment="1">
      <alignment vertical="center"/>
    </xf>
    <xf numFmtId="169" fontId="0" fillId="0" borderId="54" xfId="2" applyNumberFormat="1" applyFont="1" applyBorder="1" applyAlignment="1">
      <alignment vertical="center"/>
    </xf>
    <xf numFmtId="0" fontId="0" fillId="0" borderId="59" xfId="0" applyBorder="1" applyAlignment="1">
      <alignment vertical="center"/>
    </xf>
    <xf numFmtId="9" fontId="0" fillId="0" borderId="65" xfId="2" applyFont="1" applyBorder="1" applyAlignment="1">
      <alignment vertical="center"/>
    </xf>
    <xf numFmtId="9" fontId="0" fillId="0" borderId="64" xfId="2" applyFont="1" applyBorder="1" applyAlignment="1">
      <alignment vertical="center"/>
    </xf>
    <xf numFmtId="9" fontId="0" fillId="0" borderId="66" xfId="2" applyFont="1" applyBorder="1" applyAlignment="1">
      <alignment vertical="center"/>
    </xf>
    <xf numFmtId="0" fontId="0" fillId="0" borderId="67" xfId="0" applyBorder="1" applyAlignment="1">
      <alignment vertical="center"/>
    </xf>
    <xf numFmtId="0" fontId="0" fillId="0" borderId="28" xfId="0" applyBorder="1" applyAlignment="1">
      <alignment vertical="center"/>
    </xf>
    <xf numFmtId="9" fontId="0" fillId="0" borderId="68" xfId="2" applyFont="1" applyBorder="1" applyAlignment="1">
      <alignment vertical="center"/>
    </xf>
    <xf numFmtId="9" fontId="0" fillId="0" borderId="69" xfId="2" applyFont="1" applyBorder="1" applyAlignment="1">
      <alignment vertical="center"/>
    </xf>
    <xf numFmtId="0" fontId="0" fillId="0" borderId="70" xfId="0" applyBorder="1" applyAlignment="1">
      <alignment vertical="center"/>
    </xf>
    <xf numFmtId="0" fontId="0" fillId="0" borderId="58" xfId="0" applyBorder="1" applyAlignment="1">
      <alignment vertical="center"/>
    </xf>
    <xf numFmtId="9" fontId="0" fillId="0" borderId="71" xfId="2" applyFont="1" applyBorder="1" applyAlignment="1">
      <alignment vertical="center"/>
    </xf>
    <xf numFmtId="43" fontId="0" fillId="0" borderId="29" xfId="1" applyFont="1" applyBorder="1" applyAlignment="1">
      <alignment vertical="center"/>
    </xf>
    <xf numFmtId="43" fontId="0" fillId="0" borderId="40" xfId="1" applyFont="1" applyBorder="1" applyAlignment="1">
      <alignment vertical="center"/>
    </xf>
    <xf numFmtId="43" fontId="0" fillId="0" borderId="38" xfId="1" applyFont="1" applyBorder="1" applyAlignment="1">
      <alignment vertical="center"/>
    </xf>
    <xf numFmtId="43" fontId="0" fillId="0" borderId="32" xfId="1" applyFont="1" applyBorder="1" applyAlignment="1">
      <alignment vertical="center"/>
    </xf>
    <xf numFmtId="43" fontId="0" fillId="0" borderId="34" xfId="1" applyFont="1" applyBorder="1" applyAlignment="1">
      <alignment vertical="center"/>
    </xf>
    <xf numFmtId="169" fontId="0" fillId="0" borderId="29" xfId="2" applyNumberFormat="1" applyFont="1" applyBorder="1" applyAlignment="1">
      <alignment vertical="center"/>
    </xf>
    <xf numFmtId="169" fontId="0" fillId="0" borderId="32" xfId="2" applyNumberFormat="1" applyFont="1" applyBorder="1" applyAlignment="1">
      <alignment vertical="center"/>
    </xf>
    <xf numFmtId="169" fontId="0" fillId="0" borderId="40" xfId="2" applyNumberFormat="1" applyFont="1" applyBorder="1" applyAlignment="1">
      <alignment vertical="center"/>
    </xf>
    <xf numFmtId="9" fontId="0" fillId="0" borderId="40" xfId="2" applyFont="1" applyBorder="1" applyAlignment="1">
      <alignment vertical="center"/>
    </xf>
    <xf numFmtId="43" fontId="0" fillId="0" borderId="64" xfId="1" applyFont="1" applyBorder="1" applyAlignment="1">
      <alignment vertical="center"/>
    </xf>
    <xf numFmtId="43" fontId="0" fillId="0" borderId="66" xfId="1" applyFont="1" applyBorder="1" applyAlignment="1">
      <alignment vertical="center"/>
    </xf>
    <xf numFmtId="43" fontId="0" fillId="0" borderId="65" xfId="1" applyFont="1" applyBorder="1" applyAlignment="1">
      <alignment vertical="center"/>
    </xf>
    <xf numFmtId="9" fontId="0" fillId="0" borderId="70" xfId="2" applyFont="1" applyBorder="1" applyAlignment="1">
      <alignment vertical="center"/>
    </xf>
    <xf numFmtId="9" fontId="0" fillId="0" borderId="35" xfId="2" applyFont="1" applyBorder="1" applyAlignment="1">
      <alignment vertical="center"/>
    </xf>
    <xf numFmtId="0" fontId="2" fillId="3" borderId="0" xfId="0" applyFont="1" applyFill="1" applyAlignment="1">
      <alignment vertical="center"/>
    </xf>
    <xf numFmtId="10" fontId="0" fillId="0" borderId="21" xfId="2" applyNumberFormat="1" applyFont="1" applyBorder="1" applyAlignment="1">
      <alignment vertical="center"/>
    </xf>
    <xf numFmtId="4" fontId="0" fillId="0" borderId="21" xfId="0" applyNumberFormat="1" applyBorder="1" applyAlignment="1">
      <alignment vertical="center"/>
    </xf>
    <xf numFmtId="10" fontId="0" fillId="0" borderId="21" xfId="0" applyNumberFormat="1" applyBorder="1" applyAlignment="1">
      <alignment vertical="center"/>
    </xf>
    <xf numFmtId="43" fontId="0" fillId="0" borderId="21" xfId="0" applyNumberFormat="1" applyBorder="1" applyAlignment="1">
      <alignment vertical="center"/>
    </xf>
    <xf numFmtId="10" fontId="0" fillId="0" borderId="30" xfId="2" applyNumberFormat="1" applyFont="1" applyBorder="1" applyAlignment="1">
      <alignment vertical="center"/>
    </xf>
    <xf numFmtId="10" fontId="0" fillId="0" borderId="31" xfId="2" applyNumberFormat="1" applyFont="1" applyBorder="1" applyAlignment="1">
      <alignment vertical="center"/>
    </xf>
    <xf numFmtId="4" fontId="0" fillId="0" borderId="33" xfId="0" applyNumberFormat="1" applyBorder="1" applyAlignment="1">
      <alignment vertical="center"/>
    </xf>
    <xf numFmtId="10" fontId="0" fillId="0" borderId="33" xfId="2" applyNumberFormat="1" applyFont="1" applyBorder="1" applyAlignment="1">
      <alignment vertical="center"/>
    </xf>
    <xf numFmtId="43" fontId="0" fillId="0" borderId="33" xfId="0" applyNumberFormat="1" applyBorder="1" applyAlignment="1">
      <alignment vertical="center"/>
    </xf>
    <xf numFmtId="10" fontId="0" fillId="0" borderId="36" xfId="2" applyNumberFormat="1" applyFont="1" applyBorder="1" applyAlignment="1">
      <alignment vertical="center"/>
    </xf>
    <xf numFmtId="10" fontId="0" fillId="0" borderId="37" xfId="2" applyNumberFormat="1" applyFont="1" applyBorder="1" applyAlignment="1">
      <alignment vertical="center"/>
    </xf>
    <xf numFmtId="10" fontId="0" fillId="0" borderId="42" xfId="2" applyNumberFormat="1" applyFont="1" applyBorder="1" applyAlignment="1">
      <alignment vertical="center"/>
    </xf>
    <xf numFmtId="4" fontId="0" fillId="0" borderId="24" xfId="0" applyNumberFormat="1" applyBorder="1" applyAlignment="1">
      <alignment vertical="center"/>
    </xf>
    <xf numFmtId="10" fontId="0" fillId="0" borderId="24" xfId="2" applyNumberFormat="1" applyFont="1" applyBorder="1" applyAlignment="1">
      <alignment vertical="center"/>
    </xf>
    <xf numFmtId="43" fontId="0" fillId="0" borderId="24" xfId="0" applyNumberFormat="1" applyBorder="1" applyAlignment="1">
      <alignment vertical="center"/>
    </xf>
    <xf numFmtId="10" fontId="0" fillId="0" borderId="43" xfId="2" applyNumberFormat="1" applyFont="1" applyBorder="1" applyAlignment="1">
      <alignment vertical="center"/>
    </xf>
    <xf numFmtId="10" fontId="0" fillId="0" borderId="33" xfId="0" applyNumberFormat="1" applyBorder="1" applyAlignment="1">
      <alignment vertical="center"/>
    </xf>
    <xf numFmtId="10" fontId="0" fillId="0" borderId="24" xfId="0" applyNumberFormat="1" applyBorder="1" applyAlignment="1">
      <alignment vertical="center"/>
    </xf>
    <xf numFmtId="169" fontId="0" fillId="0" borderId="21" xfId="2" applyNumberFormat="1" applyFont="1" applyBorder="1" applyAlignment="1">
      <alignment horizontal="center" vertical="center"/>
    </xf>
    <xf numFmtId="0" fontId="0" fillId="0" borderId="0" xfId="0" applyAlignment="1">
      <alignment horizontal="center" vertical="center"/>
    </xf>
    <xf numFmtId="0" fontId="0" fillId="0" borderId="72" xfId="0" applyBorder="1" applyAlignment="1">
      <alignment vertical="center"/>
    </xf>
    <xf numFmtId="9" fontId="2" fillId="0" borderId="21" xfId="2" applyFont="1" applyBorder="1" applyAlignment="1">
      <alignment vertical="center"/>
    </xf>
    <xf numFmtId="0" fontId="0" fillId="0" borderId="2" xfId="0" applyBorder="1" applyAlignment="1">
      <alignment vertical="center" wrapText="1"/>
    </xf>
    <xf numFmtId="43" fontId="0" fillId="0" borderId="2" xfId="0" applyNumberFormat="1" applyBorder="1" applyAlignment="1">
      <alignment vertical="center"/>
    </xf>
    <xf numFmtId="164" fontId="0" fillId="0" borderId="2" xfId="1" applyNumberFormat="1" applyFont="1" applyBorder="1" applyAlignment="1">
      <alignment vertical="center"/>
    </xf>
    <xf numFmtId="169" fontId="0" fillId="0" borderId="2" xfId="2" applyNumberFormat="1" applyFont="1" applyBorder="1" applyAlignment="1">
      <alignment vertical="center"/>
    </xf>
    <xf numFmtId="10" fontId="0" fillId="0" borderId="0" xfId="2" applyNumberFormat="1" applyFont="1" applyAlignment="1">
      <alignment vertical="center"/>
    </xf>
    <xf numFmtId="0" fontId="2" fillId="3" borderId="21" xfId="0" applyFont="1" applyFill="1" applyBorder="1" applyAlignment="1">
      <alignment vertical="center"/>
    </xf>
    <xf numFmtId="0" fontId="0" fillId="3" borderId="21" xfId="0" applyFill="1" applyBorder="1" applyAlignment="1">
      <alignment horizontal="center" vertical="center"/>
    </xf>
    <xf numFmtId="164" fontId="0" fillId="0" borderId="21" xfId="1" applyNumberFormat="1" applyFont="1" applyBorder="1" applyAlignment="1">
      <alignment vertical="center"/>
    </xf>
    <xf numFmtId="10" fontId="0" fillId="0" borderId="0" xfId="2" applyNumberFormat="1" applyFont="1" applyAlignment="1">
      <alignment horizontal="center" vertical="center"/>
    </xf>
    <xf numFmtId="43" fontId="0" fillId="0" borderId="0" xfId="0" applyNumberFormat="1" applyAlignment="1">
      <alignment horizontal="center" vertical="center"/>
    </xf>
    <xf numFmtId="43" fontId="0" fillId="0" borderId="0" xfId="1" applyFont="1" applyAlignment="1">
      <alignment horizontal="center" vertical="center"/>
    </xf>
    <xf numFmtId="10" fontId="0" fillId="0" borderId="0" xfId="1" applyNumberFormat="1" applyFont="1" applyAlignment="1">
      <alignment horizontal="center" vertical="center"/>
    </xf>
    <xf numFmtId="0" fontId="7" fillId="3" borderId="72" xfId="0" applyFont="1" applyFill="1" applyBorder="1" applyAlignment="1">
      <alignment horizontal="center" vertical="center"/>
    </xf>
    <xf numFmtId="10" fontId="0" fillId="0" borderId="21" xfId="2" applyNumberFormat="1" applyFont="1" applyBorder="1" applyAlignment="1">
      <alignment horizontal="center" vertical="center" wrapText="1"/>
    </xf>
    <xf numFmtId="0" fontId="0" fillId="0" borderId="0" xfId="0" applyAlignment="1">
      <alignment horizontal="center" vertical="center" wrapText="1"/>
    </xf>
    <xf numFmtId="0" fontId="0" fillId="0" borderId="21" xfId="0" applyBorder="1" applyAlignment="1">
      <alignment horizontal="left" vertical="center" wrapText="1"/>
    </xf>
    <xf numFmtId="10" fontId="0" fillId="0" borderId="21" xfId="2" applyNumberFormat="1" applyFont="1" applyBorder="1" applyAlignment="1">
      <alignment horizontal="center" vertical="center"/>
    </xf>
    <xf numFmtId="10" fontId="2" fillId="0" borderId="21" xfId="2" applyNumberFormat="1" applyFont="1" applyBorder="1" applyAlignment="1">
      <alignment horizontal="center" vertical="center"/>
    </xf>
    <xf numFmtId="10" fontId="2" fillId="0" borderId="21" xfId="2" applyNumberFormat="1" applyFont="1" applyBorder="1" applyAlignment="1">
      <alignment vertical="center"/>
    </xf>
    <xf numFmtId="0" fontId="0" fillId="0" borderId="21" xfId="0" applyBorder="1" applyAlignment="1">
      <alignment horizontal="right" vertical="center"/>
    </xf>
    <xf numFmtId="0" fontId="2" fillId="0" borderId="21" xfId="0" applyFont="1" applyBorder="1" applyAlignment="1">
      <alignment horizontal="center" vertical="center" wrapText="1"/>
    </xf>
    <xf numFmtId="0" fontId="2" fillId="0" borderId="46" xfId="0" applyFont="1" applyBorder="1" applyAlignment="1">
      <alignment vertical="center"/>
    </xf>
    <xf numFmtId="10" fontId="2" fillId="0" borderId="43" xfId="2" applyNumberFormat="1" applyFont="1" applyBorder="1" applyAlignment="1">
      <alignment vertical="center"/>
    </xf>
    <xf numFmtId="10" fontId="2" fillId="0" borderId="36" xfId="2" applyNumberFormat="1" applyFont="1" applyBorder="1" applyAlignment="1">
      <alignment vertical="center"/>
    </xf>
    <xf numFmtId="10" fontId="2" fillId="0" borderId="37" xfId="2" applyNumberFormat="1" applyFont="1" applyBorder="1" applyAlignment="1">
      <alignment vertical="center"/>
    </xf>
    <xf numFmtId="10" fontId="2" fillId="0" borderId="0" xfId="2" applyNumberFormat="1" applyFont="1" applyAlignment="1">
      <alignment vertical="center"/>
    </xf>
    <xf numFmtId="43" fontId="0" fillId="0" borderId="0" xfId="1" applyFont="1" applyBorder="1" applyAlignment="1">
      <alignment vertical="center"/>
    </xf>
    <xf numFmtId="0" fontId="0" fillId="0" borderId="11" xfId="0" applyBorder="1" applyAlignment="1">
      <alignment horizontal="left" vertical="center"/>
    </xf>
    <xf numFmtId="0" fontId="4" fillId="2" borderId="10"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5" fillId="3" borderId="0" xfId="0" applyFont="1" applyFill="1" applyAlignment="1">
      <alignment horizontal="center" vertical="center"/>
    </xf>
    <xf numFmtId="0" fontId="0" fillId="3" borderId="0" xfId="0" applyFill="1" applyAlignment="1">
      <alignment horizontal="center" vertical="center"/>
    </xf>
    <xf numFmtId="0" fontId="2" fillId="0" borderId="2" xfId="0" applyFont="1" applyBorder="1" applyAlignment="1">
      <alignment horizontal="left" vertical="center"/>
    </xf>
    <xf numFmtId="0" fontId="2" fillId="0" borderId="19" xfId="0" applyFont="1" applyBorder="1" applyAlignment="1">
      <alignment horizontal="left" vertical="center"/>
    </xf>
    <xf numFmtId="0" fontId="2" fillId="0" borderId="20" xfId="0" applyFont="1" applyBorder="1" applyAlignment="1">
      <alignment horizontal="left" vertical="center"/>
    </xf>
    <xf numFmtId="0" fontId="2" fillId="0" borderId="8" xfId="0" applyFont="1" applyBorder="1" applyAlignment="1">
      <alignment horizontal="left" vertical="center"/>
    </xf>
    <xf numFmtId="0" fontId="2" fillId="0" borderId="19" xfId="0" applyFont="1" applyBorder="1" applyAlignment="1">
      <alignment horizontal="left"/>
    </xf>
    <xf numFmtId="0" fontId="2" fillId="0" borderId="20" xfId="0" applyFont="1" applyBorder="1" applyAlignment="1">
      <alignment horizontal="left"/>
    </xf>
    <xf numFmtId="0" fontId="2" fillId="0" borderId="8" xfId="0" applyFont="1" applyBorder="1" applyAlignment="1">
      <alignment horizontal="left"/>
    </xf>
    <xf numFmtId="0" fontId="2" fillId="0" borderId="22" xfId="0" applyFont="1" applyBorder="1" applyAlignment="1">
      <alignment horizontal="left" vertical="center"/>
    </xf>
    <xf numFmtId="0" fontId="2" fillId="0" borderId="23" xfId="0" applyFont="1" applyBorder="1" applyAlignment="1">
      <alignment horizontal="left" vertical="center"/>
    </xf>
    <xf numFmtId="0" fontId="2" fillId="0" borderId="24" xfId="0" applyFont="1" applyBorder="1" applyAlignment="1">
      <alignment horizontal="left" vertical="center"/>
    </xf>
    <xf numFmtId="0" fontId="2" fillId="0" borderId="21" xfId="0" applyFont="1" applyBorder="1" applyAlignment="1">
      <alignment horizontal="left" vertical="center"/>
    </xf>
    <xf numFmtId="0" fontId="2" fillId="0" borderId="21" xfId="0" applyFont="1" applyBorder="1" applyAlignment="1">
      <alignment horizontal="left" vertical="center" wrapText="1"/>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5" xfId="0" applyBorder="1" applyAlignment="1">
      <alignment horizontal="left" vertical="center" wrapText="1"/>
    </xf>
    <xf numFmtId="0" fontId="0" fillId="0" borderId="26" xfId="0" applyBorder="1" applyAlignment="1">
      <alignment horizontal="left" vertical="center" wrapText="1"/>
    </xf>
    <xf numFmtId="0" fontId="0" fillId="0" borderId="47" xfId="0" applyBorder="1" applyAlignment="1">
      <alignment horizontal="left" vertical="center"/>
    </xf>
    <xf numFmtId="0" fontId="0" fillId="0" borderId="48" xfId="0" applyBorder="1" applyAlignment="1">
      <alignment horizontal="left" vertical="center"/>
    </xf>
    <xf numFmtId="0" fontId="0" fillId="0" borderId="49" xfId="0" applyBorder="1" applyAlignment="1">
      <alignment horizontal="left" vertical="center"/>
    </xf>
    <xf numFmtId="0" fontId="0" fillId="0" borderId="45" xfId="0" applyBorder="1" applyAlignment="1">
      <alignment horizontal="left" vertical="center"/>
    </xf>
    <xf numFmtId="0" fontId="0" fillId="0" borderId="46" xfId="0" applyBorder="1" applyAlignment="1">
      <alignment horizontal="left" vertical="center"/>
    </xf>
    <xf numFmtId="0" fontId="0" fillId="0" borderId="60" xfId="0" applyBorder="1" applyAlignment="1">
      <alignment horizontal="left" vertical="center"/>
    </xf>
    <xf numFmtId="0" fontId="0" fillId="0" borderId="61" xfId="0" applyBorder="1" applyAlignment="1">
      <alignment horizontal="left" vertical="center"/>
    </xf>
    <xf numFmtId="0" fontId="0" fillId="0" borderId="58" xfId="0" applyBorder="1" applyAlignment="1">
      <alignment horizontal="left" vertical="center"/>
    </xf>
    <xf numFmtId="0" fontId="0" fillId="0" borderId="59" xfId="0" applyBorder="1" applyAlignment="1">
      <alignment horizontal="left" vertical="center"/>
    </xf>
    <xf numFmtId="0" fontId="0" fillId="0" borderId="62" xfId="0" applyBorder="1" applyAlignment="1">
      <alignment horizontal="left" vertical="center"/>
    </xf>
    <xf numFmtId="0" fontId="0" fillId="0" borderId="52" xfId="0" applyBorder="1" applyAlignment="1">
      <alignment horizontal="left" vertical="center"/>
    </xf>
    <xf numFmtId="0" fontId="0" fillId="0" borderId="50" xfId="0" applyBorder="1" applyAlignment="1">
      <alignment horizontal="left" vertical="center"/>
    </xf>
    <xf numFmtId="0" fontId="0" fillId="0" borderId="63" xfId="0" applyBorder="1" applyAlignment="1">
      <alignment horizontal="left" vertical="center"/>
    </xf>
    <xf numFmtId="0" fontId="0" fillId="0" borderId="66" xfId="0" applyBorder="1" applyAlignment="1">
      <alignment horizontal="left" vertical="center"/>
    </xf>
    <xf numFmtId="0" fontId="6" fillId="2" borderId="0" xfId="0" applyFont="1" applyFill="1" applyAlignment="1">
      <alignment horizontal="center" vertical="center"/>
    </xf>
    <xf numFmtId="10" fontId="0" fillId="0" borderId="21" xfId="0" applyNumberFormat="1" applyBorder="1" applyAlignment="1">
      <alignment horizontal="center" vertical="center"/>
    </xf>
    <xf numFmtId="0" fontId="0" fillId="0" borderId="21" xfId="0" applyBorder="1" applyAlignment="1">
      <alignment horizontal="center" vertical="center"/>
    </xf>
    <xf numFmtId="0" fontId="0" fillId="0" borderId="21" xfId="0" applyBorder="1" applyAlignment="1">
      <alignment horizontal="left" vertical="center"/>
    </xf>
    <xf numFmtId="0" fontId="0" fillId="0" borderId="0" xfId="0" applyAlignment="1">
      <alignment horizontal="center" vertical="center"/>
    </xf>
    <xf numFmtId="0" fontId="0" fillId="2" borderId="0" xfId="0" applyFill="1" applyAlignment="1">
      <alignment horizontal="center" vertical="center"/>
    </xf>
    <xf numFmtId="0" fontId="0" fillId="0" borderId="22" xfId="0" applyBorder="1" applyAlignment="1">
      <alignment horizontal="left" vertical="center"/>
    </xf>
    <xf numFmtId="0" fontId="0" fillId="0" borderId="23" xfId="0" applyBorder="1" applyAlignment="1">
      <alignment horizontal="left" vertical="center"/>
    </xf>
    <xf numFmtId="0" fontId="0" fillId="0" borderId="24" xfId="0" applyBorder="1" applyAlignment="1">
      <alignment horizontal="left" vertical="center"/>
    </xf>
    <xf numFmtId="10" fontId="0" fillId="0" borderId="22" xfId="0" applyNumberFormat="1" applyBorder="1" applyAlignment="1">
      <alignment horizontal="center" vertical="center"/>
    </xf>
    <xf numFmtId="10" fontId="0" fillId="0" borderId="24" xfId="0" applyNumberFormat="1" applyBorder="1" applyAlignment="1">
      <alignment horizontal="center" vertical="center"/>
    </xf>
    <xf numFmtId="0" fontId="0" fillId="0" borderId="72" xfId="0" applyBorder="1" applyAlignment="1">
      <alignment horizontal="center" vertical="center"/>
    </xf>
    <xf numFmtId="0" fontId="0" fillId="2" borderId="72" xfId="0" applyFill="1" applyBorder="1" applyAlignment="1">
      <alignment horizontal="center" vertical="center"/>
    </xf>
    <xf numFmtId="0" fontId="7" fillId="2" borderId="0" xfId="0" applyFont="1" applyFill="1" applyAlignment="1">
      <alignment horizontal="center" vertical="center"/>
    </xf>
    <xf numFmtId="0" fontId="2" fillId="0" borderId="21" xfId="0" applyFont="1" applyBorder="1" applyAlignment="1">
      <alignment horizontal="center" vertical="center"/>
    </xf>
    <xf numFmtId="0" fontId="7" fillId="2" borderId="72" xfId="0" applyFont="1" applyFill="1" applyBorder="1" applyAlignment="1">
      <alignment horizontal="center" vertical="center"/>
    </xf>
  </cellXfs>
  <cellStyles count="3">
    <cellStyle name="Comma" xfId="1" builtinId="3"/>
    <cellStyle name="Normal" xfId="0" builtinId="0"/>
    <cellStyle name="Percent" xfId="2" builtinId="5"/>
  </cellStyles>
  <dxfs count="42">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8696B"/>
        </patternFill>
      </fill>
    </dxf>
    <dxf>
      <fill>
        <patternFill>
          <bgColor rgb="FF63BE7B"/>
        </patternFill>
      </fill>
    </dxf>
    <dxf>
      <fill>
        <patternFill>
          <bgColor rgb="FFF8696B"/>
        </patternFill>
      </fill>
    </dxf>
    <dxf>
      <fill>
        <patternFill>
          <bgColor rgb="FF63BE7B"/>
        </patternFill>
      </fill>
    </dxf>
    <dxf>
      <fill>
        <patternFill>
          <bgColor rgb="FF63BE7B"/>
        </patternFill>
      </fill>
    </dxf>
    <dxf>
      <fill>
        <patternFill>
          <bgColor rgb="FFF8696B"/>
        </patternFill>
      </fill>
    </dxf>
    <dxf>
      <font>
        <color rgb="FF9C0006"/>
      </font>
      <fill>
        <patternFill>
          <bgColor rgb="FFFFC7CE"/>
        </patternFill>
      </fill>
    </dxf>
    <dxf>
      <font>
        <color rgb="FF006100"/>
      </font>
      <fill>
        <patternFill>
          <bgColor rgb="FFC6EFCE"/>
        </patternFill>
      </fill>
    </dxf>
    <dxf>
      <fill>
        <patternFill>
          <bgColor rgb="FF63BE7B"/>
        </patternFill>
      </fill>
    </dxf>
    <dxf>
      <fill>
        <patternFill>
          <bgColor rgb="FFF8696B"/>
        </patternFill>
      </fill>
    </dxf>
    <dxf>
      <fill>
        <patternFill>
          <bgColor rgb="FF64C47B"/>
        </patternFill>
      </fill>
    </dxf>
    <dxf>
      <fill>
        <patternFill>
          <bgColor rgb="FFFF5050"/>
        </patternFill>
      </fill>
    </dxf>
    <dxf>
      <fill>
        <patternFill>
          <bgColor rgb="FF63BE7B"/>
        </patternFill>
      </fill>
    </dxf>
    <dxf>
      <fill>
        <patternFill>
          <bgColor rgb="FFF8696B"/>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F5050"/>
      <color rgb="FFFF3300"/>
      <color rgb="FF64C47B"/>
      <color rgb="FFF8696B"/>
      <color rgb="FF63BE7B"/>
      <color rgb="FF00BC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microsoft.com/office/2017/06/relationships/rdSupportingPropertyBag" Target="richData/rdsupportingpropertybag.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17/06/relationships/richStyles" Target="richData/rich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6">
  <rv s="0">
    <v>0</v>
    <v>5</v>
  </rv>
  <rv s="0">
    <v>1</v>
    <v>5</v>
  </rv>
  <rv s="0">
    <v>2</v>
    <v>5</v>
  </rv>
  <rv s="0">
    <v>3</v>
    <v>5</v>
  </rv>
  <rv s="0">
    <v>4</v>
    <v>5</v>
  </rv>
  <rv s="0">
    <v>5</v>
    <v>5</v>
  </rv>
  <rv s="1">
    <v>https://www.bing.com/financeapi/forcetrigger?t=ahiwa2&amp;q=XNSE%3aMARUTI&amp;form=skydnc</v>
    <v>Learn more on Bing</v>
  </rv>
  <rv s="2">
    <v>en-IN</v>
    <v>ahiwa2</v>
    <v>268435456</v>
    <v>1</v>
    <v>Powered by Refinitiv</v>
    <v>0</v>
    <v>MARUTI SUZUKI INDIA LIMITED (XNSE:MARUTI)</v>
    <v>2</v>
    <v>3</v>
    <v>Finance</v>
    <v>4</v>
    <v>16660</v>
    <v>10725</v>
    <v>0.34639999999999999</v>
    <v>104</v>
    <v>6.7190000000000001E-3</v>
    <v>INR</v>
    <v>Maruti Suzuki India Limited is engaged in the manufacturing, purchasing and sale of motor vehicles, components, and spare parts. The other activities of the Company comprise facilitation of pre-owned car sales, fleet management. and car financing. The Company is focused on the business of manufacturing and sale of passenger and commercial vehicles. The Company’s vehicles are offered through three channels: NEXA, Arena, and Commercial. It also sells aftermarket parts and accessories under the brand name of Maruti Suzuki Genuine Parts, and Maruti Suzuki Genuine Accessories. Its portfolio of Nexa products includes XL6, e VITARA, Ciaz, The New Age Baleno, Ignis, Grand Vitara, FRONX, Jimny, and Invicto. Its portfolio of Arena products includes Alto K10, Brezza, Celerio, WagonR, Swift, Dzire, S-Presso, Eeco, Dezire, and Ertiga. Its portfolio of Commercial products includes Super Carry and Eeco Cargo. Its service offerings include Maruti Suzuki Smart Finance, Maruti Suzuki Leasing, and more.</v>
    <v>20171</v>
    <v>National Stock Exchange of India</v>
    <v>XNSE</v>
    <v>XNSE</v>
    <v>1, Nelson Mandela Road,, Vasant Kunj,, NEW DELHI, DELHI, 110070 IN</v>
    <v>15647</v>
    <v>Automobiles &amp; Auto Parts</v>
    <v>Stock</v>
    <v>45971.582881944443</v>
    <v>6</v>
    <v>15380</v>
    <v>4866638000000</v>
    <v>MARUTI SUZUKI INDIA LIMITED</v>
    <v>MARUTI SUZUKI INDIA LIMITED</v>
    <v>15380</v>
    <v>33.149799999999999</v>
    <v>15479</v>
    <v>15583</v>
    <v>314402600</v>
    <v>MARUTI</v>
    <v>MARUTI SUZUKI INDIA LIMITED (XNSE:MARUTI)</v>
    <v>274191</v>
    <v>433310</v>
    <v>1981</v>
  </rv>
  <rv s="3">
    <v>7</v>
  </rv>
  <rv s="1">
    <v>https://www.bing.com/financeapi/forcetrigger?t=ahizgh&amp;q=XNSE%3aM%26M&amp;form=skydnc</v>
    <v>Learn more on Bing</v>
  </rv>
  <rv s="2">
    <v>en-IN</v>
    <v>ahizgh</v>
    <v>268435456</v>
    <v>1</v>
    <v>Powered by Refinitiv</v>
    <v>0</v>
    <v>MAHINDRA AND MAHINDRA LIMITED (XNSE:M&amp;M)</v>
    <v>2</v>
    <v>3</v>
    <v>Finance</v>
    <v>4</v>
    <v>3723.8</v>
    <v>2425</v>
    <v>0.75719999999999998</v>
    <v>-26.3</v>
    <v>-7.1269999999999997E-3</v>
    <v>INR</v>
    <v>Mahindra and Mahindra Limited is engaged in offering farm equipment, electric vehicles, sport utility vehicles (SUVs), information technology (IT), and financial services. Its segments include Automotive, Farm Equipment, Auto Investments, Farm Investments, Financial Services, and Industrial Businesses and Consumer Services. The Automotive segment comprises the sale of automobiles, two-wheelers, spares, construction equipment and related services. The Farm Equipment segment consists of the sale of tractors, implements, spares, powerol, and related services. Industrial Businesses and Consumer Services segment comprises all other segments like IT services, real estate, hospitality, logistics, steel trading and processing, renewables, after-market, defense, and agri. Financial Services segment comprises offering financial products ranging from retail and other loans, small and medium-sized enterprise finance, housing finance, mutual funds, and life and non-life insurance broking services.</v>
    <v>25222</v>
    <v>National Stock Exchange of India</v>
    <v>XNSE</v>
    <v>XNSE</v>
    <v>Gateway Building, Apollo Bunder, MUMBAI, MAHARASHTRA, 400001 IN</v>
    <v>3715.8</v>
    <v>Automobiles &amp; Auto Parts</v>
    <v>Stock</v>
    <v>45971.582881944443</v>
    <v>9</v>
    <v>3645.1</v>
    <v>4428411000000</v>
    <v>MAHINDRA AND MAHINDRA LIMITED</v>
    <v>MAHINDRA AND MAHINDRA LIMITED</v>
    <v>3690.2</v>
    <v>28.94</v>
    <v>3690.2</v>
    <v>3663.9</v>
    <v>1200046000</v>
    <v>M&amp;M</v>
    <v>MAHINDRA AND MAHINDRA LIMITED (XNSE:M&amp;M)</v>
    <v>1620889</v>
    <v>2489470</v>
    <v>1945</v>
  </rv>
  <rv s="3">
    <v>10</v>
  </rv>
  <rv s="1">
    <v>https://www.bing.com/financeapi/forcetrigger?t=ah89dm&amp;q=XBOM%3a500570&amp;form=skydnc</v>
    <v>Learn more on Bing</v>
  </rv>
  <rv s="2">
    <v>en-IN</v>
    <v>ah89dm</v>
    <v>268435456</v>
    <v>1</v>
    <v>Powered by Refinitiv</v>
    <v>0</v>
    <v>TATA MOTORS PASSENGER VEHICLES LIMITED (XBOM:500570)</v>
    <v>2</v>
    <v>3</v>
    <v>Finance</v>
    <v>5</v>
    <v>512.38</v>
    <v>327.55</v>
    <v>1.0253000000000001</v>
    <v>4.8499999999999996</v>
    <v>1.1956E-2</v>
    <v>INR</v>
    <v>Tata Motors Passenger Vehicles Limited, formerly Tata Motors Limited, is an India-based company. The Company is engaged in the passenger vehicles business, including its investments in the electric vehicle business and Jaguar Land Rover (JLR) operations. Its portfolio, spanning multiple body styles and fuel types, caters to diverse mobility needs. Its passenger vehicles include Curvv, Nexon iCNG, Tiago &amp; Tigor 2025, Harrier &amp; Safari Stealth, Altroz, Punch, and others. The Company’s electric vehicles include Curvv.ev, Nexon.ev, Tiago.ev, Punch.ev, and Xpres-T.</v>
    <v>86259</v>
    <v>Bombay Stock Exchange</v>
    <v>XBOM</v>
    <v>XBOM</v>
    <v>A Block, Shivasagar Estate, Dr. Annie Besant Road, Worli, MUMBAI, MAHARASHTRA, 400018 IN</v>
    <v>412.9</v>
    <v>Automobiles &amp; Auto Parts</v>
    <v>Stock</v>
    <v>45971.562650462962</v>
    <v>12</v>
    <v>406.8</v>
    <v>1493922000000</v>
    <v>TATA MOTORS PASSENGER VEHICLES LIMITED</v>
    <v>TATA MOTORS PASSENGER VEHICLES LIMITED</v>
    <v>407.95</v>
    <v>5.43</v>
    <v>405.65</v>
    <v>410.5</v>
    <v>3682331000</v>
    <v>500570</v>
    <v>TATA MOTORS PASSENGER VEHICLES LIMITED (XBOM:500570)</v>
    <v>259812</v>
    <v>8425820</v>
    <v>1945</v>
  </rv>
  <rv s="3">
    <v>13</v>
  </rv>
  <rv s="1">
    <v>https://www.bing.com/financeapi/forcetrigger?t=ahkfz2&amp;q=XNSE%3aTVSMOTOR&amp;form=skydnc</v>
    <v>Learn more on Bing</v>
  </rv>
  <rv s="2">
    <v>en-IN</v>
    <v>ahkfz2</v>
    <v>268435456</v>
    <v>1</v>
    <v>Powered by Refinitiv</v>
    <v>0</v>
    <v>TVS MOTOR COMPANY LIMITED (XNSE:TVSMOTOR)</v>
    <v>2</v>
    <v>3</v>
    <v>Finance</v>
    <v>4</v>
    <v>3720</v>
    <v>2171.4</v>
    <v>0.1588</v>
    <v>34</v>
    <v>9.836000000000001E-3</v>
    <v>INR</v>
    <v>TVS Motor Company Limited is an India-based two and three-wheeler manufacturer globally, supporting progress through sustainable mobility with four manufacturing facilities located in India and Indonesia. The Company's segments include Automotive Vehicles &amp; Parts and Financial services. The Company manufactures a range of two-wheelers, starting from mopeds, to scooters, commuter motorcycles, and racing bikes like the TVS Apache series and the TVS Apache RR310. The Company's product categories include motorcycles, scooters, electric scooters, three wheelers and mopeds. Its motorcycle products include TVS Apache, Ronin, Raider, Radeon, Sport and Star City+. Its electric scooter products include TVS iQube and TVS X. The Company's scooter products include TVS Jupiter, TVS Jupiter 125, TVS Ntorq, TVS Zest 110 and others. Its services include book a service, annual maintenance contract, roadside assistance, TVS genuine parts and Tru4 Oil, and proactive inspection.</v>
    <v>6522</v>
    <v>National Stock Exchange of India</v>
    <v>XNSE</v>
    <v>XNSE</v>
    <v>"Chaitanya", No.12, Khader Nawaz Khan Road, Nungambakkam, KRISHNAGIRI, TAMIL NADU, 600006 IN</v>
    <v>3503.9</v>
    <v>Automobiles &amp; Auto Parts</v>
    <v>Stock</v>
    <v>45971.582905092589</v>
    <v>15</v>
    <v>3451.1</v>
    <v>1641700000000</v>
    <v>TVS MOTOR COMPANY LIMITED</v>
    <v>TVS MOTOR COMPANY LIMITED</v>
    <v>3451.1</v>
    <v>64.043499999999995</v>
    <v>3456.8</v>
    <v>3490.8</v>
    <v>474919100</v>
    <v>TVSMOTOR</v>
    <v>TVS MOTOR COMPANY LIMITED (XNSE:TVSMOTOR)</v>
    <v>782233</v>
    <v>1330610</v>
    <v>1992</v>
  </rv>
  <rv s="3">
    <v>16</v>
  </rv>
  <rv s="1">
    <v>https://www.bing.com/financeapi/forcetrigger?t=ah7qf2&amp;q=XBOM%3a500086&amp;form=skydnc</v>
    <v>Learn more on Bing</v>
  </rv>
  <rv s="2">
    <v>en-IN</v>
    <v>ah7qf2</v>
    <v>268435456</v>
    <v>1</v>
    <v>Powered by Refinitiv</v>
    <v>0</v>
    <v>EXIDE INDUSTRIES LIMITED (XBOM:500086)</v>
    <v>2</v>
    <v>3</v>
    <v>Finance</v>
    <v>5</v>
    <v>472.7</v>
    <v>327.95</v>
    <v>0.98440000000000005</v>
    <v>2.35</v>
    <v>6.2300000000000003E-3</v>
    <v>INR</v>
    <v>Exide Industries Limited is engaged in manufacturing and sales of lead acid batteries and accumulators. The Company’s operates through Storage Batteries &amp; allied products segment. The Company manufactures electrical equipment, general purpose and special-purpose machinery and equipment, transport equipment. The Company’s products include automotive batteries, institutional ups batteries, inverter batteries, solar solutions, integrated power back-up systems, home ups systems, industrial batteries, genset batteries, e-rickshaw vehicles, and submarine batteries. Its automotive battery products include four-wheeler batteries, three-wheeler batteries, two-wheeler batteries and Exide e-ride batteries. Its products are used by automotive vehicles, uninterruptible power supplies (UPS) and inverters, automotive original equipment manufacturer (OEMs), industrial OEMs, institutional customers, government /non-government entities, Indian Navy, export dealers and distributors.</v>
    <v>5135</v>
    <v>Bombay Stock Exchange</v>
    <v>XBOM</v>
    <v>XBOM</v>
    <v>Exide House, 59E, Chowringhee Road, KOLKATA, WEST BENGAL, 700020 IN</v>
    <v>380.9</v>
    <v>Automobiles &amp; Auto Parts</v>
    <v>Stock</v>
    <v>45971.562650462962</v>
    <v>18</v>
    <v>376.95</v>
    <v>320747500000</v>
    <v>EXIDE INDUSTRIES LIMITED</v>
    <v>EXIDE INDUSTRIES LIMITED</v>
    <v>377.55</v>
    <v>37.83</v>
    <v>377.2</v>
    <v>379.55</v>
    <v>850000000</v>
    <v>500086</v>
    <v>EXIDE INDUSTRIES LIMITED (XBOM:500086)</v>
    <v>55301</v>
    <v>2490280</v>
    <v>1947</v>
  </rv>
  <rv s="3">
    <v>19</v>
  </rv>
  <rv s="1">
    <v>https://www.bing.com/financeapi/forcetrigger?t=ahj1u2&amp;q=XNSE%3aMOTHERSON&amp;form=skydnc</v>
    <v>Learn more on Bing</v>
  </rv>
  <rv s="2">
    <v>en-IN</v>
    <v>ahj1u2</v>
    <v>268435456</v>
    <v>1</v>
    <v>Powered by Refinitiv</v>
    <v>0</v>
    <v>SAMVARDHANA MOTHERSON INTERNATIONAL LIMITED (XNSE:MOTHERSON)</v>
    <v>2</v>
    <v>3</v>
    <v>Finance</v>
    <v>4</v>
    <v>126.49</v>
    <v>71.5</v>
    <v>1.5879000000000001</v>
    <v>-1.25</v>
    <v>-1.2041999999999999E-2</v>
    <v>INR</v>
    <v>Samvardhana Motherson International Limited is a globally diversified manufacturer. It is a full system solutions provider to customers in automotive and other industries. Its segments include Wiring harness, Modules and polymer products, Vision systems, Integrated assemblies and Emerging businesses. Wiring harness segment is engaged in the business of manufacturing and trading of wiring harnesses, its components and rendering of support service functions to wiring harness operations. Modules and polymer products segment is engaged in rendering of support service functions exclusively to modules and polymer products. Vision systems segment is engaged in the development, manufacturing and supplying of rearview mirrors and drive assistance systems. Integrated assemblies’ segment is engaged in high-quality integrated module assembly and logistics tailored for the automotive sector. Emerging businesses Comprise Elastomers, Lighting &amp; Electronics, Precision Metals &amp; Modules, and others.</v>
    <v>91481</v>
    <v>National Stock Exchange of India</v>
    <v>XNSE</v>
    <v>XNSE</v>
    <v>C-14 A &amp; B, Sector 1,, Distt. Gautam Budh Nagar, NOIDA, UTTAR PRADESH, 201301 IN</v>
    <v>104.27</v>
    <v>Automobiles &amp; Auto Parts</v>
    <v>Stock</v>
    <v>45971.58289351852</v>
    <v>21</v>
    <v>102.18</v>
    <v>1095551000000</v>
    <v>SAMVARDHANA MOTHERSON INTERNATIONAL LIMITED</v>
    <v>SAMVARDHANA MOTHERSON INTERNATIONAL LIMITED</v>
    <v>103.75</v>
    <v>38.74</v>
    <v>103.8</v>
    <v>102.55</v>
    <v>10554440000</v>
    <v>MOTHERSON</v>
    <v>SAMVARDHANA MOTHERSON INTERNATIONAL LIMITED (XNSE:MOTHERSON)</v>
    <v>18067302</v>
    <v>9363700</v>
    <v>1986</v>
  </rv>
  <rv s="3">
    <v>22</v>
  </rv>
  <rv s="4">
    <v>en-IN</v>
    <v>avcpf2</v>
    <v>268435456</v>
    <v>1</v>
    <v>Powered by Refinitiv</v>
    <v>6</v>
    <v>INR/USD</v>
    <v>7</v>
    <v>8</v>
    <v>Finance</v>
    <v>9</v>
    <v>1.1939999999999999E-2</v>
    <v>1.124E-2</v>
    <v>-6.9999999999999999E-6</v>
    <v>-6.2080000000000002E-4</v>
    <v>USD</v>
    <v>INR</v>
    <v>1.128E-2</v>
    <v>Currency Pair</v>
    <v>45971.740289351852</v>
    <v>1.1270000000000001E-2</v>
    <v>Indian Rupee/US Dollar FX Cross Rate</v>
    <v>1.128E-2</v>
    <v>1.128E-2</v>
    <v>1.1270000000000001E-2</v>
    <v>INRUSD</v>
    <v>INR/USD</v>
  </rv>
  <rv s="3">
    <v>24</v>
  </rv>
</rvData>
</file>

<file path=xl/richData/rdrichvaluestructure.xml><?xml version="1.0" encoding="utf-8"?>
<rvStructures xmlns="http://schemas.microsoft.com/office/spreadsheetml/2017/richdata" count="5">
  <s t="_localImage">
    <k n="_rvRel:LocalImageIdentifier" t="i"/>
    <k n="CalcOrigin" t="i"/>
  </s>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rvStructures>
</file>

<file path=xl/richData/rdsupportingpropertybag.xml><?xml version="1.0" encoding="utf-8"?>
<supportingPropertyBags xmlns="http://schemas.microsoft.com/office/spreadsheetml/2017/richdata2">
  <spbArrays count="2">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spbArrays>
  <spbData count="10">
    <spb s="0">
      <v>0</v>
      <v>Name</v>
      <v>LearnMoreOnLink</v>
    </spb>
    <spb s="1">
      <v>0</v>
      <v>0</v>
      <v>0</v>
    </spb>
    <spb s="2">
      <v>1</v>
      <v>1</v>
      <v>1</v>
      <v>1</v>
    </spb>
    <spb s="3">
      <v>1</v>
      <v>2</v>
      <v>2</v>
      <v>1</v>
      <v>3</v>
      <v>1</v>
      <v>1</v>
      <v>1</v>
      <v>4</v>
      <v>4</v>
      <v>5</v>
      <v>6</v>
      <v>1</v>
      <v>1</v>
      <v>1</v>
      <v>4</v>
      <v>7</v>
      <v>8</v>
      <v>9</v>
      <v>4</v>
    </spb>
    <spb s="4">
      <v>Delayed 5 minutes</v>
      <v>from previous close</v>
      <v>from previous close</v>
      <v>GMT</v>
    </spb>
    <spb s="4">
      <v>Delayed 15 minutes</v>
      <v>from previous close</v>
      <v>from previous close</v>
      <v>GMT</v>
    </spb>
    <spb s="5">
      <v>1</v>
      <v>Name</v>
    </spb>
    <spb s="6">
      <v>1</v>
      <v>1</v>
    </spb>
    <spb s="7">
      <v>10</v>
      <v>10</v>
      <v>3</v>
      <v>10</v>
      <v>10</v>
      <v>10</v>
      <v>5</v>
      <v>10</v>
      <v>10</v>
      <v>10</v>
      <v>7</v>
      <v>9</v>
    </spb>
    <spb s="8">
      <v>GMT</v>
    </spb>
  </spbData>
</supportingPropertyBags>
</file>

<file path=xl/richData/rdsupportingpropertybagstructure.xml><?xml version="1.0" encoding="utf-8"?>
<spbStructures xmlns="http://schemas.microsoft.com/office/spreadsheetml/2017/richdata2" count="9">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Order" t="spba"/>
    <k n="TitleProperty" t="s"/>
  </s>
  <s>
    <k n="UniqueName" t="spb"/>
    <k n="`%ProviderInfo" t="spb"/>
  </s>
  <s>
    <k n="Low" t="i"/>
    <k n="High" t="i"/>
    <k n="Name" t="i"/>
    <k n="Open" t="i"/>
    <k n="Price" t="i"/>
    <k n="Change" t="i"/>
    <k n="Change (%)" t="i"/>
    <k n="52 week low" t="i"/>
    <k n="52 week high" t="i"/>
    <k n="Previous close" t="i"/>
    <k n="Last trade time" t="i"/>
    <k n="`%EntityServiceId" t="i"/>
  </s>
  <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yyyy/mm/dd\ h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 xml:space="preserve">_ [$₹-en-IN] * #,##0.00_ ;_ [$₹-en-IN] * -#,##0.00_ ;_ [$₹-en-IN] * "-"??_ ;_ @_ </rpv>
    </rSty>
    <rSty dxfid="5">
      <rpv i="0">#,##0.00</rpv>
    </rSty>
    <rSty>
      <rpv i="1">1</rpv>
    </rSty>
    <rSty dxfid="4">
      <rpv i="0">#,##0</rpv>
    </rSty>
    <rSty dxfid="3"/>
    <rSty dxfid="1">
      <rpv i="0" xml:space="preserve">_ [$₹-en-IN] * #,##0_ ;_ [$₹-en-IN] * -#,##0_ ;_ [$₹-en-IN] * "-"_ ;_ @_ </rpv>
    </rSty>
    <rSty dxfid="2"/>
    <rSty dxfid="6">
      <rpv i="0">0</rpv>
    </rSty>
    <rSty dxfid="0">
      <rpv i="0">0.00</rpv>
    </rSty>
    <rSty dxfid="1">
      <rpv i="0">_([$$-en-US]* #,##0.00_);_([$$-en-US]* (#,##0.00);_([$$-en-US]* "-"??_);_(@_)</rpv>
    </rSty>
  </richStyles>
</richStyleSheet>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topLeftCell="C3" workbookViewId="0">
      <selection activeCell="I14" sqref="I14"/>
    </sheetView>
  </sheetViews>
  <sheetFormatPr defaultRowHeight="14.4" x14ac:dyDescent="0.3"/>
  <cols>
    <col min="1" max="1" width="22.6640625" style="2" customWidth="1"/>
    <col min="2" max="7" width="24.5546875" style="2" customWidth="1"/>
    <col min="8" max="16384" width="8.88671875" style="2"/>
  </cols>
  <sheetData>
    <row r="1" spans="1:7" ht="37.200000000000003" customHeight="1" thickBot="1" x14ac:dyDescent="0.35">
      <c r="A1" s="186" t="s">
        <v>14</v>
      </c>
      <c r="B1" s="187"/>
      <c r="C1" s="187"/>
      <c r="D1" s="187"/>
      <c r="E1" s="187"/>
      <c r="F1" s="187"/>
      <c r="G1" s="188"/>
    </row>
    <row r="2" spans="1:7" ht="55.8" customHeight="1" thickBot="1" x14ac:dyDescent="0.35">
      <c r="A2" s="44" t="s">
        <v>0</v>
      </c>
      <c r="B2" s="46" t="e" vm="1">
        <v>#VALUE!</v>
      </c>
      <c r="C2" s="49" t="e" vm="2">
        <v>#VALUE!</v>
      </c>
      <c r="D2" s="46" t="e" vm="3">
        <v>#VALUE!</v>
      </c>
      <c r="E2" s="46" t="e" vm="4">
        <v>#VALUE!</v>
      </c>
      <c r="F2" s="46" t="e" vm="5">
        <v>#VALUE!</v>
      </c>
      <c r="G2" s="46" t="e" vm="6">
        <v>#VALUE!</v>
      </c>
    </row>
    <row r="3" spans="1:7" ht="57.6" customHeight="1" x14ac:dyDescent="0.3">
      <c r="A3" s="43" t="s">
        <v>1</v>
      </c>
      <c r="B3" s="45" t="e" vm="7">
        <v>#VALUE!</v>
      </c>
      <c r="C3" s="47" t="e" vm="8">
        <v>#VALUE!</v>
      </c>
      <c r="D3" s="47" t="e" vm="9">
        <v>#VALUE!</v>
      </c>
      <c r="E3" s="47" t="e" vm="10">
        <v>#VALUE!</v>
      </c>
      <c r="F3" s="47" t="e" vm="11">
        <v>#VALUE!</v>
      </c>
      <c r="G3" s="48" t="e" vm="12">
        <v>#VALUE!</v>
      </c>
    </row>
    <row r="4" spans="1:7" ht="44.4" customHeight="1" x14ac:dyDescent="0.3">
      <c r="A4" s="41" t="s">
        <v>2</v>
      </c>
      <c r="B4" s="29" t="str" cm="1">
        <f t="array" aca="1" ref="B4" ca="1">_FV(B3,"Official name",TRUE)</f>
        <v>MARUTI SUZUKI INDIA LIMITED</v>
      </c>
      <c r="C4" s="5" t="str" cm="1">
        <f t="array" aca="1" ref="C4" ca="1">_FV(C3,"Official name",TRUE)</f>
        <v>MAHINDRA AND MAHINDRA LIMITED</v>
      </c>
      <c r="D4" s="5" t="str" cm="1">
        <f t="array" aca="1" ref="D4" ca="1">_FV(D3,"Official name",TRUE)</f>
        <v>TATA MOTORS PASSENGER VEHICLES LIMITED</v>
      </c>
      <c r="E4" s="5" t="str" cm="1">
        <f t="array" aca="1" ref="E4" ca="1">_FV(E3,"Official name",TRUE)</f>
        <v>TVS MOTOR COMPANY LIMITED</v>
      </c>
      <c r="F4" s="5" t="str" cm="1">
        <f t="array" aca="1" ref="F4" ca="1">_FV(F3,"Official name",TRUE)</f>
        <v>EXIDE INDUSTRIES LIMITED</v>
      </c>
      <c r="G4" s="16" t="str" cm="1">
        <f t="array" aca="1" ref="G4" ca="1">_FV(G3,"Official name",TRUE)</f>
        <v>SAMVARDHANA MOTHERSON INTERNATIONAL LIMITED</v>
      </c>
    </row>
    <row r="5" spans="1:7" x14ac:dyDescent="0.3">
      <c r="A5" s="41" t="s">
        <v>3</v>
      </c>
      <c r="B5" s="30" t="str" cm="1">
        <f t="array" aca="1" ref="B5" ca="1">_FV(B3,"Ticker symbol",TRUE)</f>
        <v>MARUTI</v>
      </c>
      <c r="C5" s="6" t="str" cm="1">
        <f t="array" aca="1" ref="C5" ca="1">_FV(C3,"Ticker symbol",TRUE)</f>
        <v>M&amp;M</v>
      </c>
      <c r="D5" s="6" t="str" cm="1">
        <f t="array" aca="1" ref="D5" ca="1">_FV(D3,"Ticker symbol",TRUE)</f>
        <v>500570</v>
      </c>
      <c r="E5" s="6" t="str" cm="1">
        <f t="array" aca="1" ref="E5" ca="1">_FV(E3,"Ticker symbol",TRUE)</f>
        <v>TVSMOTOR</v>
      </c>
      <c r="F5" s="6" t="str" cm="1">
        <f t="array" aca="1" ref="F5" ca="1">_FV(F3,"Ticker symbol",TRUE)</f>
        <v>500086</v>
      </c>
      <c r="G5" s="17" t="str" cm="1">
        <f t="array" aca="1" ref="G5" ca="1">_FV(G3,"Ticker symbol",TRUE)</f>
        <v>MOTHERSON</v>
      </c>
    </row>
    <row r="6" spans="1:7" x14ac:dyDescent="0.3">
      <c r="A6" s="41" t="s">
        <v>4</v>
      </c>
      <c r="B6" s="30" t="str" cm="1">
        <f t="array" aca="1" ref="B6" ca="1">_FV(B3,"Industry")</f>
        <v>Automobiles &amp; Auto Parts</v>
      </c>
      <c r="C6" s="6" t="str" cm="1">
        <f t="array" aca="1" ref="C6" ca="1">_FV(C3,"Industry")</f>
        <v>Automobiles &amp; Auto Parts</v>
      </c>
      <c r="D6" s="6" t="str" cm="1">
        <f t="array" aca="1" ref="D6" ca="1">_FV(D3,"Industry")</f>
        <v>Automobiles &amp; Auto Parts</v>
      </c>
      <c r="E6" s="6" t="str" cm="1">
        <f t="array" aca="1" ref="E6" ca="1">_FV(E3,"Industry")</f>
        <v>Automobiles &amp; Auto Parts</v>
      </c>
      <c r="F6" s="6" t="str" cm="1">
        <f t="array" aca="1" ref="F6" ca="1">_FV(F3,"Industry")</f>
        <v>Automobiles &amp; Auto Parts</v>
      </c>
      <c r="G6" s="17" t="str" cm="1">
        <f t="array" aca="1" ref="G6" ca="1">_FV(G3,"Industry")</f>
        <v>Automobiles &amp; Auto Parts</v>
      </c>
    </row>
    <row r="7" spans="1:7" ht="72" x14ac:dyDescent="0.3">
      <c r="A7" s="41" t="s">
        <v>5</v>
      </c>
      <c r="B7" s="29" t="str" cm="1">
        <f t="array" aca="1" ref="B7" ca="1">_FV(B3,"Headquarters")</f>
        <v>1, Nelson Mandela Road,, Vasant Kunj,, NEW DELHI, DELHI, 110070 IN</v>
      </c>
      <c r="C7" s="5" t="str" cm="1">
        <f t="array" aca="1" ref="C7" ca="1">_FV(C3,"Headquarters")</f>
        <v>Gateway Building, Apollo Bunder, MUMBAI, MAHARASHTRA, 400001 IN</v>
      </c>
      <c r="D7" s="5" t="str" cm="1">
        <f t="array" aca="1" ref="D7" ca="1">_FV(D3,"Headquarters")</f>
        <v>A Block, Shivasagar Estate, Dr. Annie Besant Road, Worli, MUMBAI, MAHARASHTRA, 400018 IN</v>
      </c>
      <c r="E7" s="5" t="str" cm="1">
        <f t="array" aca="1" ref="E7" ca="1">_FV(E3,"Headquarters")</f>
        <v>"Chaitanya", No.12, Khader Nawaz Khan Road, Nungambakkam, KRISHNAGIRI, TAMIL NADU, 600006 IN</v>
      </c>
      <c r="F7" s="5" t="str" cm="1">
        <f t="array" aca="1" ref="F7" ca="1">_FV(F3,"Headquarters")</f>
        <v>Exide House, 59E, Chowringhee Road, KOLKATA, WEST BENGAL, 700020 IN</v>
      </c>
      <c r="G7" s="16" t="str" cm="1">
        <f t="array" aca="1" ref="G7" ca="1">_FV(G3,"Headquarters")</f>
        <v>C-14 A &amp; B, Sector 1,, Distt. Gautam Budh Nagar, NOIDA, UTTAR PRADESH, 201301 IN</v>
      </c>
    </row>
    <row r="8" spans="1:7" x14ac:dyDescent="0.3">
      <c r="A8" s="41" t="s">
        <v>6</v>
      </c>
      <c r="B8" s="31" cm="1">
        <f t="array" aca="1" ref="B8" ca="1">_FV(B3,"Year incorporated",TRUE)</f>
        <v>1981</v>
      </c>
      <c r="C8" s="7" cm="1">
        <f t="array" aca="1" ref="C8" ca="1">_FV(C3,"Year incorporated",TRUE)</f>
        <v>1945</v>
      </c>
      <c r="D8" s="7" cm="1">
        <f t="array" aca="1" ref="D8" ca="1">_FV(D3,"Year incorporated",TRUE)</f>
        <v>1945</v>
      </c>
      <c r="E8" s="7" cm="1">
        <f t="array" aca="1" ref="E8" ca="1">_FV(E3,"Year incorporated",TRUE)</f>
        <v>1992</v>
      </c>
      <c r="F8" s="7" cm="1">
        <f t="array" aca="1" ref="F8" ca="1">_FV(F3,"Year incorporated",TRUE)</f>
        <v>1947</v>
      </c>
      <c r="G8" s="18" cm="1">
        <f t="array" aca="1" ref="G8" ca="1">_FV(G3,"Year incorporated",TRUE)</f>
        <v>1986</v>
      </c>
    </row>
    <row r="9" spans="1:7" x14ac:dyDescent="0.3">
      <c r="A9" s="185" t="s">
        <v>13</v>
      </c>
      <c r="B9" s="32" cm="1">
        <f t="array" aca="1" ref="B9" ca="1">_FV(B3,"Employees")</f>
        <v>20171</v>
      </c>
      <c r="C9" s="8" cm="1">
        <f t="array" aca="1" ref="C9" ca="1">_FV(C3,"Employees")</f>
        <v>25222</v>
      </c>
      <c r="D9" s="8" cm="1">
        <f t="array" aca="1" ref="D9" ca="1">_FV(D3,"Employees")</f>
        <v>86259</v>
      </c>
      <c r="E9" s="8" cm="1">
        <f t="array" aca="1" ref="E9" ca="1">_FV(E3,"Employees")</f>
        <v>6522</v>
      </c>
      <c r="F9" s="8" cm="1">
        <f t="array" aca="1" ref="F9" ca="1">_FV(F3,"Employees")</f>
        <v>5135</v>
      </c>
      <c r="G9" s="19" cm="1">
        <f t="array" aca="1" ref="G9" ca="1">_FV(G3,"Employees")</f>
        <v>91481</v>
      </c>
    </row>
    <row r="10" spans="1:7" x14ac:dyDescent="0.3">
      <c r="A10" s="185"/>
      <c r="B10" s="33">
        <f ca="1">B9/10000000</f>
        <v>2.0171E-3</v>
      </c>
      <c r="C10" s="9">
        <f t="shared" ref="C10:G10" ca="1" si="0">C9/10000000</f>
        <v>2.5222E-3</v>
      </c>
      <c r="D10" s="9">
        <f t="shared" ca="1" si="0"/>
        <v>8.6259000000000006E-3</v>
      </c>
      <c r="E10" s="9">
        <f t="shared" ca="1" si="0"/>
        <v>6.5220000000000002E-4</v>
      </c>
      <c r="F10" s="9">
        <f t="shared" ca="1" si="0"/>
        <v>5.1349999999999996E-4</v>
      </c>
      <c r="G10" s="20">
        <f t="shared" ca="1" si="0"/>
        <v>9.1480999999999993E-3</v>
      </c>
    </row>
    <row r="11" spans="1:7" x14ac:dyDescent="0.3">
      <c r="A11" s="41" t="s">
        <v>7</v>
      </c>
      <c r="B11" s="34" cm="1">
        <f t="array" aca="1" ref="B11" ca="1">_FV(B3,"Price")</f>
        <v>15583</v>
      </c>
      <c r="C11" s="10" cm="1">
        <f t="array" aca="1" ref="C11" ca="1">_FV(C3,"Price")</f>
        <v>3663.9</v>
      </c>
      <c r="D11" s="10" cm="1">
        <f t="array" aca="1" ref="D11" ca="1">_FV(D3,"Price")</f>
        <v>410.5</v>
      </c>
      <c r="E11" s="10" cm="1">
        <f t="array" aca="1" ref="E11" ca="1">_FV(E3,"Price")</f>
        <v>3490.8</v>
      </c>
      <c r="F11" s="10" cm="1">
        <f t="array" aca="1" ref="F11" ca="1">_FV(F3,"Price")</f>
        <v>379.55</v>
      </c>
      <c r="G11" s="21" cm="1">
        <f t="array" aca="1" ref="G11" ca="1">_FV(G3,"Price")</f>
        <v>102.55</v>
      </c>
    </row>
    <row r="12" spans="1:7" x14ac:dyDescent="0.3">
      <c r="A12" s="41" t="s">
        <v>12</v>
      </c>
      <c r="B12" s="35" cm="1">
        <f t="array" aca="1" ref="B12" ca="1">_FV(B3,"Change (%)",TRUE)</f>
        <v>6.7190000000000001E-3</v>
      </c>
      <c r="C12" s="11" cm="1">
        <f t="array" aca="1" ref="C12" ca="1">_FV(C3,"Change (%)",TRUE)</f>
        <v>-7.1269999999999997E-3</v>
      </c>
      <c r="D12" s="11" cm="1">
        <f t="array" aca="1" ref="D12" ca="1">_FV(D3,"Change (%)",TRUE)</f>
        <v>1.1956E-2</v>
      </c>
      <c r="E12" s="11" cm="1">
        <f t="array" aca="1" ref="E12" ca="1">_FV(E3,"Change (%)",TRUE)</f>
        <v>9.836000000000001E-3</v>
      </c>
      <c r="F12" s="11" cm="1">
        <f t="array" aca="1" ref="F12" ca="1">_FV(F3,"Change (%)",TRUE)</f>
        <v>6.2300000000000003E-3</v>
      </c>
      <c r="G12" s="22" cm="1">
        <f t="array" aca="1" ref="G12" ca="1">_FV(G3,"Change (%)",TRUE)</f>
        <v>-1.2041999999999999E-2</v>
      </c>
    </row>
    <row r="13" spans="1:7" x14ac:dyDescent="0.3">
      <c r="A13" s="185" t="s">
        <v>10</v>
      </c>
      <c r="B13" s="30" t="e" vm="13">
        <v>#VALUE!</v>
      </c>
      <c r="C13" s="6" t="e" vm="13">
        <v>#VALUE!</v>
      </c>
      <c r="D13" s="6" t="e" vm="13">
        <v>#VALUE!</v>
      </c>
      <c r="E13" s="6" t="e" vm="13">
        <v>#VALUE!</v>
      </c>
      <c r="F13" s="6" t="e" vm="13">
        <v>#VALUE!</v>
      </c>
      <c r="G13" s="17" t="e" vm="13">
        <v>#VALUE!</v>
      </c>
    </row>
    <row r="14" spans="1:7" x14ac:dyDescent="0.3">
      <c r="A14" s="185"/>
      <c r="B14" s="36" cm="1">
        <f t="array" aca="1" ref="B14" ca="1">_FV(B13,"Price")</f>
        <v>1.1270000000000001E-2</v>
      </c>
      <c r="C14" s="12" cm="1">
        <f t="array" aca="1" ref="C14" ca="1">_FV(C13,"Price")</f>
        <v>1.1270000000000001E-2</v>
      </c>
      <c r="D14" s="12" cm="1">
        <f t="array" aca="1" ref="D14" ca="1">_FV(D13,"Price")</f>
        <v>1.1270000000000001E-2</v>
      </c>
      <c r="E14" s="12" cm="1">
        <f t="array" aca="1" ref="E14" ca="1">_FV(E13,"Price")</f>
        <v>1.1270000000000001E-2</v>
      </c>
      <c r="F14" s="12" cm="1">
        <f t="array" aca="1" ref="F14" ca="1">_FV(F13,"Price")</f>
        <v>1.1270000000000001E-2</v>
      </c>
      <c r="G14" s="23" cm="1">
        <f t="array" aca="1" ref="G14" ca="1">_FV(G13,"Price")</f>
        <v>1.1270000000000001E-2</v>
      </c>
    </row>
    <row r="15" spans="1:7" x14ac:dyDescent="0.3">
      <c r="A15" s="185" t="s">
        <v>8</v>
      </c>
      <c r="B15" s="37" cm="1">
        <f t="array" aca="1" ref="B15" ca="1">_FV(B3,"Shares outstanding",TRUE)</f>
        <v>314402600</v>
      </c>
      <c r="C15" s="13" cm="1">
        <f t="array" aca="1" ref="C15" ca="1">_FV(C3,"Shares outstanding",TRUE)</f>
        <v>1200046000</v>
      </c>
      <c r="D15" s="13" cm="1">
        <f t="array" aca="1" ref="D15" ca="1">_FV(D3,"Shares outstanding",TRUE)</f>
        <v>3682331000</v>
      </c>
      <c r="E15" s="13" cm="1">
        <f t="array" aca="1" ref="E15" ca="1">_FV(E3,"Shares outstanding",TRUE)</f>
        <v>474919100</v>
      </c>
      <c r="F15" s="13" cm="1">
        <f t="array" aca="1" ref="F15" ca="1">_FV(F3,"Shares outstanding",TRUE)</f>
        <v>850000000</v>
      </c>
      <c r="G15" s="24" cm="1">
        <f t="array" aca="1" ref="G15" ca="1">_FV(G3,"Shares outstanding",TRUE)</f>
        <v>10554440000</v>
      </c>
    </row>
    <row r="16" spans="1:7" x14ac:dyDescent="0.3">
      <c r="A16" s="185"/>
      <c r="B16" s="38">
        <f ca="1">B15/10000000</f>
        <v>31.440259999999999</v>
      </c>
      <c r="C16" s="14">
        <f t="shared" ref="C16:G16" ca="1" si="1">C15/10000000</f>
        <v>120.0046</v>
      </c>
      <c r="D16" s="14">
        <f t="shared" ca="1" si="1"/>
        <v>368.23309999999998</v>
      </c>
      <c r="E16" s="14">
        <f t="shared" ca="1" si="1"/>
        <v>47.491909999999997</v>
      </c>
      <c r="F16" s="14">
        <f t="shared" ca="1" si="1"/>
        <v>85</v>
      </c>
      <c r="G16" s="25">
        <f t="shared" ca="1" si="1"/>
        <v>1055.444</v>
      </c>
    </row>
    <row r="17" spans="1:7" x14ac:dyDescent="0.3">
      <c r="A17" s="185" t="s">
        <v>9</v>
      </c>
      <c r="B17" s="39" cm="1">
        <f t="array" aca="1" ref="B17" ca="1">_FV(B3,"Market cap",TRUE)</f>
        <v>4866638000000</v>
      </c>
      <c r="C17" s="15" cm="1">
        <f t="array" aca="1" ref="C17" ca="1">_FV(C3,"Market cap",TRUE)</f>
        <v>4428411000000</v>
      </c>
      <c r="D17" s="15" cm="1">
        <f t="array" aca="1" ref="D17" ca="1">_FV(D3,"Market cap",TRUE)</f>
        <v>1493922000000</v>
      </c>
      <c r="E17" s="15" cm="1">
        <f t="array" aca="1" ref="E17" ca="1">_FV(E3,"Market cap",TRUE)</f>
        <v>1641700000000</v>
      </c>
      <c r="F17" s="15" cm="1">
        <f t="array" aca="1" ref="F17" ca="1">_FV(F3,"Market cap",TRUE)</f>
        <v>320747500000</v>
      </c>
      <c r="G17" s="26" cm="1">
        <f t="array" aca="1" ref="G17" ca="1">_FV(G3,"Market cap",TRUE)</f>
        <v>1095551000000</v>
      </c>
    </row>
    <row r="18" spans="1:7" x14ac:dyDescent="0.3">
      <c r="A18" s="185"/>
      <c r="B18" s="34">
        <f ca="1">B17/10000000</f>
        <v>486663.8</v>
      </c>
      <c r="C18" s="10">
        <f t="shared" ref="C18:G18" ca="1" si="2">C17/10000000</f>
        <v>442841.1</v>
      </c>
      <c r="D18" s="10">
        <f t="shared" ca="1" si="2"/>
        <v>149392.20000000001</v>
      </c>
      <c r="E18" s="10">
        <f t="shared" ca="1" si="2"/>
        <v>164170</v>
      </c>
      <c r="F18" s="10">
        <f t="shared" ca="1" si="2"/>
        <v>32074.75</v>
      </c>
      <c r="G18" s="21">
        <f t="shared" ca="1" si="2"/>
        <v>109555.1</v>
      </c>
    </row>
    <row r="19" spans="1:7" ht="15" thickBot="1" x14ac:dyDescent="0.35">
      <c r="A19" s="42" t="s">
        <v>11</v>
      </c>
      <c r="B19" s="40" cm="1">
        <f t="array" aca="1" ref="B19" ca="1">_FV(B3,"Beta")</f>
        <v>0.34639999999999999</v>
      </c>
      <c r="C19" s="27" cm="1">
        <f t="array" aca="1" ref="C19" ca="1">_FV(C3,"Beta")</f>
        <v>0.75719999999999998</v>
      </c>
      <c r="D19" s="27" cm="1">
        <f t="array" aca="1" ref="D19" ca="1">_FV(D3,"Beta")</f>
        <v>1.0253000000000001</v>
      </c>
      <c r="E19" s="27" cm="1">
        <f t="array" aca="1" ref="E19" ca="1">_FV(E3,"Beta")</f>
        <v>0.1588</v>
      </c>
      <c r="F19" s="27" cm="1">
        <f t="array" aca="1" ref="F19" ca="1">_FV(F3,"Beta")</f>
        <v>0.98440000000000005</v>
      </c>
      <c r="G19" s="28" cm="1">
        <f t="array" aca="1" ref="G19" ca="1">_FV(G3,"Beta")</f>
        <v>1.5879000000000001</v>
      </c>
    </row>
  </sheetData>
  <mergeCells count="5">
    <mergeCell ref="A15:A16"/>
    <mergeCell ref="A17:A18"/>
    <mergeCell ref="A13:A14"/>
    <mergeCell ref="A9:A10"/>
    <mergeCell ref="A1:G1"/>
  </mergeCells>
  <conditionalFormatting sqref="B12:G12">
    <cfRule type="cellIs" dxfId="41" priority="1" operator="lessThan">
      <formula>0</formula>
    </cfRule>
    <cfRule type="cellIs" dxfId="40" priority="2" operator="greaterThan">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B9ED8-CF12-4604-B72B-506B9EE08A36}">
  <dimension ref="A1:AU231"/>
  <sheetViews>
    <sheetView topLeftCell="AO48" zoomScaleNormal="100" workbookViewId="0">
      <selection activeCell="AW70" sqref="AW70"/>
    </sheetView>
  </sheetViews>
  <sheetFormatPr defaultRowHeight="14.4" x14ac:dyDescent="0.3"/>
  <cols>
    <col min="1" max="1" width="43.5546875" style="2" bestFit="1" customWidth="1"/>
    <col min="2" max="3" width="10.44140625" style="2" bestFit="1" customWidth="1"/>
    <col min="4" max="5" width="9.88671875" style="2" bestFit="1" customWidth="1"/>
    <col min="6" max="7" width="11" style="2" bestFit="1" customWidth="1"/>
    <col min="8" max="8" width="8.88671875" style="2"/>
    <col min="9" max="9" width="43.5546875" style="2" bestFit="1" customWidth="1"/>
    <col min="10" max="15" width="11" style="2" bestFit="1" customWidth="1"/>
    <col min="16" max="16" width="8.88671875" style="2"/>
    <col min="17" max="17" width="43.5546875" style="2" bestFit="1" customWidth="1"/>
    <col min="18" max="23" width="11" style="2" bestFit="1" customWidth="1"/>
    <col min="24" max="24" width="8.88671875" style="2"/>
    <col min="25" max="25" width="43.5546875" style="2" bestFit="1" customWidth="1"/>
    <col min="26" max="28" width="10" style="2" bestFit="1" customWidth="1"/>
    <col min="29" max="30" width="9.88671875" style="2" bestFit="1" customWidth="1"/>
    <col min="31" max="32" width="8.88671875" style="2"/>
    <col min="33" max="33" width="43.5546875" style="2" bestFit="1" customWidth="1"/>
    <col min="34" max="35" width="9.88671875" style="2" bestFit="1" customWidth="1"/>
    <col min="36" max="39" width="10" style="2" bestFit="1" customWidth="1"/>
    <col min="40" max="40" width="8.88671875" style="2"/>
    <col min="41" max="41" width="55.109375" style="2" bestFit="1" customWidth="1"/>
    <col min="42" max="46" width="9.88671875" style="2" bestFit="1" customWidth="1"/>
    <col min="47" max="16384" width="8.88671875" style="2"/>
  </cols>
  <sheetData>
    <row r="1" spans="1:47" ht="42" customHeight="1" x14ac:dyDescent="0.3">
      <c r="A1" s="189" t="s">
        <v>15</v>
      </c>
      <c r="B1" s="189"/>
      <c r="C1" s="189"/>
      <c r="D1" s="189"/>
      <c r="E1" s="189"/>
      <c r="F1" s="190" t="e" vm="1">
        <v>#VALUE!</v>
      </c>
      <c r="G1" s="190"/>
      <c r="I1" s="189" t="s">
        <v>15</v>
      </c>
      <c r="J1" s="189"/>
      <c r="K1" s="189"/>
      <c r="L1" s="189"/>
      <c r="M1" s="189"/>
      <c r="N1" s="190" t="e" vm="2">
        <v>#VALUE!</v>
      </c>
      <c r="O1" s="190"/>
      <c r="Q1" s="189" t="s">
        <v>15</v>
      </c>
      <c r="R1" s="189"/>
      <c r="S1" s="189"/>
      <c r="T1" s="189"/>
      <c r="U1" s="189"/>
      <c r="V1" s="190" t="e" vm="3">
        <v>#VALUE!</v>
      </c>
      <c r="W1" s="190"/>
      <c r="Y1" s="189" t="s">
        <v>15</v>
      </c>
      <c r="Z1" s="189"/>
      <c r="AA1" s="189"/>
      <c r="AB1" s="189"/>
      <c r="AC1" s="189"/>
      <c r="AD1" s="190" t="e" vm="4">
        <v>#VALUE!</v>
      </c>
      <c r="AE1" s="190"/>
      <c r="AG1" s="189" t="s">
        <v>15</v>
      </c>
      <c r="AH1" s="189"/>
      <c r="AI1" s="189"/>
      <c r="AJ1" s="189"/>
      <c r="AK1" s="189"/>
      <c r="AL1" s="190" t="e" vm="5">
        <v>#VALUE!</v>
      </c>
      <c r="AM1" s="190"/>
      <c r="AO1" s="189" t="s">
        <v>15</v>
      </c>
      <c r="AP1" s="189"/>
      <c r="AQ1" s="189"/>
      <c r="AR1" s="189"/>
      <c r="AS1" s="189"/>
      <c r="AT1" s="190" t="e" vm="6">
        <v>#VALUE!</v>
      </c>
      <c r="AU1" s="190"/>
    </row>
    <row r="2" spans="1:47" ht="18.600000000000001" customHeight="1" x14ac:dyDescent="0.3">
      <c r="A2" s="1" t="s">
        <v>0</v>
      </c>
      <c r="B2" s="52">
        <v>2020</v>
      </c>
      <c r="C2" s="52">
        <v>2021</v>
      </c>
      <c r="D2" s="52">
        <v>2022</v>
      </c>
      <c r="E2" s="52">
        <v>2023</v>
      </c>
      <c r="F2" s="52">
        <v>2024</v>
      </c>
      <c r="G2" s="52">
        <v>2025</v>
      </c>
      <c r="I2" s="1" t="s">
        <v>0</v>
      </c>
      <c r="J2" s="52">
        <v>2020</v>
      </c>
      <c r="K2" s="52">
        <v>2021</v>
      </c>
      <c r="L2" s="52">
        <v>2022</v>
      </c>
      <c r="M2" s="52">
        <v>2023</v>
      </c>
      <c r="N2" s="52">
        <v>2024</v>
      </c>
      <c r="O2" s="52">
        <v>2025</v>
      </c>
      <c r="Q2" s="1" t="s">
        <v>0</v>
      </c>
      <c r="R2" s="52">
        <v>2020</v>
      </c>
      <c r="S2" s="52">
        <v>2021</v>
      </c>
      <c r="T2" s="52">
        <v>2022</v>
      </c>
      <c r="U2" s="52">
        <v>2023</v>
      </c>
      <c r="V2" s="52">
        <v>2024</v>
      </c>
      <c r="W2" s="52">
        <v>2025</v>
      </c>
      <c r="Y2" s="1" t="s">
        <v>0</v>
      </c>
      <c r="Z2" s="52">
        <v>2020</v>
      </c>
      <c r="AA2" s="52">
        <v>2021</v>
      </c>
      <c r="AB2" s="52">
        <v>2022</v>
      </c>
      <c r="AC2" s="52">
        <v>2023</v>
      </c>
      <c r="AD2" s="52">
        <v>2024</v>
      </c>
      <c r="AE2" s="52" t="s">
        <v>80</v>
      </c>
      <c r="AG2" s="1" t="s">
        <v>0</v>
      </c>
      <c r="AH2" s="52">
        <v>2020</v>
      </c>
      <c r="AI2" s="52">
        <v>2021</v>
      </c>
      <c r="AJ2" s="52">
        <v>2022</v>
      </c>
      <c r="AK2" s="52">
        <v>2023</v>
      </c>
      <c r="AL2" s="52">
        <v>2024</v>
      </c>
      <c r="AM2" s="52">
        <v>2025</v>
      </c>
      <c r="AO2" s="1" t="s">
        <v>0</v>
      </c>
      <c r="AP2" s="52">
        <v>2020</v>
      </c>
      <c r="AQ2" s="52">
        <v>2021</v>
      </c>
      <c r="AR2" s="52">
        <v>2022</v>
      </c>
      <c r="AS2" s="52">
        <v>2023</v>
      </c>
      <c r="AT2" s="52">
        <v>2024</v>
      </c>
      <c r="AU2" s="52" t="s">
        <v>80</v>
      </c>
    </row>
    <row r="3" spans="1:47" x14ac:dyDescent="0.3">
      <c r="A3" s="191" t="s">
        <v>16</v>
      </c>
      <c r="B3" s="191"/>
      <c r="C3" s="191"/>
      <c r="D3" s="191"/>
      <c r="E3" s="191"/>
      <c r="F3" s="191"/>
      <c r="G3" s="191"/>
      <c r="I3" s="191" t="s">
        <v>16</v>
      </c>
      <c r="J3" s="191"/>
      <c r="K3" s="191"/>
      <c r="L3" s="191"/>
      <c r="M3" s="191"/>
      <c r="N3" s="191"/>
      <c r="O3" s="191"/>
      <c r="Q3" s="191" t="s">
        <v>16</v>
      </c>
      <c r="R3" s="191"/>
      <c r="S3" s="191"/>
      <c r="T3" s="191"/>
      <c r="U3" s="191"/>
      <c r="V3" s="191"/>
      <c r="W3" s="191"/>
      <c r="Y3" s="191" t="s">
        <v>16</v>
      </c>
      <c r="Z3" s="191"/>
      <c r="AA3" s="191"/>
      <c r="AB3" s="191"/>
      <c r="AC3" s="191"/>
      <c r="AD3" s="191"/>
      <c r="AE3" s="191"/>
      <c r="AG3" s="191" t="s">
        <v>16</v>
      </c>
      <c r="AH3" s="191"/>
      <c r="AI3" s="191"/>
      <c r="AJ3" s="191"/>
      <c r="AK3" s="191"/>
      <c r="AL3" s="191"/>
      <c r="AM3" s="191"/>
      <c r="AO3" s="191" t="s">
        <v>16</v>
      </c>
      <c r="AP3" s="191"/>
      <c r="AQ3" s="191"/>
      <c r="AR3" s="191"/>
      <c r="AS3" s="191"/>
      <c r="AT3" s="191"/>
      <c r="AU3" s="191"/>
    </row>
    <row r="4" spans="1:47" x14ac:dyDescent="0.3">
      <c r="A4" s="191" t="s">
        <v>17</v>
      </c>
      <c r="B4" s="191"/>
      <c r="C4" s="191"/>
      <c r="D4" s="191"/>
      <c r="E4" s="191"/>
      <c r="F4" s="191"/>
      <c r="G4" s="191"/>
      <c r="I4" s="191" t="s">
        <v>17</v>
      </c>
      <c r="J4" s="191"/>
      <c r="K4" s="191"/>
      <c r="L4" s="191"/>
      <c r="M4" s="191"/>
      <c r="N4" s="191"/>
      <c r="O4" s="191"/>
      <c r="Q4" s="191" t="s">
        <v>17</v>
      </c>
      <c r="R4" s="191"/>
      <c r="S4" s="191"/>
      <c r="T4" s="191"/>
      <c r="U4" s="191"/>
      <c r="V4" s="191"/>
      <c r="W4" s="191"/>
      <c r="Y4" s="191" t="s">
        <v>17</v>
      </c>
      <c r="Z4" s="191"/>
      <c r="AA4" s="191"/>
      <c r="AB4" s="191"/>
      <c r="AC4" s="191"/>
      <c r="AD4" s="191"/>
      <c r="AE4" s="191"/>
      <c r="AG4" s="191" t="s">
        <v>17</v>
      </c>
      <c r="AH4" s="191"/>
      <c r="AI4" s="191"/>
      <c r="AJ4" s="191"/>
      <c r="AK4" s="191"/>
      <c r="AL4" s="191"/>
      <c r="AM4" s="191"/>
      <c r="AO4" s="191" t="s">
        <v>17</v>
      </c>
      <c r="AP4" s="191"/>
      <c r="AQ4" s="191"/>
      <c r="AR4" s="191"/>
      <c r="AS4" s="191"/>
      <c r="AT4" s="191"/>
      <c r="AU4" s="191"/>
    </row>
    <row r="5" spans="1:47" x14ac:dyDescent="0.3">
      <c r="A5" s="4" t="s">
        <v>18</v>
      </c>
      <c r="B5" s="14">
        <v>14790.5</v>
      </c>
      <c r="C5" s="14">
        <v>14178.5</v>
      </c>
      <c r="D5" s="14">
        <v>12826.1</v>
      </c>
      <c r="E5" s="14">
        <v>16692.099999999999</v>
      </c>
      <c r="F5" s="14">
        <v>17431.400000000001</v>
      </c>
      <c r="G5" s="14">
        <v>23638.2</v>
      </c>
      <c r="I5" s="4" t="s">
        <v>18</v>
      </c>
      <c r="J5" s="14">
        <v>24417.18</v>
      </c>
      <c r="K5" s="14">
        <v>17611.650000000001</v>
      </c>
      <c r="L5" s="14">
        <v>21902.26</v>
      </c>
      <c r="M5" s="14">
        <v>20351.330000000002</v>
      </c>
      <c r="N5" s="14">
        <v>21408.6</v>
      </c>
      <c r="O5" s="14">
        <v>25834.82</v>
      </c>
      <c r="Q5" s="4" t="s">
        <v>18</v>
      </c>
      <c r="R5" s="14">
        <v>77882.83</v>
      </c>
      <c r="S5" s="14">
        <v>79640.05</v>
      </c>
      <c r="T5" s="14">
        <v>80900.13</v>
      </c>
      <c r="U5" s="14">
        <v>76641.429999999993</v>
      </c>
      <c r="V5" s="14">
        <v>73125</v>
      </c>
      <c r="W5" s="14">
        <v>72536</v>
      </c>
      <c r="Y5" s="4" t="s">
        <v>18</v>
      </c>
      <c r="Z5" s="14">
        <v>3066.54</v>
      </c>
      <c r="AA5" s="14">
        <v>3123.85</v>
      </c>
      <c r="AB5" s="14">
        <v>4377.8</v>
      </c>
      <c r="AC5" s="14">
        <v>4177.3999999999996</v>
      </c>
      <c r="AD5" s="14">
        <v>4294.12</v>
      </c>
      <c r="AE5" s="14"/>
      <c r="AG5" s="4" t="s">
        <v>18</v>
      </c>
      <c r="AH5" s="14">
        <v>2620</v>
      </c>
      <c r="AI5" s="14">
        <v>2970.19</v>
      </c>
      <c r="AJ5" s="14">
        <v>3240.18</v>
      </c>
      <c r="AK5" s="14">
        <v>3582.06</v>
      </c>
      <c r="AL5" s="14">
        <v>3760.47</v>
      </c>
      <c r="AM5" s="14">
        <v>3853.53</v>
      </c>
      <c r="AO5" s="4" t="s">
        <v>18</v>
      </c>
      <c r="AP5" s="14">
        <v>14713.8</v>
      </c>
      <c r="AQ5" s="14">
        <v>14373.8</v>
      </c>
      <c r="AR5" s="14">
        <v>14525.2</v>
      </c>
      <c r="AS5" s="14">
        <v>15644.5</v>
      </c>
      <c r="AT5" s="14">
        <v>18773</v>
      </c>
      <c r="AU5" s="14"/>
    </row>
    <row r="6" spans="1:47" x14ac:dyDescent="0.3">
      <c r="A6" s="4" t="s">
        <v>19</v>
      </c>
      <c r="B6" s="14">
        <v>1344.3</v>
      </c>
      <c r="C6" s="14">
        <v>1199.3</v>
      </c>
      <c r="D6" s="14">
        <v>2646.2</v>
      </c>
      <c r="E6" s="14">
        <v>2815.2</v>
      </c>
      <c r="F6" s="14">
        <v>6303.4</v>
      </c>
      <c r="G6" s="14">
        <v>5357.5</v>
      </c>
      <c r="I6" s="4" t="s">
        <v>19</v>
      </c>
      <c r="J6" s="14">
        <v>2551.75</v>
      </c>
      <c r="K6" s="14">
        <v>4477.6400000000003</v>
      </c>
      <c r="L6" s="14">
        <v>3036.1</v>
      </c>
      <c r="M6" s="14">
        <v>1222.6600000000001</v>
      </c>
      <c r="N6" s="14">
        <v>3461.33</v>
      </c>
      <c r="O6" s="14">
        <v>3652.56</v>
      </c>
      <c r="Q6" s="4" t="s">
        <v>19</v>
      </c>
      <c r="R6" s="14">
        <v>8599.56</v>
      </c>
      <c r="S6" s="14">
        <v>8377.14</v>
      </c>
      <c r="T6" s="14">
        <v>3529.04</v>
      </c>
      <c r="U6" s="14">
        <v>5219.87</v>
      </c>
      <c r="V6" s="14">
        <v>10937</v>
      </c>
      <c r="W6" s="14">
        <v>17624</v>
      </c>
      <c r="Y6" s="4" t="s">
        <v>19</v>
      </c>
      <c r="Z6" s="14">
        <v>847.14</v>
      </c>
      <c r="AA6" s="14">
        <v>873.89</v>
      </c>
      <c r="AB6" s="14">
        <v>320.18</v>
      </c>
      <c r="AC6" s="14">
        <v>315.81</v>
      </c>
      <c r="AD6" s="14">
        <v>338.01</v>
      </c>
      <c r="AE6" s="14"/>
      <c r="AG6" s="4" t="s">
        <v>19</v>
      </c>
      <c r="AH6" s="14">
        <v>360.72</v>
      </c>
      <c r="AI6" s="14">
        <v>379.47</v>
      </c>
      <c r="AJ6" s="14">
        <v>322.42</v>
      </c>
      <c r="AK6" s="14">
        <v>335.38</v>
      </c>
      <c r="AL6" s="14">
        <v>1164.54</v>
      </c>
      <c r="AM6" s="14">
        <v>3426.05</v>
      </c>
      <c r="AO6" s="4" t="s">
        <v>101</v>
      </c>
      <c r="AP6" s="14">
        <v>1559.6</v>
      </c>
      <c r="AQ6" s="14">
        <v>1438.3</v>
      </c>
      <c r="AR6" s="14">
        <v>1603.1</v>
      </c>
      <c r="AS6" s="14">
        <v>1918.1</v>
      </c>
      <c r="AT6" s="14">
        <v>2880.6</v>
      </c>
      <c r="AU6" s="14"/>
    </row>
    <row r="7" spans="1:47" x14ac:dyDescent="0.3">
      <c r="A7" s="4" t="s">
        <v>20</v>
      </c>
      <c r="B7" s="14">
        <v>335.8</v>
      </c>
      <c r="C7" s="14">
        <v>224.2</v>
      </c>
      <c r="D7" s="14">
        <v>349.9</v>
      </c>
      <c r="E7" s="14">
        <v>547.9</v>
      </c>
      <c r="F7" s="14">
        <v>451</v>
      </c>
      <c r="G7" s="14">
        <v>482.8</v>
      </c>
      <c r="I7" s="4" t="s">
        <v>20</v>
      </c>
      <c r="J7" s="14">
        <v>1512.31</v>
      </c>
      <c r="K7" s="14">
        <v>1304.9000000000001</v>
      </c>
      <c r="L7" s="14">
        <v>2775.83</v>
      </c>
      <c r="M7" s="14">
        <v>4239.75</v>
      </c>
      <c r="N7" s="14">
        <v>4272.4399999999996</v>
      </c>
      <c r="O7" s="14">
        <v>6427.64</v>
      </c>
      <c r="Q7" s="4" t="s">
        <v>64</v>
      </c>
      <c r="R7" s="14">
        <v>6275.34</v>
      </c>
      <c r="S7" s="14">
        <v>6490.66</v>
      </c>
      <c r="T7" s="14">
        <v>6686.02</v>
      </c>
      <c r="U7" s="14">
        <v>7801.04</v>
      </c>
      <c r="V7" s="14">
        <v>8059</v>
      </c>
      <c r="W7" s="14">
        <v>8476</v>
      </c>
      <c r="Y7" s="4" t="s">
        <v>81</v>
      </c>
      <c r="Z7" s="14">
        <v>137.69999999999999</v>
      </c>
      <c r="AA7" s="14">
        <v>137.69999999999999</v>
      </c>
      <c r="AB7" s="14">
        <v>137.69999999999999</v>
      </c>
      <c r="AC7" s="14">
        <v>137.69999999999999</v>
      </c>
      <c r="AD7" s="14">
        <v>137.69999999999999</v>
      </c>
      <c r="AE7" s="14"/>
      <c r="AG7" s="4" t="s">
        <v>82</v>
      </c>
      <c r="AH7" s="14">
        <v>581.9</v>
      </c>
      <c r="AI7" s="14">
        <v>581.9</v>
      </c>
      <c r="AJ7" s="14">
        <v>46.77</v>
      </c>
      <c r="AK7" s="14">
        <v>45.82</v>
      </c>
      <c r="AL7" s="14">
        <v>45.82</v>
      </c>
      <c r="AM7" s="14">
        <v>45.82</v>
      </c>
      <c r="AO7" s="4" t="s">
        <v>19</v>
      </c>
      <c r="AP7" s="14">
        <v>815.4</v>
      </c>
      <c r="AQ7" s="14">
        <v>838.3</v>
      </c>
      <c r="AR7" s="14">
        <v>1248.8</v>
      </c>
      <c r="AS7" s="14">
        <v>1422.2</v>
      </c>
      <c r="AT7" s="14">
        <v>2430.6</v>
      </c>
      <c r="AU7" s="14"/>
    </row>
    <row r="8" spans="1:47" x14ac:dyDescent="0.3">
      <c r="A8" s="4" t="s">
        <v>21</v>
      </c>
      <c r="B8" s="14">
        <v>70.900000000000006</v>
      </c>
      <c r="C8" s="14">
        <v>297.5</v>
      </c>
      <c r="D8" s="14">
        <v>290.3</v>
      </c>
      <c r="E8" s="14">
        <v>88.9</v>
      </c>
      <c r="F8" s="14">
        <v>230.5</v>
      </c>
      <c r="G8" s="14">
        <v>401.8</v>
      </c>
      <c r="I8" s="4" t="s">
        <v>21</v>
      </c>
      <c r="J8" s="14">
        <v>3759.78</v>
      </c>
      <c r="K8" s="14">
        <v>2463.13</v>
      </c>
      <c r="L8" s="14">
        <v>3666.71</v>
      </c>
      <c r="M8" s="14">
        <v>2745.92</v>
      </c>
      <c r="N8" s="14">
        <v>4577.97</v>
      </c>
      <c r="O8" s="14">
        <v>4645.08</v>
      </c>
      <c r="Q8" s="4" t="s">
        <v>82</v>
      </c>
      <c r="R8" s="14">
        <v>777.06</v>
      </c>
      <c r="S8" s="14">
        <v>803.72</v>
      </c>
      <c r="T8" s="14">
        <v>807.17</v>
      </c>
      <c r="U8" s="14">
        <v>840.6</v>
      </c>
      <c r="V8" s="14">
        <v>860</v>
      </c>
      <c r="W8" s="14">
        <v>895</v>
      </c>
      <c r="Y8" s="4" t="s">
        <v>82</v>
      </c>
      <c r="Z8" s="14">
        <v>2.2000000000000002</v>
      </c>
      <c r="AA8" s="14">
        <v>2.2000000000000002</v>
      </c>
      <c r="AB8" s="14">
        <v>0</v>
      </c>
      <c r="AC8" s="14">
        <v>0</v>
      </c>
      <c r="AD8" s="14">
        <v>0</v>
      </c>
      <c r="AE8" s="14"/>
      <c r="AG8" s="4" t="s">
        <v>84</v>
      </c>
      <c r="AH8" s="14">
        <v>46.6</v>
      </c>
      <c r="AI8" s="14">
        <v>46.66</v>
      </c>
      <c r="AJ8" s="14">
        <v>74.28</v>
      </c>
      <c r="AK8" s="14">
        <v>56.94</v>
      </c>
      <c r="AL8" s="14">
        <v>46.55</v>
      </c>
      <c r="AM8" s="14">
        <v>35.89</v>
      </c>
      <c r="AO8" s="4" t="s">
        <v>102</v>
      </c>
      <c r="AP8" s="14">
        <v>119.7</v>
      </c>
      <c r="AQ8" s="14">
        <v>128.1</v>
      </c>
      <c r="AR8" s="14">
        <v>524.1</v>
      </c>
      <c r="AS8" s="14">
        <v>499.3</v>
      </c>
      <c r="AT8" s="14">
        <v>583.70000000000005</v>
      </c>
      <c r="AU8" s="14"/>
    </row>
    <row r="9" spans="1:47" x14ac:dyDescent="0.3">
      <c r="A9" s="4" t="s">
        <v>22</v>
      </c>
      <c r="B9" s="14">
        <v>618.1</v>
      </c>
      <c r="C9" s="14">
        <v>586</v>
      </c>
      <c r="D9" s="14">
        <v>571.20000000000005</v>
      </c>
      <c r="E9" s="14">
        <v>590.4</v>
      </c>
      <c r="F9" s="14">
        <v>612.9</v>
      </c>
      <c r="G9" s="14">
        <v>585.79999999999995</v>
      </c>
      <c r="I9" s="4" t="s">
        <v>82</v>
      </c>
      <c r="J9" s="14">
        <v>4304.7299999999996</v>
      </c>
      <c r="K9" s="14">
        <v>3394.97</v>
      </c>
      <c r="L9" s="14">
        <v>1340.4</v>
      </c>
      <c r="M9" s="14">
        <v>2548.9</v>
      </c>
      <c r="N9" s="14">
        <v>2448.37</v>
      </c>
      <c r="O9" s="14">
        <v>2373.9</v>
      </c>
      <c r="Q9" s="4" t="s">
        <v>116</v>
      </c>
      <c r="R9" s="14">
        <v>42171.91</v>
      </c>
      <c r="S9" s="14">
        <v>51773.18</v>
      </c>
      <c r="T9" s="14">
        <v>50462.13</v>
      </c>
      <c r="U9" s="14">
        <v>46796.69</v>
      </c>
      <c r="V9" s="14">
        <v>39241</v>
      </c>
      <c r="W9" s="14">
        <v>33790</v>
      </c>
      <c r="Y9" s="4" t="s">
        <v>83</v>
      </c>
      <c r="Z9" s="14">
        <v>186.11</v>
      </c>
      <c r="AA9" s="14">
        <v>186.11</v>
      </c>
      <c r="AB9" s="14">
        <v>569.47</v>
      </c>
      <c r="AC9" s="14">
        <v>597.04999999999995</v>
      </c>
      <c r="AD9" s="14">
        <v>597.04999999999995</v>
      </c>
      <c r="AE9" s="14"/>
      <c r="AG9" s="4" t="s">
        <v>21</v>
      </c>
      <c r="AH9" s="14">
        <v>44.15</v>
      </c>
      <c r="AI9" s="14">
        <v>51.48</v>
      </c>
      <c r="AJ9" s="14">
        <v>18.52</v>
      </c>
      <c r="AK9" s="14">
        <v>189.67</v>
      </c>
      <c r="AL9" s="14">
        <v>187.44</v>
      </c>
      <c r="AM9" s="14">
        <v>217.36</v>
      </c>
      <c r="AO9" s="4" t="s">
        <v>82</v>
      </c>
      <c r="AP9" s="14">
        <v>2406</v>
      </c>
      <c r="AQ9" s="14">
        <v>2471.8000000000002</v>
      </c>
      <c r="AR9" s="14">
        <v>3374.3</v>
      </c>
      <c r="AS9" s="14">
        <v>3772.6</v>
      </c>
      <c r="AT9" s="14">
        <v>5750.1</v>
      </c>
      <c r="AU9" s="14"/>
    </row>
    <row r="10" spans="1:47" x14ac:dyDescent="0.3">
      <c r="A10" s="191" t="s">
        <v>23</v>
      </c>
      <c r="B10" s="191"/>
      <c r="C10" s="191"/>
      <c r="D10" s="191"/>
      <c r="E10" s="191"/>
      <c r="F10" s="191"/>
      <c r="G10" s="191"/>
      <c r="I10" s="4" t="s">
        <v>85</v>
      </c>
      <c r="J10" s="14">
        <v>11229.4</v>
      </c>
      <c r="K10" s="14">
        <v>12256.22</v>
      </c>
      <c r="L10" s="14">
        <v>13149.7</v>
      </c>
      <c r="M10" s="14">
        <v>14380.57</v>
      </c>
      <c r="N10" s="14">
        <v>13800.71</v>
      </c>
      <c r="O10" s="14">
        <v>14176.68</v>
      </c>
      <c r="Q10" s="4" t="s">
        <v>21</v>
      </c>
      <c r="R10" s="14">
        <v>27022.73</v>
      </c>
      <c r="S10" s="14">
        <v>12586.79</v>
      </c>
      <c r="T10" s="14">
        <v>6722.05</v>
      </c>
      <c r="U10" s="14">
        <v>9054.6299999999992</v>
      </c>
      <c r="V10" s="14">
        <v>24761</v>
      </c>
      <c r="W10" s="14">
        <v>48182</v>
      </c>
      <c r="Y10" s="4" t="s">
        <v>84</v>
      </c>
      <c r="Z10" s="14">
        <v>183</v>
      </c>
      <c r="AA10" s="14">
        <v>528.44000000000005</v>
      </c>
      <c r="AB10" s="14">
        <v>889.49</v>
      </c>
      <c r="AC10" s="14">
        <v>835.88</v>
      </c>
      <c r="AD10" s="14">
        <v>861.95</v>
      </c>
      <c r="AE10" s="14"/>
      <c r="AG10" s="4" t="s">
        <v>91</v>
      </c>
      <c r="AH10" s="14">
        <v>138.96</v>
      </c>
      <c r="AI10" s="14">
        <v>271.2</v>
      </c>
      <c r="AJ10" s="14">
        <v>24.56</v>
      </c>
      <c r="AK10" s="14">
        <v>24.84</v>
      </c>
      <c r="AL10" s="14">
        <v>25.66</v>
      </c>
      <c r="AM10" s="14">
        <v>27.66</v>
      </c>
      <c r="AO10" s="4" t="s">
        <v>103</v>
      </c>
      <c r="AP10" s="14">
        <v>1951</v>
      </c>
      <c r="AQ10" s="14">
        <v>1687.1</v>
      </c>
      <c r="AR10" s="14">
        <v>1384.5</v>
      </c>
      <c r="AS10" s="14">
        <v>1312.4</v>
      </c>
      <c r="AT10" s="14">
        <v>2134.1</v>
      </c>
      <c r="AU10" s="14"/>
    </row>
    <row r="11" spans="1:47" x14ac:dyDescent="0.3">
      <c r="A11" s="4" t="s">
        <v>24</v>
      </c>
      <c r="B11" s="14">
        <v>36269.199999999997</v>
      </c>
      <c r="C11" s="14">
        <v>34529.1</v>
      </c>
      <c r="D11" s="14">
        <v>37934.6</v>
      </c>
      <c r="E11" s="14">
        <v>49184.3</v>
      </c>
      <c r="F11" s="14">
        <v>64601.5</v>
      </c>
      <c r="G11" s="14">
        <v>68945.899999999994</v>
      </c>
      <c r="I11" s="192" t="s">
        <v>23</v>
      </c>
      <c r="J11" s="193"/>
      <c r="K11" s="193"/>
      <c r="L11" s="193"/>
      <c r="M11" s="193"/>
      <c r="N11" s="193"/>
      <c r="O11" s="194"/>
      <c r="Q11" s="4" t="s">
        <v>65</v>
      </c>
      <c r="R11" s="14">
        <v>4418.8900000000003</v>
      </c>
      <c r="S11" s="14">
        <v>4200.79</v>
      </c>
      <c r="T11" s="14">
        <v>4349.3900000000003</v>
      </c>
      <c r="U11" s="14">
        <v>4675.66</v>
      </c>
      <c r="V11" s="14">
        <v>5340</v>
      </c>
      <c r="W11" s="14">
        <v>5534</v>
      </c>
      <c r="Y11" s="4" t="s">
        <v>21</v>
      </c>
      <c r="Z11" s="14">
        <v>158.87</v>
      </c>
      <c r="AA11" s="14">
        <v>166.88</v>
      </c>
      <c r="AB11" s="14">
        <v>231.35</v>
      </c>
      <c r="AC11" s="14">
        <v>427.64</v>
      </c>
      <c r="AD11" s="14">
        <v>694.94</v>
      </c>
      <c r="AE11" s="14"/>
      <c r="AG11" s="191" t="s">
        <v>23</v>
      </c>
      <c r="AH11" s="191"/>
      <c r="AI11" s="191"/>
      <c r="AJ11" s="191"/>
      <c r="AK11" s="191"/>
      <c r="AL11" s="191"/>
      <c r="AM11" s="191"/>
      <c r="AO11" s="4" t="s">
        <v>21</v>
      </c>
      <c r="AP11" s="14">
        <v>36.4</v>
      </c>
      <c r="AQ11" s="14">
        <v>38.6</v>
      </c>
      <c r="AR11" s="14">
        <v>60.9</v>
      </c>
      <c r="AS11" s="14">
        <v>55.7</v>
      </c>
      <c r="AT11" s="14">
        <v>67.2</v>
      </c>
      <c r="AU11" s="14"/>
    </row>
    <row r="12" spans="1:47" x14ac:dyDescent="0.3">
      <c r="A12" s="4" t="s">
        <v>25</v>
      </c>
      <c r="B12" s="14">
        <v>0.2</v>
      </c>
      <c r="C12" s="14">
        <v>0.2</v>
      </c>
      <c r="D12" s="14">
        <v>0.2</v>
      </c>
      <c r="E12" s="14">
        <v>0.2</v>
      </c>
      <c r="F12" s="14">
        <v>0.1</v>
      </c>
      <c r="G12" s="14">
        <v>0.1</v>
      </c>
      <c r="I12" s="4" t="s">
        <v>24</v>
      </c>
      <c r="J12" s="14">
        <v>1685.38</v>
      </c>
      <c r="K12" s="14">
        <v>6489.62</v>
      </c>
      <c r="L12" s="14">
        <v>6060.85</v>
      </c>
      <c r="M12" s="14">
        <v>6625.93</v>
      </c>
      <c r="N12" s="14">
        <v>7772.75</v>
      </c>
      <c r="O12" s="14">
        <v>5184.42</v>
      </c>
      <c r="Q12" s="192" t="s">
        <v>23</v>
      </c>
      <c r="R12" s="193"/>
      <c r="S12" s="193"/>
      <c r="T12" s="193"/>
      <c r="U12" s="193"/>
      <c r="V12" s="193"/>
      <c r="W12" s="194"/>
      <c r="Y12" s="4" t="s">
        <v>64</v>
      </c>
      <c r="Z12" s="14">
        <v>235.14</v>
      </c>
      <c r="AA12" s="14">
        <v>242.75</v>
      </c>
      <c r="AB12" s="14">
        <v>0</v>
      </c>
      <c r="AC12" s="14">
        <v>0</v>
      </c>
      <c r="AD12" s="14">
        <v>0</v>
      </c>
      <c r="AE12" s="14"/>
      <c r="AG12" s="191" t="s">
        <v>24</v>
      </c>
      <c r="AH12" s="191"/>
      <c r="AI12" s="191"/>
      <c r="AJ12" s="191"/>
      <c r="AK12" s="191"/>
      <c r="AL12" s="191"/>
      <c r="AM12" s="191"/>
      <c r="AO12" s="4" t="s">
        <v>104</v>
      </c>
      <c r="AP12" s="14">
        <v>634.1</v>
      </c>
      <c r="AQ12" s="14">
        <v>716.6</v>
      </c>
      <c r="AR12" s="14">
        <v>6264.7</v>
      </c>
      <c r="AS12" s="14">
        <v>6105.9</v>
      </c>
      <c r="AT12" s="14">
        <v>6207.5</v>
      </c>
      <c r="AU12" s="14"/>
    </row>
    <row r="13" spans="1:47" x14ac:dyDescent="0.3">
      <c r="A13" s="4" t="s">
        <v>26</v>
      </c>
      <c r="B13" s="14">
        <v>36.5</v>
      </c>
      <c r="C13" s="14">
        <v>36.9</v>
      </c>
      <c r="D13" s="14">
        <v>37.5</v>
      </c>
      <c r="E13" s="14">
        <v>59.5</v>
      </c>
      <c r="F13" s="14">
        <v>82.2</v>
      </c>
      <c r="G13" s="14">
        <v>87.1</v>
      </c>
      <c r="I13" s="4" t="s">
        <v>25</v>
      </c>
      <c r="J13" s="14">
        <v>45945.23</v>
      </c>
      <c r="K13" s="14">
        <v>38525.68</v>
      </c>
      <c r="L13" s="14">
        <v>38849.4</v>
      </c>
      <c r="M13" s="14">
        <v>52772.75</v>
      </c>
      <c r="N13" s="14">
        <v>67783.649999999994</v>
      </c>
      <c r="O13" s="14">
        <v>79607.31</v>
      </c>
      <c r="Q13" s="4" t="s">
        <v>66</v>
      </c>
      <c r="R13" s="14">
        <v>1028.05</v>
      </c>
      <c r="S13" s="14">
        <v>1368.3</v>
      </c>
      <c r="T13" s="14">
        <v>2320.92</v>
      </c>
      <c r="U13" s="14">
        <v>2865.19</v>
      </c>
      <c r="V13" s="14">
        <v>3378</v>
      </c>
      <c r="W13" s="14">
        <v>2923</v>
      </c>
      <c r="Y13" s="191" t="s">
        <v>23</v>
      </c>
      <c r="Z13" s="191"/>
      <c r="AA13" s="191"/>
      <c r="AB13" s="191"/>
      <c r="AC13" s="191"/>
      <c r="AD13" s="191"/>
      <c r="AE13" s="191"/>
      <c r="AG13" s="4" t="s">
        <v>92</v>
      </c>
      <c r="AH13" s="14">
        <v>14736.78</v>
      </c>
      <c r="AI13" s="14">
        <v>17702.22</v>
      </c>
      <c r="AJ13" s="14">
        <v>4822.34</v>
      </c>
      <c r="AK13" s="14">
        <v>4477.82</v>
      </c>
      <c r="AL13" s="14">
        <v>5655.45</v>
      </c>
      <c r="AM13" s="14">
        <v>6122.03</v>
      </c>
      <c r="AO13" s="191" t="s">
        <v>23</v>
      </c>
      <c r="AP13" s="191"/>
      <c r="AQ13" s="191"/>
      <c r="AR13" s="191"/>
      <c r="AS13" s="191"/>
      <c r="AT13" s="191"/>
      <c r="AU13" s="191"/>
    </row>
    <row r="14" spans="1:47" x14ac:dyDescent="0.3">
      <c r="A14" s="4" t="s">
        <v>72</v>
      </c>
      <c r="B14" s="14">
        <v>1721.6</v>
      </c>
      <c r="C14" s="14">
        <v>1686.7</v>
      </c>
      <c r="D14" s="14">
        <f>544.6+141.1+2520.4</f>
        <v>3206.1000000000004</v>
      </c>
      <c r="E14" s="14">
        <f>574.9+279.4+2148.5</f>
        <v>3002.8</v>
      </c>
      <c r="F14" s="14">
        <f>543.9+112.4+2153.1</f>
        <v>2809.3999999999996</v>
      </c>
      <c r="G14" s="14">
        <f>474.3+2394.5</f>
        <v>2868.8</v>
      </c>
      <c r="I14" s="4" t="s">
        <v>26</v>
      </c>
      <c r="J14" s="14">
        <v>1187.72</v>
      </c>
      <c r="K14" s="14">
        <v>1497.38</v>
      </c>
      <c r="L14" s="14">
        <v>2206.65</v>
      </c>
      <c r="M14" s="14">
        <v>3353.97</v>
      </c>
      <c r="N14" s="14">
        <v>4297.97</v>
      </c>
      <c r="O14" s="14">
        <v>2282.79</v>
      </c>
      <c r="Q14" s="4" t="s">
        <v>67</v>
      </c>
      <c r="R14" s="14">
        <v>16833.77</v>
      </c>
      <c r="S14" s="14">
        <v>16846.82</v>
      </c>
      <c r="T14" s="14">
        <v>11135.85</v>
      </c>
      <c r="U14" s="14">
        <v>7416.41</v>
      </c>
      <c r="V14" s="14">
        <v>6095</v>
      </c>
      <c r="W14" s="14">
        <v>0</v>
      </c>
      <c r="Y14" s="4" t="s">
        <v>24</v>
      </c>
      <c r="Z14" s="14">
        <v>195.71</v>
      </c>
      <c r="AA14" s="14">
        <v>180.39</v>
      </c>
      <c r="AB14" s="14">
        <v>109.51</v>
      </c>
      <c r="AC14" s="14">
        <v>364.1</v>
      </c>
      <c r="AD14" s="14">
        <v>482.75</v>
      </c>
      <c r="AE14" s="14"/>
      <c r="AG14" s="4" t="s">
        <v>66</v>
      </c>
      <c r="AH14" s="14">
        <v>83.72</v>
      </c>
      <c r="AI14" s="14">
        <v>100.82</v>
      </c>
      <c r="AJ14" s="14">
        <v>25.59</v>
      </c>
      <c r="AK14" s="14">
        <v>23.19</v>
      </c>
      <c r="AL14" s="14">
        <v>40.39</v>
      </c>
      <c r="AM14" s="14">
        <v>43.44</v>
      </c>
      <c r="AO14" s="4" t="s">
        <v>24</v>
      </c>
      <c r="AP14" s="14">
        <v>161.4</v>
      </c>
      <c r="AQ14" s="14">
        <v>128.69999999999999</v>
      </c>
      <c r="AR14" s="14">
        <v>195.8</v>
      </c>
      <c r="AS14" s="14">
        <v>181.1</v>
      </c>
      <c r="AT14" s="14">
        <v>215.3</v>
      </c>
      <c r="AU14" s="14"/>
    </row>
    <row r="15" spans="1:47" x14ac:dyDescent="0.3">
      <c r="A15" s="50" t="s">
        <v>27</v>
      </c>
      <c r="B15" s="51">
        <f>SUM(B5:B9,B11:B14)</f>
        <v>55187.099999999991</v>
      </c>
      <c r="C15" s="51">
        <f>SUM(C5:C9,C11:C14)</f>
        <v>52738.399999999994</v>
      </c>
      <c r="D15" s="51">
        <f t="shared" ref="D15:G15" si="0">SUM(D5:D9,D11:D14)</f>
        <v>57862.099999999991</v>
      </c>
      <c r="E15" s="51">
        <f t="shared" si="0"/>
        <v>72981.3</v>
      </c>
      <c r="F15" s="51">
        <f t="shared" si="0"/>
        <v>92522.400000000009</v>
      </c>
      <c r="G15" s="51">
        <f t="shared" si="0"/>
        <v>102368.00000000001</v>
      </c>
      <c r="I15" s="4" t="s">
        <v>73</v>
      </c>
      <c r="J15" s="53">
        <v>556.19000000000005</v>
      </c>
      <c r="K15" s="53">
        <v>366.16</v>
      </c>
      <c r="L15" s="53">
        <v>309.43</v>
      </c>
      <c r="M15" s="53">
        <v>282.60000000000002</v>
      </c>
      <c r="N15" s="53">
        <v>270.66000000000003</v>
      </c>
      <c r="O15" s="53">
        <v>256.54000000000002</v>
      </c>
      <c r="Q15" s="4" t="s">
        <v>68</v>
      </c>
      <c r="R15" s="14">
        <v>782.78</v>
      </c>
      <c r="S15" s="14">
        <v>1204.5899999999999</v>
      </c>
      <c r="T15" s="14">
        <v>843.35</v>
      </c>
      <c r="U15" s="14">
        <v>870.65</v>
      </c>
      <c r="V15" s="14">
        <v>442</v>
      </c>
      <c r="W15" s="14">
        <v>99</v>
      </c>
      <c r="Y15" s="4" t="s">
        <v>25</v>
      </c>
      <c r="Z15" s="14">
        <v>4148.49</v>
      </c>
      <c r="AA15" s="14">
        <v>5361.97</v>
      </c>
      <c r="AB15" s="14">
        <v>6716.45</v>
      </c>
      <c r="AC15" s="14">
        <v>10321.42</v>
      </c>
      <c r="AD15" s="14">
        <v>12054.55</v>
      </c>
      <c r="AE15" s="14"/>
      <c r="AG15" s="4" t="s">
        <v>73</v>
      </c>
      <c r="AH15" s="14">
        <v>0.11</v>
      </c>
      <c r="AI15" s="14">
        <v>0.08</v>
      </c>
      <c r="AJ15" s="14">
        <v>0.05</v>
      </c>
      <c r="AK15" s="14">
        <v>0.32</v>
      </c>
      <c r="AL15" s="14">
        <v>0.6</v>
      </c>
      <c r="AM15" s="14">
        <v>0.59</v>
      </c>
      <c r="AO15" s="4" t="s">
        <v>25</v>
      </c>
      <c r="AP15" s="14">
        <v>17.7</v>
      </c>
      <c r="AQ15" s="14">
        <v>44.5</v>
      </c>
      <c r="AR15" s="14">
        <v>3.6</v>
      </c>
      <c r="AS15" s="14">
        <v>9</v>
      </c>
      <c r="AT15" s="14">
        <v>12.2</v>
      </c>
      <c r="AU15" s="14"/>
    </row>
    <row r="16" spans="1:47" x14ac:dyDescent="0.3">
      <c r="A16" s="191" t="s">
        <v>28</v>
      </c>
      <c r="B16" s="191"/>
      <c r="C16" s="191"/>
      <c r="D16" s="191"/>
      <c r="E16" s="191"/>
      <c r="F16" s="191"/>
      <c r="G16" s="191"/>
      <c r="I16" s="4" t="s">
        <v>70</v>
      </c>
      <c r="J16" s="53">
        <v>1290.53</v>
      </c>
      <c r="K16" s="53">
        <v>1717.32</v>
      </c>
      <c r="L16" s="53">
        <v>1724.31</v>
      </c>
      <c r="M16" s="53">
        <v>1615.46</v>
      </c>
      <c r="N16" s="53">
        <v>1578.99</v>
      </c>
      <c r="O16" s="53">
        <v>1573.11</v>
      </c>
      <c r="Q16" s="4" t="s">
        <v>69</v>
      </c>
      <c r="R16" s="14">
        <v>4749.57</v>
      </c>
      <c r="S16" s="14">
        <v>5813.98</v>
      </c>
      <c r="T16" s="14">
        <v>5179.49</v>
      </c>
      <c r="U16" s="14">
        <v>7027.66</v>
      </c>
      <c r="V16" s="14">
        <v>9085</v>
      </c>
      <c r="W16" s="14">
        <v>12185</v>
      </c>
      <c r="Y16" s="4" t="s">
        <v>69</v>
      </c>
      <c r="Z16" s="14">
        <v>36.64</v>
      </c>
      <c r="AA16" s="14">
        <v>14.92</v>
      </c>
      <c r="AB16" s="14">
        <v>124.14</v>
      </c>
      <c r="AC16" s="14">
        <v>192.93</v>
      </c>
      <c r="AD16" s="14">
        <v>195.52</v>
      </c>
      <c r="AE16" s="14"/>
      <c r="AG16" s="4" t="s">
        <v>25</v>
      </c>
      <c r="AH16" s="14">
        <v>38.08</v>
      </c>
      <c r="AI16" s="14">
        <v>51.17</v>
      </c>
      <c r="AJ16" s="14">
        <v>0.09</v>
      </c>
      <c r="AK16" s="14">
        <v>7.0000000000000007E-2</v>
      </c>
      <c r="AL16" s="14">
        <v>0.25</v>
      </c>
      <c r="AM16" s="14">
        <v>0.19</v>
      </c>
      <c r="AO16" s="4" t="s">
        <v>73</v>
      </c>
      <c r="AP16" s="14">
        <v>1399.8</v>
      </c>
      <c r="AQ16" s="14">
        <v>1494.6</v>
      </c>
      <c r="AR16" s="14">
        <v>1451.6</v>
      </c>
      <c r="AS16" s="14">
        <v>1324.4</v>
      </c>
      <c r="AT16" s="14">
        <v>1557.2</v>
      </c>
      <c r="AU16" s="14"/>
    </row>
    <row r="17" spans="1:47" x14ac:dyDescent="0.3">
      <c r="A17" s="4" t="s">
        <v>29</v>
      </c>
      <c r="B17" s="14">
        <v>3213.9</v>
      </c>
      <c r="C17" s="14">
        <v>3049</v>
      </c>
      <c r="D17" s="14">
        <v>3532.3</v>
      </c>
      <c r="E17" s="14">
        <v>4283.5</v>
      </c>
      <c r="F17" s="14">
        <v>4119.6000000000004</v>
      </c>
      <c r="G17" s="14">
        <v>5123</v>
      </c>
      <c r="I17" s="4" t="s">
        <v>115</v>
      </c>
      <c r="J17" s="53">
        <v>1897.98</v>
      </c>
      <c r="K17" s="53">
        <v>1887.47</v>
      </c>
      <c r="L17" s="53">
        <v>1604.24</v>
      </c>
      <c r="M17" s="53">
        <v>1802.88</v>
      </c>
      <c r="N17" s="53">
        <v>2129.91</v>
      </c>
      <c r="O17" s="53">
        <v>2270.77</v>
      </c>
      <c r="Q17" s="4" t="s">
        <v>70</v>
      </c>
      <c r="R17" s="14">
        <v>5457.9</v>
      </c>
      <c r="S17" s="14">
        <v>4520.3500000000004</v>
      </c>
      <c r="T17" s="14">
        <v>3870.85</v>
      </c>
      <c r="U17" s="14">
        <v>5184.67</v>
      </c>
      <c r="V17" s="14">
        <v>13099</v>
      </c>
      <c r="W17" s="14">
        <v>7176</v>
      </c>
      <c r="Y17" s="4" t="s">
        <v>85</v>
      </c>
      <c r="Z17" s="14">
        <v>175.2</v>
      </c>
      <c r="AA17" s="14">
        <v>287.62</v>
      </c>
      <c r="AB17" s="14">
        <v>364.82</v>
      </c>
      <c r="AC17" s="14">
        <v>411.23</v>
      </c>
      <c r="AD17" s="14">
        <v>477.25</v>
      </c>
      <c r="AE17" s="14"/>
      <c r="AG17" s="4" t="s">
        <v>33</v>
      </c>
      <c r="AH17" s="14">
        <v>69.010000000000005</v>
      </c>
      <c r="AI17" s="14">
        <v>54.97</v>
      </c>
      <c r="AJ17" s="14">
        <v>37.9</v>
      </c>
      <c r="AK17" s="14">
        <v>41.2</v>
      </c>
      <c r="AL17" s="14">
        <v>39.54</v>
      </c>
      <c r="AM17" s="14">
        <v>26.69</v>
      </c>
      <c r="AO17" s="4" t="s">
        <v>69</v>
      </c>
      <c r="AP17" s="14">
        <v>122.8</v>
      </c>
      <c r="AQ17" s="14">
        <v>106.9</v>
      </c>
      <c r="AR17" s="14">
        <v>241.3</v>
      </c>
      <c r="AS17" s="14">
        <v>115.5</v>
      </c>
      <c r="AT17" s="14">
        <v>155</v>
      </c>
      <c r="AU17" s="14"/>
    </row>
    <row r="18" spans="1:47" x14ac:dyDescent="0.3">
      <c r="A18" s="192" t="s">
        <v>23</v>
      </c>
      <c r="B18" s="193"/>
      <c r="C18" s="193"/>
      <c r="D18" s="193"/>
      <c r="E18" s="193"/>
      <c r="F18" s="193"/>
      <c r="G18" s="194"/>
      <c r="I18" s="4" t="s">
        <v>72</v>
      </c>
      <c r="J18" s="53">
        <v>2623.05</v>
      </c>
      <c r="K18" s="53">
        <v>2332.44</v>
      </c>
      <c r="L18" s="53">
        <v>2338.92</v>
      </c>
      <c r="M18" s="53">
        <v>2623.61</v>
      </c>
      <c r="N18" s="53">
        <v>4231.74</v>
      </c>
      <c r="O18" s="53">
        <v>2727.38</v>
      </c>
      <c r="Q18" s="4" t="s">
        <v>71</v>
      </c>
      <c r="R18" s="14">
        <v>1152.05</v>
      </c>
      <c r="S18" s="14">
        <v>1003.3</v>
      </c>
      <c r="T18" s="14">
        <v>1196.79</v>
      </c>
      <c r="U18" s="14">
        <v>1556.36</v>
      </c>
      <c r="V18" s="14">
        <v>2130</v>
      </c>
      <c r="W18" s="14">
        <v>2045</v>
      </c>
      <c r="Y18" s="4" t="s">
        <v>71</v>
      </c>
      <c r="Z18" s="14">
        <v>28.34</v>
      </c>
      <c r="AA18" s="14">
        <v>39.72</v>
      </c>
      <c r="AB18" s="14">
        <v>49.6</v>
      </c>
      <c r="AC18" s="14">
        <v>27.6</v>
      </c>
      <c r="AD18" s="14">
        <v>23.55</v>
      </c>
      <c r="AE18" s="14"/>
      <c r="AG18" s="4" t="s">
        <v>70</v>
      </c>
      <c r="AH18" s="14">
        <v>16.100000000000001</v>
      </c>
      <c r="AI18" s="14">
        <v>9.94</v>
      </c>
      <c r="AJ18" s="14">
        <v>65.38</v>
      </c>
      <c r="AK18" s="14">
        <v>115.98</v>
      </c>
      <c r="AL18" s="14">
        <v>23.04</v>
      </c>
      <c r="AM18" s="14">
        <v>6.65</v>
      </c>
      <c r="AO18" s="4" t="s">
        <v>70</v>
      </c>
      <c r="AP18" s="14">
        <v>503</v>
      </c>
      <c r="AQ18" s="14">
        <v>1022.4</v>
      </c>
      <c r="AR18" s="14">
        <v>1148.5999999999999</v>
      </c>
      <c r="AS18" s="14">
        <v>1364.4</v>
      </c>
      <c r="AT18" s="14">
        <v>2074.6</v>
      </c>
      <c r="AU18" s="14"/>
    </row>
    <row r="19" spans="1:47" x14ac:dyDescent="0.3">
      <c r="A19" s="4" t="s">
        <v>24</v>
      </c>
      <c r="B19" s="14">
        <v>1218.8</v>
      </c>
      <c r="C19" s="14">
        <v>8415.7000000000007</v>
      </c>
      <c r="D19" s="14">
        <v>4100.1000000000004</v>
      </c>
      <c r="E19" s="14">
        <v>0</v>
      </c>
      <c r="F19" s="14">
        <v>3912.2</v>
      </c>
      <c r="G19" s="14">
        <v>5560.4</v>
      </c>
      <c r="I19" s="50" t="s">
        <v>27</v>
      </c>
      <c r="J19" s="51">
        <f>SUM(J5:J10,J12:J18)</f>
        <v>102961.23000000001</v>
      </c>
      <c r="K19" s="51">
        <f t="shared" ref="K19:O19" si="1">SUM(K5:K10,K12:K18)</f>
        <v>94324.580000000016</v>
      </c>
      <c r="L19" s="51">
        <f t="shared" si="1"/>
        <v>98964.799999999988</v>
      </c>
      <c r="M19" s="51">
        <f t="shared" si="1"/>
        <v>114566.33000000002</v>
      </c>
      <c r="N19" s="51">
        <f t="shared" si="1"/>
        <v>138035.09</v>
      </c>
      <c r="O19" s="51">
        <f t="shared" si="1"/>
        <v>151013</v>
      </c>
      <c r="Q19" s="4" t="s">
        <v>72</v>
      </c>
      <c r="R19" s="14">
        <v>5381.57</v>
      </c>
      <c r="S19" s="14">
        <v>1608.49</v>
      </c>
      <c r="T19" s="14">
        <v>5639.21</v>
      </c>
      <c r="U19" s="14">
        <v>8602.0499999999993</v>
      </c>
      <c r="V19" s="14">
        <v>5720</v>
      </c>
      <c r="W19" s="14">
        <v>6852</v>
      </c>
      <c r="Y19" s="4" t="s">
        <v>86</v>
      </c>
      <c r="Z19" s="14">
        <v>86.65</v>
      </c>
      <c r="AA19" s="14">
        <v>127.62</v>
      </c>
      <c r="AB19" s="14">
        <v>217.88</v>
      </c>
      <c r="AC19" s="14">
        <v>305.73</v>
      </c>
      <c r="AD19" s="14">
        <v>394.28</v>
      </c>
      <c r="AE19" s="14"/>
      <c r="AG19" s="4" t="s">
        <v>72</v>
      </c>
      <c r="AH19" s="14">
        <v>221.51</v>
      </c>
      <c r="AI19" s="14">
        <v>211.08</v>
      </c>
      <c r="AJ19" s="14">
        <v>111.28</v>
      </c>
      <c r="AK19" s="14">
        <v>183.4</v>
      </c>
      <c r="AL19" s="14">
        <v>908.75</v>
      </c>
      <c r="AM19" s="14">
        <v>386.28</v>
      </c>
      <c r="AO19" s="4" t="s">
        <v>72</v>
      </c>
      <c r="AP19" s="14">
        <v>1216.5</v>
      </c>
      <c r="AQ19" s="14">
        <v>1383.5</v>
      </c>
      <c r="AR19" s="14">
        <v>1376.7</v>
      </c>
      <c r="AS19" s="14">
        <v>1226.5</v>
      </c>
      <c r="AT19" s="14">
        <v>1566.8</v>
      </c>
      <c r="AU19" s="14"/>
    </row>
    <row r="20" spans="1:47" x14ac:dyDescent="0.3">
      <c r="A20" s="4" t="s">
        <v>30</v>
      </c>
      <c r="B20" s="14">
        <v>1977.7</v>
      </c>
      <c r="C20" s="14">
        <v>1279.9000000000001</v>
      </c>
      <c r="D20" s="14">
        <v>2034.5</v>
      </c>
      <c r="E20" s="14">
        <v>3301.4</v>
      </c>
      <c r="F20" s="14">
        <v>4601.3</v>
      </c>
      <c r="G20" s="14">
        <v>6537.7</v>
      </c>
      <c r="I20" s="192" t="s">
        <v>28</v>
      </c>
      <c r="J20" s="193"/>
      <c r="K20" s="193"/>
      <c r="L20" s="193"/>
      <c r="M20" s="193"/>
      <c r="N20" s="193"/>
      <c r="O20" s="194"/>
      <c r="Q20" s="50" t="s">
        <v>27</v>
      </c>
      <c r="R20" s="51">
        <f t="shared" ref="R20:W20" si="2">SUM(R5:R11,R13:R19)</f>
        <v>202534.01</v>
      </c>
      <c r="S20" s="51">
        <f t="shared" si="2"/>
        <v>196238.16</v>
      </c>
      <c r="T20" s="51">
        <f t="shared" si="2"/>
        <v>183642.39</v>
      </c>
      <c r="U20" s="51">
        <f t="shared" si="2"/>
        <v>184552.91</v>
      </c>
      <c r="V20" s="51">
        <f t="shared" si="2"/>
        <v>202272</v>
      </c>
      <c r="W20" s="51">
        <f t="shared" si="2"/>
        <v>218317</v>
      </c>
      <c r="Y20" s="4" t="s">
        <v>72</v>
      </c>
      <c r="Z20" s="14">
        <v>132.09</v>
      </c>
      <c r="AA20" s="14">
        <v>181.79</v>
      </c>
      <c r="AB20" s="14">
        <v>115.43</v>
      </c>
      <c r="AC20" s="14">
        <v>94.14</v>
      </c>
      <c r="AD20" s="14">
        <v>148.78</v>
      </c>
      <c r="AE20" s="14"/>
      <c r="AG20" s="50" t="s">
        <v>27</v>
      </c>
      <c r="AH20" s="51">
        <f>SUM(AH5:AH10,AH13:AH19)</f>
        <v>18957.64</v>
      </c>
      <c r="AI20" s="51">
        <f t="shared" ref="AI20:AM20" si="3">SUM(AI5:AI10,AI13:AI19)</f>
        <v>22431.180000000004</v>
      </c>
      <c r="AJ20" s="51">
        <f t="shared" si="3"/>
        <v>8789.3599999999988</v>
      </c>
      <c r="AK20" s="51">
        <f t="shared" si="3"/>
        <v>9076.6899999999987</v>
      </c>
      <c r="AL20" s="51">
        <f t="shared" si="3"/>
        <v>11898.500000000002</v>
      </c>
      <c r="AM20" s="51">
        <f t="shared" si="3"/>
        <v>14192.180000000002</v>
      </c>
      <c r="AO20" s="4" t="s">
        <v>71</v>
      </c>
      <c r="AP20" s="14">
        <v>373.2</v>
      </c>
      <c r="AQ20" s="14">
        <v>184.3</v>
      </c>
      <c r="AR20" s="14">
        <v>250.7</v>
      </c>
      <c r="AS20" s="14">
        <v>120.9</v>
      </c>
      <c r="AT20" s="14">
        <v>341.6</v>
      </c>
      <c r="AU20" s="14"/>
    </row>
    <row r="21" spans="1:47" x14ac:dyDescent="0.3">
      <c r="A21" s="4" t="s">
        <v>31</v>
      </c>
      <c r="B21" s="14">
        <v>20.8</v>
      </c>
      <c r="C21" s="14">
        <v>40.799999999999997</v>
      </c>
      <c r="D21" s="14">
        <v>35.1</v>
      </c>
      <c r="E21" s="14">
        <v>37.299999999999997</v>
      </c>
      <c r="F21" s="14">
        <v>455.7</v>
      </c>
      <c r="G21" s="14">
        <v>78</v>
      </c>
      <c r="I21" s="4" t="s">
        <v>29</v>
      </c>
      <c r="J21" s="14">
        <v>11111.86</v>
      </c>
      <c r="K21" s="14">
        <v>9615.41</v>
      </c>
      <c r="L21" s="14">
        <v>11595.82</v>
      </c>
      <c r="M21" s="14">
        <v>16854.97</v>
      </c>
      <c r="N21" s="14">
        <v>18590.47</v>
      </c>
      <c r="O21" s="14">
        <v>20330.93</v>
      </c>
      <c r="Q21" s="192" t="s">
        <v>28</v>
      </c>
      <c r="R21" s="193"/>
      <c r="S21" s="193"/>
      <c r="T21" s="193"/>
      <c r="U21" s="193"/>
      <c r="V21" s="193"/>
      <c r="W21" s="194"/>
      <c r="Y21" s="50" t="s">
        <v>87</v>
      </c>
      <c r="Z21" s="51">
        <f>SUM(Z5:Z12,Z14:Z20)</f>
        <v>9619.82</v>
      </c>
      <c r="AA21" s="51">
        <f t="shared" ref="AA21:AE21" si="4">SUM(AA5:AA12,AA14:AA20)</f>
        <v>11455.850000000002</v>
      </c>
      <c r="AB21" s="51">
        <f t="shared" si="4"/>
        <v>14223.82</v>
      </c>
      <c r="AC21" s="51">
        <f t="shared" si="4"/>
        <v>18208.629999999997</v>
      </c>
      <c r="AD21" s="51">
        <f t="shared" si="4"/>
        <v>20700.449999999997</v>
      </c>
      <c r="AE21" s="51">
        <f t="shared" si="4"/>
        <v>0</v>
      </c>
      <c r="AG21" s="191" t="s">
        <v>28</v>
      </c>
      <c r="AH21" s="191"/>
      <c r="AI21" s="191"/>
      <c r="AJ21" s="191"/>
      <c r="AK21" s="191"/>
      <c r="AL21" s="191"/>
      <c r="AM21" s="191"/>
      <c r="AO21" s="50" t="s">
        <v>87</v>
      </c>
      <c r="AP21" s="51">
        <f>SUM(AP5:AP12,AP14:AP20)</f>
        <v>26030.400000000001</v>
      </c>
      <c r="AQ21" s="51">
        <f t="shared" ref="AQ21:AU21" si="5">SUM(AQ5:AQ12,AQ14:AQ20)</f>
        <v>26057.499999999993</v>
      </c>
      <c r="AR21" s="51">
        <f t="shared" si="5"/>
        <v>33653.899999999994</v>
      </c>
      <c r="AS21" s="51">
        <f t="shared" si="5"/>
        <v>35072.5</v>
      </c>
      <c r="AT21" s="51">
        <f t="shared" si="5"/>
        <v>44749.5</v>
      </c>
      <c r="AU21" s="51">
        <f t="shared" si="5"/>
        <v>0</v>
      </c>
    </row>
    <row r="22" spans="1:47" x14ac:dyDescent="0.3">
      <c r="A22" s="4" t="s">
        <v>32</v>
      </c>
      <c r="B22" s="14">
        <v>8.1999999999999993</v>
      </c>
      <c r="C22" s="14">
        <v>3006.3</v>
      </c>
      <c r="D22" s="14">
        <v>3007.1</v>
      </c>
      <c r="E22" s="14">
        <v>4.3</v>
      </c>
      <c r="F22" s="14">
        <v>4.3</v>
      </c>
      <c r="G22" s="14">
        <v>368.4</v>
      </c>
      <c r="I22" s="192" t="s">
        <v>23</v>
      </c>
      <c r="J22" s="193"/>
      <c r="K22" s="193"/>
      <c r="L22" s="193"/>
      <c r="M22" s="193"/>
      <c r="N22" s="193"/>
      <c r="O22" s="194"/>
      <c r="Q22" s="4" t="s">
        <v>29</v>
      </c>
      <c r="R22" s="14">
        <v>37456.879999999997</v>
      </c>
      <c r="S22" s="14">
        <v>36088.589999999997</v>
      </c>
      <c r="T22" s="14">
        <v>35240.339999999997</v>
      </c>
      <c r="U22" s="14">
        <v>40755.39</v>
      </c>
      <c r="V22" s="14">
        <v>47788</v>
      </c>
      <c r="W22" s="14">
        <v>47269</v>
      </c>
      <c r="Y22" s="191" t="s">
        <v>28</v>
      </c>
      <c r="Z22" s="191"/>
      <c r="AA22" s="191"/>
      <c r="AB22" s="191"/>
      <c r="AC22" s="191"/>
      <c r="AD22" s="191"/>
      <c r="AE22" s="191"/>
      <c r="AG22" s="4" t="s">
        <v>29</v>
      </c>
      <c r="AH22" s="14">
        <v>2414.56</v>
      </c>
      <c r="AI22" s="14">
        <v>2636.86</v>
      </c>
      <c r="AJ22" s="14">
        <v>2855.29</v>
      </c>
      <c r="AK22" s="14">
        <v>3436.4</v>
      </c>
      <c r="AL22" s="14">
        <v>3868.53</v>
      </c>
      <c r="AM22" s="14">
        <v>4564.8999999999996</v>
      </c>
      <c r="AO22" s="191" t="s">
        <v>28</v>
      </c>
      <c r="AP22" s="191"/>
      <c r="AQ22" s="191"/>
      <c r="AR22" s="191"/>
      <c r="AS22" s="191"/>
      <c r="AT22" s="191"/>
      <c r="AU22" s="191"/>
    </row>
    <row r="23" spans="1:47" x14ac:dyDescent="0.3">
      <c r="A23" s="4" t="s">
        <v>25</v>
      </c>
      <c r="B23" s="14">
        <v>17</v>
      </c>
      <c r="C23" s="14">
        <v>23</v>
      </c>
      <c r="D23" s="14">
        <v>30.5</v>
      </c>
      <c r="E23" s="14">
        <v>29.7</v>
      </c>
      <c r="F23" s="14">
        <v>32.700000000000003</v>
      </c>
      <c r="G23" s="14">
        <v>43.2</v>
      </c>
      <c r="I23" s="4" t="s">
        <v>24</v>
      </c>
      <c r="J23" s="14">
        <v>6295.56</v>
      </c>
      <c r="K23" s="14">
        <v>10031.82</v>
      </c>
      <c r="L23" s="14">
        <v>10849.88</v>
      </c>
      <c r="M23" s="14">
        <v>14265.92</v>
      </c>
      <c r="N23" s="14">
        <v>13634.64</v>
      </c>
      <c r="O23" s="14">
        <v>21947.47</v>
      </c>
      <c r="Q23" s="192" t="s">
        <v>23</v>
      </c>
      <c r="R23" s="193"/>
      <c r="S23" s="193"/>
      <c r="T23" s="193"/>
      <c r="U23" s="193"/>
      <c r="V23" s="193"/>
      <c r="W23" s="194"/>
      <c r="Y23" s="4" t="s">
        <v>29</v>
      </c>
      <c r="Z23" s="14">
        <v>1188.47</v>
      </c>
      <c r="AA23" s="14">
        <v>1367.43</v>
      </c>
      <c r="AB23" s="14">
        <v>1642.36</v>
      </c>
      <c r="AC23" s="14">
        <v>1921.51</v>
      </c>
      <c r="AD23" s="14">
        <v>2248.4</v>
      </c>
      <c r="AE23" s="14"/>
      <c r="AG23" s="191" t="s">
        <v>23</v>
      </c>
      <c r="AH23" s="191"/>
      <c r="AI23" s="191"/>
      <c r="AJ23" s="191"/>
      <c r="AK23" s="191"/>
      <c r="AL23" s="191"/>
      <c r="AM23" s="191"/>
      <c r="AO23" s="4" t="s">
        <v>29</v>
      </c>
      <c r="AP23" s="14">
        <v>5156.6000000000004</v>
      </c>
      <c r="AQ23" s="14">
        <v>4995.6000000000004</v>
      </c>
      <c r="AR23" s="14">
        <v>6441.7</v>
      </c>
      <c r="AS23" s="14">
        <v>7822.8</v>
      </c>
      <c r="AT23" s="14">
        <v>9138.6</v>
      </c>
      <c r="AU23" s="14"/>
    </row>
    <row r="24" spans="1:47" x14ac:dyDescent="0.3">
      <c r="A24" s="4" t="s">
        <v>26</v>
      </c>
      <c r="B24" s="14">
        <v>659.6</v>
      </c>
      <c r="C24" s="14">
        <v>642.70000000000005</v>
      </c>
      <c r="D24" s="14">
        <v>2593</v>
      </c>
      <c r="E24" s="14">
        <v>2193.4</v>
      </c>
      <c r="F24" s="14">
        <v>1980.1</v>
      </c>
      <c r="G24" s="14">
        <v>1731.2</v>
      </c>
      <c r="I24" s="4" t="s">
        <v>30</v>
      </c>
      <c r="J24" s="14">
        <v>6928.28</v>
      </c>
      <c r="K24" s="14">
        <v>6007.76</v>
      </c>
      <c r="L24" s="14">
        <v>6373.95</v>
      </c>
      <c r="M24" s="14">
        <v>7028.02</v>
      </c>
      <c r="N24" s="14">
        <v>7459.4</v>
      </c>
      <c r="O24" s="14">
        <v>8279.7000000000007</v>
      </c>
      <c r="Q24" s="4" t="s">
        <v>66</v>
      </c>
      <c r="R24" s="14">
        <v>10861.54</v>
      </c>
      <c r="S24" s="14">
        <v>19051.189999999999</v>
      </c>
      <c r="T24" s="14">
        <v>22709.22</v>
      </c>
      <c r="U24" s="14">
        <v>18838.310000000001</v>
      </c>
      <c r="V24" s="14">
        <v>14253</v>
      </c>
      <c r="W24" s="14">
        <v>27199</v>
      </c>
      <c r="Y24" s="191" t="s">
        <v>23</v>
      </c>
      <c r="Z24" s="191"/>
      <c r="AA24" s="191"/>
      <c r="AB24" s="191"/>
      <c r="AC24" s="191"/>
      <c r="AD24" s="191"/>
      <c r="AE24" s="191"/>
      <c r="AG24" s="191" t="s">
        <v>24</v>
      </c>
      <c r="AH24" s="191"/>
      <c r="AI24" s="191"/>
      <c r="AJ24" s="191"/>
      <c r="AK24" s="191"/>
      <c r="AL24" s="191"/>
      <c r="AM24" s="191"/>
      <c r="AO24" s="191" t="s">
        <v>23</v>
      </c>
      <c r="AP24" s="191"/>
      <c r="AQ24" s="191"/>
      <c r="AR24" s="191"/>
      <c r="AS24" s="191"/>
      <c r="AT24" s="191"/>
      <c r="AU24" s="191"/>
    </row>
    <row r="25" spans="1:47" x14ac:dyDescent="0.3">
      <c r="A25" s="4" t="s">
        <v>33</v>
      </c>
      <c r="B25" s="14">
        <v>527.20000000000005</v>
      </c>
      <c r="C25" s="14">
        <v>540.70000000000005</v>
      </c>
      <c r="D25" s="14">
        <v>0</v>
      </c>
      <c r="E25" s="14">
        <v>0</v>
      </c>
      <c r="F25" s="14">
        <v>0</v>
      </c>
      <c r="G25" s="14">
        <v>0</v>
      </c>
      <c r="I25" s="4" t="s">
        <v>31</v>
      </c>
      <c r="J25" s="14">
        <v>4745.03</v>
      </c>
      <c r="K25" s="14">
        <v>3374.59</v>
      </c>
      <c r="L25" s="14">
        <v>3487.59</v>
      </c>
      <c r="M25" s="14">
        <v>3493.41</v>
      </c>
      <c r="N25" s="14">
        <v>4530.1000000000004</v>
      </c>
      <c r="O25" s="14">
        <v>4923.8900000000003</v>
      </c>
      <c r="Q25" s="4" t="s">
        <v>73</v>
      </c>
      <c r="R25" s="14">
        <v>11172.69</v>
      </c>
      <c r="S25" s="14">
        <v>12679.08</v>
      </c>
      <c r="T25" s="14">
        <v>12442.12</v>
      </c>
      <c r="U25" s="14">
        <v>15737.97</v>
      </c>
      <c r="V25" s="14">
        <v>16952</v>
      </c>
      <c r="W25" s="14">
        <v>13248</v>
      </c>
      <c r="Y25" s="4" t="s">
        <v>73</v>
      </c>
      <c r="Z25" s="14">
        <v>1454.36</v>
      </c>
      <c r="AA25" s="14">
        <v>1035.97</v>
      </c>
      <c r="AB25" s="14">
        <v>1155.24</v>
      </c>
      <c r="AC25" s="14">
        <v>1256.42</v>
      </c>
      <c r="AD25" s="14">
        <v>1839.42</v>
      </c>
      <c r="AE25" s="14"/>
      <c r="AG25" s="4" t="s">
        <v>93</v>
      </c>
      <c r="AH25" s="14">
        <v>918.21</v>
      </c>
      <c r="AI25" s="14">
        <v>633.58000000000004</v>
      </c>
      <c r="AJ25" s="14">
        <v>711.54</v>
      </c>
      <c r="AK25" s="14">
        <v>603.25</v>
      </c>
      <c r="AL25" s="14">
        <v>258.89999999999998</v>
      </c>
      <c r="AM25" s="14">
        <v>318.27</v>
      </c>
      <c r="AO25" s="4" t="s">
        <v>24</v>
      </c>
      <c r="AP25" s="14">
        <v>0.6</v>
      </c>
      <c r="AQ25" s="14">
        <v>1.2</v>
      </c>
      <c r="AR25" s="14">
        <v>1.2</v>
      </c>
      <c r="AS25" s="14">
        <v>2.9</v>
      </c>
      <c r="AT25" s="14">
        <v>98.6</v>
      </c>
      <c r="AU25" s="14"/>
    </row>
    <row r="26" spans="1:47" x14ac:dyDescent="0.3">
      <c r="A26" s="4" t="s">
        <v>34</v>
      </c>
      <c r="B26" s="14">
        <v>797.4</v>
      </c>
      <c r="C26" s="14">
        <v>1546.2</v>
      </c>
      <c r="D26" s="14">
        <v>1460.8</v>
      </c>
      <c r="E26" s="14">
        <v>1766</v>
      </c>
      <c r="F26" s="14">
        <v>2656.5</v>
      </c>
      <c r="G26" s="14">
        <v>3810.3</v>
      </c>
      <c r="I26" s="4" t="s">
        <v>32</v>
      </c>
      <c r="J26" s="14">
        <v>3165.87</v>
      </c>
      <c r="K26" s="14">
        <v>9477.4</v>
      </c>
      <c r="L26" s="14">
        <v>7630.02</v>
      </c>
      <c r="M26" s="14">
        <v>7780.02</v>
      </c>
      <c r="N26" s="14">
        <v>7482.65</v>
      </c>
      <c r="O26" s="14">
        <v>15690.95</v>
      </c>
      <c r="Q26" s="4" t="s">
        <v>74</v>
      </c>
      <c r="R26" s="14">
        <v>18467.8</v>
      </c>
      <c r="S26" s="14">
        <v>31700.01</v>
      </c>
      <c r="T26" s="14">
        <v>38159.01</v>
      </c>
      <c r="U26" s="14">
        <v>31886.95</v>
      </c>
      <c r="V26" s="14">
        <v>40015</v>
      </c>
      <c r="W26" s="14">
        <v>34349</v>
      </c>
      <c r="Y26" s="4" t="s">
        <v>25</v>
      </c>
      <c r="Z26" s="14">
        <v>5306.84</v>
      </c>
      <c r="AA26" s="14">
        <v>5794.23</v>
      </c>
      <c r="AB26" s="14">
        <v>7299.24</v>
      </c>
      <c r="AC26" s="14">
        <v>10225.16</v>
      </c>
      <c r="AD26" s="14">
        <v>13417.26</v>
      </c>
      <c r="AE26" s="14"/>
      <c r="AG26" s="4" t="s">
        <v>66</v>
      </c>
      <c r="AH26" s="14">
        <v>76.790000000000006</v>
      </c>
      <c r="AI26" s="14">
        <v>903.04</v>
      </c>
      <c r="AJ26" s="14">
        <v>0</v>
      </c>
      <c r="AK26" s="14">
        <v>0</v>
      </c>
      <c r="AL26" s="14">
        <v>0</v>
      </c>
      <c r="AM26" s="14">
        <v>0</v>
      </c>
      <c r="AO26" s="4" t="s">
        <v>73</v>
      </c>
      <c r="AP26" s="14">
        <v>5178.3999999999996</v>
      </c>
      <c r="AQ26" s="14">
        <v>5693.1</v>
      </c>
      <c r="AR26" s="14">
        <v>6573.1</v>
      </c>
      <c r="AS26" s="14">
        <v>8513.5</v>
      </c>
      <c r="AT26" s="14">
        <v>15637.1</v>
      </c>
      <c r="AU26" s="14"/>
    </row>
    <row r="27" spans="1:47" x14ac:dyDescent="0.3">
      <c r="A27" s="50" t="s">
        <v>35</v>
      </c>
      <c r="B27" s="51">
        <f t="shared" ref="B27:G27" si="6">SUM(B17,B19:B26)</f>
        <v>8440.6</v>
      </c>
      <c r="C27" s="51">
        <f t="shared" si="6"/>
        <v>18544.300000000003</v>
      </c>
      <c r="D27" s="51">
        <f t="shared" si="6"/>
        <v>16793.400000000001</v>
      </c>
      <c r="E27" s="51">
        <f t="shared" si="6"/>
        <v>11615.6</v>
      </c>
      <c r="F27" s="51">
        <f t="shared" si="6"/>
        <v>17762.400000000001</v>
      </c>
      <c r="G27" s="51">
        <f t="shared" si="6"/>
        <v>23252.2</v>
      </c>
      <c r="I27" s="4" t="s">
        <v>25</v>
      </c>
      <c r="J27" s="14">
        <v>27963.68</v>
      </c>
      <c r="K27" s="14">
        <v>29119.55</v>
      </c>
      <c r="L27" s="14">
        <v>29242.26</v>
      </c>
      <c r="M27" s="14">
        <v>34684.81</v>
      </c>
      <c r="N27" s="14">
        <v>39060.129999999997</v>
      </c>
      <c r="O27" s="14">
        <v>44644.77</v>
      </c>
      <c r="Q27" s="4" t="s">
        <v>75</v>
      </c>
      <c r="R27" s="14">
        <v>15259.17</v>
      </c>
      <c r="S27" s="14">
        <v>15092.45</v>
      </c>
      <c r="T27" s="14">
        <v>2510.1799999999998</v>
      </c>
      <c r="U27" s="14">
        <v>5128.6099999999997</v>
      </c>
      <c r="V27" s="14">
        <v>5792</v>
      </c>
      <c r="W27" s="14">
        <v>6485</v>
      </c>
      <c r="Y27" s="4" t="s">
        <v>74</v>
      </c>
      <c r="Z27" s="14">
        <v>1079.69</v>
      </c>
      <c r="AA27" s="14">
        <v>1573.76</v>
      </c>
      <c r="AB27" s="14">
        <v>1445.68</v>
      </c>
      <c r="AC27" s="14">
        <v>1851.19</v>
      </c>
      <c r="AD27" s="14">
        <v>2355.8000000000002</v>
      </c>
      <c r="AE27" s="14"/>
      <c r="AG27" s="4" t="s">
        <v>73</v>
      </c>
      <c r="AH27" s="14">
        <v>1060.83</v>
      </c>
      <c r="AI27" s="14">
        <v>1076.2</v>
      </c>
      <c r="AJ27" s="14">
        <v>1097.8499999999999</v>
      </c>
      <c r="AK27" s="14">
        <v>1229.55</v>
      </c>
      <c r="AL27" s="14">
        <v>1382.27</v>
      </c>
      <c r="AM27" s="14">
        <v>1686.39</v>
      </c>
      <c r="AO27" s="4" t="s">
        <v>74</v>
      </c>
      <c r="AP27" s="14">
        <v>4868.8</v>
      </c>
      <c r="AQ27" s="14">
        <v>5899.4</v>
      </c>
      <c r="AR27" s="14">
        <v>4877.5</v>
      </c>
      <c r="AS27" s="14">
        <v>4538.1000000000004</v>
      </c>
      <c r="AT27" s="14">
        <v>6743.2</v>
      </c>
      <c r="AU27" s="14"/>
    </row>
    <row r="28" spans="1:47" x14ac:dyDescent="0.3">
      <c r="A28" s="50" t="s">
        <v>36</v>
      </c>
      <c r="B28" s="51">
        <f t="shared" ref="B28:G28" si="7">B15+B27</f>
        <v>63627.69999999999</v>
      </c>
      <c r="C28" s="51">
        <f t="shared" si="7"/>
        <v>71282.7</v>
      </c>
      <c r="D28" s="51">
        <f t="shared" si="7"/>
        <v>74655.5</v>
      </c>
      <c r="E28" s="51">
        <f t="shared" si="7"/>
        <v>84596.900000000009</v>
      </c>
      <c r="F28" s="51">
        <f t="shared" si="7"/>
        <v>110284.80000000002</v>
      </c>
      <c r="G28" s="51">
        <f t="shared" si="7"/>
        <v>125620.20000000001</v>
      </c>
      <c r="I28" s="4" t="s">
        <v>26</v>
      </c>
      <c r="J28" s="14">
        <v>1177.3599999999999</v>
      </c>
      <c r="K28" s="14">
        <v>1431.4</v>
      </c>
      <c r="L28" s="14">
        <v>1998.95</v>
      </c>
      <c r="M28" s="14">
        <v>1951.7</v>
      </c>
      <c r="N28" s="14">
        <v>2102.4299999999998</v>
      </c>
      <c r="O28" s="14">
        <v>3552.48</v>
      </c>
      <c r="Q28" s="4" t="s">
        <v>67</v>
      </c>
      <c r="R28" s="14">
        <v>14245.3</v>
      </c>
      <c r="S28" s="14">
        <v>17868.09</v>
      </c>
      <c r="T28" s="14">
        <v>22095.35</v>
      </c>
      <c r="U28" s="14">
        <v>23417.31</v>
      </c>
      <c r="V28" s="14">
        <v>24070</v>
      </c>
      <c r="W28" s="14">
        <v>0</v>
      </c>
      <c r="Y28" s="4" t="s">
        <v>75</v>
      </c>
      <c r="Z28" s="14">
        <v>27.88</v>
      </c>
      <c r="AA28" s="14">
        <v>83.09</v>
      </c>
      <c r="AB28" s="14">
        <v>89.93</v>
      </c>
      <c r="AC28" s="14">
        <v>27.92</v>
      </c>
      <c r="AD28" s="14">
        <v>69.930000000000007</v>
      </c>
      <c r="AE28" s="14"/>
      <c r="AG28" s="4" t="s">
        <v>74</v>
      </c>
      <c r="AH28" s="14">
        <v>331.47</v>
      </c>
      <c r="AI28" s="14">
        <v>342.43</v>
      </c>
      <c r="AJ28" s="14">
        <v>189.11</v>
      </c>
      <c r="AK28" s="14">
        <v>131.78</v>
      </c>
      <c r="AL28" s="14">
        <v>322.99</v>
      </c>
      <c r="AM28" s="14">
        <v>180.82</v>
      </c>
      <c r="AO28" s="4" t="s">
        <v>75</v>
      </c>
      <c r="AP28" s="14">
        <v>10.1</v>
      </c>
      <c r="AQ28" s="14">
        <v>6.8</v>
      </c>
      <c r="AR28" s="14">
        <v>121.9</v>
      </c>
      <c r="AS28" s="14">
        <v>160.6</v>
      </c>
      <c r="AT28" s="14">
        <v>242.5</v>
      </c>
      <c r="AU28" s="14"/>
    </row>
    <row r="29" spans="1:47" x14ac:dyDescent="0.3">
      <c r="A29" s="192" t="s">
        <v>37</v>
      </c>
      <c r="B29" s="193"/>
      <c r="C29" s="193"/>
      <c r="D29" s="193"/>
      <c r="E29" s="193"/>
      <c r="F29" s="193"/>
      <c r="G29" s="194"/>
      <c r="I29" s="4" t="s">
        <v>33</v>
      </c>
      <c r="J29" s="14">
        <v>2561.29</v>
      </c>
      <c r="K29" s="14">
        <v>3079.98</v>
      </c>
      <c r="L29" s="14">
        <v>0</v>
      </c>
      <c r="M29" s="14">
        <v>56.6</v>
      </c>
      <c r="N29" s="14">
        <v>25.47</v>
      </c>
      <c r="O29" s="14">
        <v>0</v>
      </c>
      <c r="Q29" s="4" t="s">
        <v>68</v>
      </c>
      <c r="R29" s="14">
        <v>935.25</v>
      </c>
      <c r="S29" s="14">
        <v>1749.4</v>
      </c>
      <c r="T29" s="14">
        <v>1671.93</v>
      </c>
      <c r="U29" s="14">
        <v>2302.84</v>
      </c>
      <c r="V29" s="14">
        <v>197</v>
      </c>
      <c r="W29" s="14">
        <v>72</v>
      </c>
      <c r="Y29" s="4" t="s">
        <v>69</v>
      </c>
      <c r="Z29" s="14">
        <v>93.19</v>
      </c>
      <c r="AA29" s="14">
        <v>85.64</v>
      </c>
      <c r="AB29" s="14">
        <v>131.62</v>
      </c>
      <c r="AC29" s="14">
        <v>241.26</v>
      </c>
      <c r="AD29" s="14">
        <v>202.66</v>
      </c>
      <c r="AE29" s="14"/>
      <c r="AG29" s="4" t="s">
        <v>94</v>
      </c>
      <c r="AH29" s="14">
        <v>10.130000000000001</v>
      </c>
      <c r="AI29" s="14">
        <v>11.14</v>
      </c>
      <c r="AJ29" s="14">
        <v>9.8800000000000008</v>
      </c>
      <c r="AK29" s="14">
        <v>8.5299999999999994</v>
      </c>
      <c r="AL29" s="14">
        <v>7.52</v>
      </c>
      <c r="AM29" s="14">
        <v>7.2</v>
      </c>
      <c r="AO29" s="4" t="s">
        <v>25</v>
      </c>
      <c r="AP29" s="14">
        <v>31.3</v>
      </c>
      <c r="AQ29" s="14">
        <v>27.2</v>
      </c>
      <c r="AR29" s="14">
        <v>28.9</v>
      </c>
      <c r="AS29" s="14">
        <v>28.9</v>
      </c>
      <c r="AT29" s="14">
        <v>27.6</v>
      </c>
      <c r="AU29" s="14"/>
    </row>
    <row r="30" spans="1:47" x14ac:dyDescent="0.3">
      <c r="A30" s="192" t="s">
        <v>38</v>
      </c>
      <c r="B30" s="193"/>
      <c r="C30" s="193"/>
      <c r="D30" s="193"/>
      <c r="E30" s="193"/>
      <c r="F30" s="193"/>
      <c r="G30" s="194"/>
      <c r="I30" s="4" t="s">
        <v>34</v>
      </c>
      <c r="J30" s="14">
        <v>96.5</v>
      </c>
      <c r="K30" s="14">
        <v>0</v>
      </c>
      <c r="L30" s="14">
        <v>3969.53</v>
      </c>
      <c r="M30" s="14">
        <v>5209.99</v>
      </c>
      <c r="N30" s="14">
        <v>5380.35</v>
      </c>
      <c r="O30" s="14">
        <v>7203.08</v>
      </c>
      <c r="Q30" s="4" t="s">
        <v>69</v>
      </c>
      <c r="R30" s="14">
        <v>4586.4799999999996</v>
      </c>
      <c r="S30" s="14">
        <v>5274.32</v>
      </c>
      <c r="T30" s="14">
        <v>3799.82</v>
      </c>
      <c r="U30" s="14">
        <v>2786.72</v>
      </c>
      <c r="V30" s="14">
        <v>8121</v>
      </c>
      <c r="W30" s="14">
        <v>18984</v>
      </c>
      <c r="Y30" s="4" t="s">
        <v>33</v>
      </c>
      <c r="Z30" s="14">
        <v>2.4300000000000002</v>
      </c>
      <c r="AA30" s="14">
        <v>4.83</v>
      </c>
      <c r="AB30" s="14">
        <v>1.42</v>
      </c>
      <c r="AC30" s="14">
        <v>4.5599999999999996</v>
      </c>
      <c r="AD30" s="14">
        <v>23.89</v>
      </c>
      <c r="AE30" s="14"/>
      <c r="AG30" s="4" t="s">
        <v>25</v>
      </c>
      <c r="AH30" s="14">
        <v>22.87</v>
      </c>
      <c r="AI30" s="14">
        <v>20.76</v>
      </c>
      <c r="AJ30" s="14">
        <v>0.28000000000000003</v>
      </c>
      <c r="AK30" s="14">
        <v>0.26</v>
      </c>
      <c r="AL30" s="14">
        <v>0.36</v>
      </c>
      <c r="AM30" s="14">
        <v>0.34</v>
      </c>
      <c r="AO30" s="4" t="s">
        <v>69</v>
      </c>
      <c r="AP30" s="14">
        <v>3088.2</v>
      </c>
      <c r="AQ30" s="14">
        <v>2420</v>
      </c>
      <c r="AR30" s="14">
        <v>3127.8</v>
      </c>
      <c r="AS30" s="14">
        <v>4021.3</v>
      </c>
      <c r="AT30" s="14">
        <v>5142.3</v>
      </c>
      <c r="AU30" s="14"/>
    </row>
    <row r="31" spans="1:47" x14ac:dyDescent="0.3">
      <c r="A31" s="4" t="s">
        <v>39</v>
      </c>
      <c r="B31" s="14">
        <v>151</v>
      </c>
      <c r="C31" s="14">
        <v>151</v>
      </c>
      <c r="D31" s="14">
        <v>151</v>
      </c>
      <c r="E31" s="14">
        <v>151</v>
      </c>
      <c r="F31" s="14">
        <v>157.19999999999999</v>
      </c>
      <c r="G31" s="14">
        <v>157.19999999999999</v>
      </c>
      <c r="I31" s="50" t="s">
        <v>35</v>
      </c>
      <c r="J31" s="51">
        <f>SUM(J21,J23:J30)</f>
        <v>64045.43</v>
      </c>
      <c r="K31" s="51">
        <f t="shared" ref="K31" si="8">SUM(K21,K23:K30)</f>
        <v>72137.909999999989</v>
      </c>
      <c r="L31" s="51">
        <f t="shared" ref="L31" si="9">SUM(L21,L23:L30)</f>
        <v>75147.999999999985</v>
      </c>
      <c r="M31" s="51">
        <f t="shared" ref="M31" si="10">SUM(M21,M23:M30)</f>
        <v>91325.440000000017</v>
      </c>
      <c r="N31" s="51">
        <f t="shared" ref="N31" si="11">SUM(N21,N23:N30)</f>
        <v>98265.64</v>
      </c>
      <c r="O31" s="51">
        <f t="shared" ref="O31" si="12">SUM(O21,O23:O30)</f>
        <v>126573.26999999999</v>
      </c>
      <c r="Q31" s="4" t="s">
        <v>33</v>
      </c>
      <c r="R31" s="14">
        <v>142.28</v>
      </c>
      <c r="S31" s="14">
        <v>865.31</v>
      </c>
      <c r="T31" s="14">
        <v>259.83999999999997</v>
      </c>
      <c r="U31" s="14">
        <v>259.26</v>
      </c>
      <c r="V31" s="14">
        <v>101</v>
      </c>
      <c r="W31" s="14">
        <v>411</v>
      </c>
      <c r="Y31" s="4" t="s">
        <v>34</v>
      </c>
      <c r="Z31" s="14">
        <v>586.14</v>
      </c>
      <c r="AA31" s="14">
        <v>591.89</v>
      </c>
      <c r="AB31" s="14">
        <f>952.35+130.23</f>
        <v>1082.58</v>
      </c>
      <c r="AC31" s="14">
        <f>1304.34+191.92</f>
        <v>1496.26</v>
      </c>
      <c r="AD31" s="14">
        <f>1199.46+163.19</f>
        <v>1362.65</v>
      </c>
      <c r="AE31" s="14"/>
      <c r="AG31" s="4" t="s">
        <v>69</v>
      </c>
      <c r="AH31" s="14">
        <v>376.26</v>
      </c>
      <c r="AI31" s="14">
        <v>418.95</v>
      </c>
      <c r="AJ31" s="14">
        <v>53.14</v>
      </c>
      <c r="AK31" s="14">
        <v>58.07</v>
      </c>
      <c r="AL31" s="14">
        <v>46.46</v>
      </c>
      <c r="AM31" s="14">
        <v>76.72</v>
      </c>
      <c r="AO31" s="4" t="s">
        <v>34</v>
      </c>
      <c r="AP31" s="14">
        <v>1131.4000000000001</v>
      </c>
      <c r="AQ31" s="14">
        <v>1205.2</v>
      </c>
      <c r="AR31" s="14">
        <v>1444.1</v>
      </c>
      <c r="AS31" s="14">
        <v>1691.1</v>
      </c>
      <c r="AT31" s="14">
        <v>3242.3</v>
      </c>
      <c r="AU31" s="14"/>
    </row>
    <row r="32" spans="1:47" x14ac:dyDescent="0.3">
      <c r="A32" s="4" t="s">
        <v>40</v>
      </c>
      <c r="B32" s="14">
        <v>49262</v>
      </c>
      <c r="C32" s="14">
        <v>52349.599999999999</v>
      </c>
      <c r="D32" s="14">
        <v>55182.5</v>
      </c>
      <c r="E32" s="14">
        <v>61640.3</v>
      </c>
      <c r="F32" s="14">
        <v>83824.800000000003</v>
      </c>
      <c r="G32" s="14">
        <v>93889.5</v>
      </c>
      <c r="I32" s="50" t="s">
        <v>36</v>
      </c>
      <c r="J32" s="51">
        <f>J19+J31</f>
        <v>167006.66</v>
      </c>
      <c r="K32" s="51">
        <f t="shared" ref="K32" si="13">K19+K31</f>
        <v>166462.49</v>
      </c>
      <c r="L32" s="51">
        <f t="shared" ref="L32" si="14">L19+L31</f>
        <v>174112.8</v>
      </c>
      <c r="M32" s="51">
        <f t="shared" ref="M32" si="15">M19+M31</f>
        <v>205891.77000000002</v>
      </c>
      <c r="N32" s="51">
        <f t="shared" ref="N32" si="16">N19+N31</f>
        <v>236300.72999999998</v>
      </c>
      <c r="O32" s="51">
        <f t="shared" ref="O32" si="17">O19+O31</f>
        <v>277586.27</v>
      </c>
      <c r="Q32" s="4" t="s">
        <v>76</v>
      </c>
      <c r="R32" s="14">
        <v>194.43</v>
      </c>
      <c r="S32" s="14">
        <v>220.8</v>
      </c>
      <c r="T32" s="14">
        <v>523.85</v>
      </c>
      <c r="U32" s="14">
        <v>827.78</v>
      </c>
      <c r="V32" s="14">
        <v>674</v>
      </c>
      <c r="W32" s="14">
        <v>514</v>
      </c>
      <c r="Y32" s="50" t="s">
        <v>88</v>
      </c>
      <c r="Z32" s="51">
        <f>SUM(Z23,Z25:Z31)</f>
        <v>9739</v>
      </c>
      <c r="AA32" s="51">
        <f t="shared" ref="AA32:AE32" si="18">SUM(AA23,AA25:AA31)</f>
        <v>10536.839999999998</v>
      </c>
      <c r="AB32" s="51">
        <f t="shared" si="18"/>
        <v>12848.070000000002</v>
      </c>
      <c r="AC32" s="51">
        <f t="shared" si="18"/>
        <v>17024.28</v>
      </c>
      <c r="AD32" s="51">
        <f t="shared" si="18"/>
        <v>21520.010000000002</v>
      </c>
      <c r="AE32" s="51">
        <f t="shared" si="18"/>
        <v>0</v>
      </c>
      <c r="AG32" s="4" t="s">
        <v>34</v>
      </c>
      <c r="AH32" s="14">
        <v>198.83</v>
      </c>
      <c r="AI32" s="14">
        <v>212.97</v>
      </c>
      <c r="AJ32" s="14">
        <v>204.16</v>
      </c>
      <c r="AK32" s="14">
        <v>223.15</v>
      </c>
      <c r="AL32" s="14">
        <f>347.93+16.56</f>
        <v>364.49</v>
      </c>
      <c r="AM32" s="14">
        <f>352.29+17.12</f>
        <v>369.41</v>
      </c>
      <c r="AO32" s="50" t="s">
        <v>88</v>
      </c>
      <c r="AP32" s="51">
        <f>SUM(AP25:AP31,AP23)</f>
        <v>19465.399999999998</v>
      </c>
      <c r="AQ32" s="51">
        <f t="shared" ref="AQ32:AU32" si="19">SUM(AQ25:AQ31,AQ23)</f>
        <v>20248.5</v>
      </c>
      <c r="AR32" s="51">
        <f t="shared" si="19"/>
        <v>22616.199999999997</v>
      </c>
      <c r="AS32" s="51">
        <f t="shared" si="19"/>
        <v>26779.199999999997</v>
      </c>
      <c r="AT32" s="51">
        <f t="shared" si="19"/>
        <v>40272.199999999997</v>
      </c>
      <c r="AU32" s="51">
        <f t="shared" si="19"/>
        <v>0</v>
      </c>
    </row>
    <row r="33" spans="1:47" x14ac:dyDescent="0.3">
      <c r="A33" s="50" t="s">
        <v>41</v>
      </c>
      <c r="B33" s="51">
        <f t="shared" ref="B33:G33" si="20">SUM(B31:B32)</f>
        <v>49413</v>
      </c>
      <c r="C33" s="51">
        <f t="shared" si="20"/>
        <v>52500.6</v>
      </c>
      <c r="D33" s="51">
        <f t="shared" si="20"/>
        <v>55333.5</v>
      </c>
      <c r="E33" s="51">
        <f t="shared" si="20"/>
        <v>61791.3</v>
      </c>
      <c r="F33" s="51">
        <f t="shared" si="20"/>
        <v>83982</v>
      </c>
      <c r="G33" s="51">
        <f t="shared" si="20"/>
        <v>94046.7</v>
      </c>
      <c r="I33" s="192" t="s">
        <v>37</v>
      </c>
      <c r="J33" s="193"/>
      <c r="K33" s="193"/>
      <c r="L33" s="193"/>
      <c r="M33" s="193"/>
      <c r="N33" s="193"/>
      <c r="O33" s="194"/>
      <c r="Q33" s="4" t="s">
        <v>77</v>
      </c>
      <c r="R33" s="14">
        <v>6264.91</v>
      </c>
      <c r="S33" s="14">
        <v>6298.4</v>
      </c>
      <c r="T33" s="14">
        <v>7565.88</v>
      </c>
      <c r="U33" s="14">
        <v>9587.33</v>
      </c>
      <c r="V33" s="14">
        <v>10429</v>
      </c>
      <c r="W33" s="14">
        <v>11794</v>
      </c>
      <c r="Y33" s="50" t="s">
        <v>36</v>
      </c>
      <c r="Z33" s="51">
        <f>Z21+Z32</f>
        <v>19358.82</v>
      </c>
      <c r="AA33" s="51">
        <f t="shared" ref="AA33:AE33" si="21">AA21+AA32</f>
        <v>21992.690000000002</v>
      </c>
      <c r="AB33" s="51">
        <f t="shared" si="21"/>
        <v>27071.89</v>
      </c>
      <c r="AC33" s="51">
        <f t="shared" si="21"/>
        <v>35232.909999999996</v>
      </c>
      <c r="AD33" s="51">
        <f t="shared" si="21"/>
        <v>42220.46</v>
      </c>
      <c r="AE33" s="51">
        <f t="shared" si="21"/>
        <v>0</v>
      </c>
      <c r="AG33" s="50" t="s">
        <v>88</v>
      </c>
      <c r="AH33" s="51">
        <f>SUM(AH22,AH25:AH32)</f>
        <v>5409.95</v>
      </c>
      <c r="AI33" s="51">
        <f t="shared" ref="AI33:AM33" si="22">SUM(AI22,AI25:AI32)</f>
        <v>6255.93</v>
      </c>
      <c r="AJ33" s="51">
        <f t="shared" si="22"/>
        <v>5121.25</v>
      </c>
      <c r="AK33" s="51">
        <f t="shared" si="22"/>
        <v>5690.9899999999989</v>
      </c>
      <c r="AL33" s="51">
        <f t="shared" si="22"/>
        <v>6251.52</v>
      </c>
      <c r="AM33" s="51">
        <f t="shared" si="22"/>
        <v>7204.05</v>
      </c>
      <c r="AO33" s="4" t="s">
        <v>105</v>
      </c>
      <c r="AP33" s="14">
        <v>0</v>
      </c>
      <c r="AQ33" s="14">
        <v>1779</v>
      </c>
      <c r="AR33" s="14">
        <v>0</v>
      </c>
      <c r="AS33" s="14">
        <v>0</v>
      </c>
      <c r="AT33" s="14"/>
      <c r="AU33" s="14"/>
    </row>
    <row r="34" spans="1:47" x14ac:dyDescent="0.3">
      <c r="A34" s="4" t="s">
        <v>42</v>
      </c>
      <c r="B34" s="14">
        <v>19.2</v>
      </c>
      <c r="C34" s="14">
        <v>0</v>
      </c>
      <c r="D34" s="14">
        <v>0</v>
      </c>
      <c r="E34" s="14">
        <v>0</v>
      </c>
      <c r="F34" s="14">
        <v>0</v>
      </c>
      <c r="G34" s="14">
        <v>0</v>
      </c>
      <c r="I34" s="192" t="s">
        <v>38</v>
      </c>
      <c r="J34" s="193"/>
      <c r="K34" s="193"/>
      <c r="L34" s="193"/>
      <c r="M34" s="193"/>
      <c r="N34" s="193"/>
      <c r="O34" s="194"/>
      <c r="Q34" s="50" t="s">
        <v>78</v>
      </c>
      <c r="R34" s="51">
        <f>SUM(R22,R24:R33)</f>
        <v>119586.73</v>
      </c>
      <c r="S34" s="51">
        <f t="shared" ref="S34:W34" si="23">SUM(S22,S24:S33)</f>
        <v>146887.63999999998</v>
      </c>
      <c r="T34" s="51">
        <f t="shared" si="23"/>
        <v>146977.54</v>
      </c>
      <c r="U34" s="51">
        <f t="shared" si="23"/>
        <v>151528.47</v>
      </c>
      <c r="V34" s="51">
        <f t="shared" si="23"/>
        <v>168392</v>
      </c>
      <c r="W34" s="51">
        <f t="shared" si="23"/>
        <v>160325</v>
      </c>
      <c r="Y34" s="191" t="s">
        <v>37</v>
      </c>
      <c r="Z34" s="191"/>
      <c r="AA34" s="191"/>
      <c r="AB34" s="191"/>
      <c r="AC34" s="191"/>
      <c r="AD34" s="191"/>
      <c r="AE34" s="191"/>
      <c r="AG34" s="50" t="s">
        <v>36</v>
      </c>
      <c r="AH34" s="51">
        <f>AH20+AH33</f>
        <v>24367.59</v>
      </c>
      <c r="AI34" s="51">
        <f t="shared" ref="AI34:AM34" si="24">AI20+AI33</f>
        <v>28687.110000000004</v>
      </c>
      <c r="AJ34" s="51">
        <f t="shared" si="24"/>
        <v>13910.609999999999</v>
      </c>
      <c r="AK34" s="51">
        <f t="shared" si="24"/>
        <v>14767.679999999997</v>
      </c>
      <c r="AL34" s="51">
        <f t="shared" si="24"/>
        <v>18150.020000000004</v>
      </c>
      <c r="AM34" s="51">
        <f t="shared" si="24"/>
        <v>21396.230000000003</v>
      </c>
      <c r="AO34" s="50" t="s">
        <v>106</v>
      </c>
      <c r="AP34" s="51">
        <f>AP21+AP32+AP33</f>
        <v>45495.8</v>
      </c>
      <c r="AQ34" s="51">
        <f t="shared" ref="AQ34:AU34" si="25">AQ21+AQ32+AQ33</f>
        <v>48084.999999999993</v>
      </c>
      <c r="AR34" s="51">
        <f t="shared" si="25"/>
        <v>56270.099999999991</v>
      </c>
      <c r="AS34" s="51">
        <f t="shared" si="25"/>
        <v>61851.7</v>
      </c>
      <c r="AT34" s="51">
        <f t="shared" si="25"/>
        <v>85021.7</v>
      </c>
      <c r="AU34" s="51">
        <f t="shared" si="25"/>
        <v>0</v>
      </c>
    </row>
    <row r="35" spans="1:47" x14ac:dyDescent="0.3">
      <c r="A35" s="50" t="s">
        <v>43</v>
      </c>
      <c r="B35" s="51">
        <f t="shared" ref="B35:G35" si="26">B33+B34</f>
        <v>49432.2</v>
      </c>
      <c r="C35" s="51">
        <f t="shared" si="26"/>
        <v>52500.6</v>
      </c>
      <c r="D35" s="51">
        <f t="shared" si="26"/>
        <v>55333.5</v>
      </c>
      <c r="E35" s="51">
        <f t="shared" si="26"/>
        <v>61791.3</v>
      </c>
      <c r="F35" s="51">
        <f t="shared" si="26"/>
        <v>83982</v>
      </c>
      <c r="G35" s="51">
        <f t="shared" si="26"/>
        <v>94046.7</v>
      </c>
      <c r="I35" s="4" t="s">
        <v>39</v>
      </c>
      <c r="J35" s="14">
        <v>554.28</v>
      </c>
      <c r="K35" s="14">
        <v>555.15</v>
      </c>
      <c r="L35" s="14">
        <v>556.05999999999995</v>
      </c>
      <c r="M35" s="14">
        <v>556.82000000000005</v>
      </c>
      <c r="N35" s="14">
        <v>557.38</v>
      </c>
      <c r="O35" s="14">
        <v>558.15</v>
      </c>
      <c r="Q35" s="50" t="s">
        <v>36</v>
      </c>
      <c r="R35" s="51">
        <f>R20+R34</f>
        <v>322120.74</v>
      </c>
      <c r="S35" s="51">
        <f t="shared" ref="S35:W35" si="27">S20+S34</f>
        <v>343125.8</v>
      </c>
      <c r="T35" s="51">
        <f t="shared" si="27"/>
        <v>330619.93000000005</v>
      </c>
      <c r="U35" s="51">
        <f t="shared" si="27"/>
        <v>336081.38</v>
      </c>
      <c r="V35" s="51">
        <f t="shared" si="27"/>
        <v>370664</v>
      </c>
      <c r="W35" s="51">
        <f t="shared" si="27"/>
        <v>378642</v>
      </c>
      <c r="Y35" s="191" t="s">
        <v>38</v>
      </c>
      <c r="Z35" s="191"/>
      <c r="AA35" s="191"/>
      <c r="AB35" s="191"/>
      <c r="AC35" s="191"/>
      <c r="AD35" s="191"/>
      <c r="AE35" s="191"/>
      <c r="AG35" s="191" t="s">
        <v>37</v>
      </c>
      <c r="AH35" s="191"/>
      <c r="AI35" s="191"/>
      <c r="AJ35" s="191"/>
      <c r="AK35" s="191"/>
      <c r="AL35" s="191"/>
      <c r="AM35" s="191"/>
      <c r="AO35" s="191" t="s">
        <v>37</v>
      </c>
      <c r="AP35" s="191"/>
      <c r="AQ35" s="191"/>
      <c r="AR35" s="191"/>
      <c r="AS35" s="191"/>
      <c r="AT35" s="191"/>
      <c r="AU35" s="191"/>
    </row>
    <row r="36" spans="1:47" x14ac:dyDescent="0.3">
      <c r="A36" s="192" t="s">
        <v>44</v>
      </c>
      <c r="B36" s="193"/>
      <c r="C36" s="193"/>
      <c r="D36" s="193"/>
      <c r="E36" s="193"/>
      <c r="F36" s="193"/>
      <c r="G36" s="194"/>
      <c r="I36" s="4" t="s">
        <v>40</v>
      </c>
      <c r="J36" s="14">
        <v>39415.03</v>
      </c>
      <c r="K36" s="14">
        <v>41026.769999999997</v>
      </c>
      <c r="L36" s="14">
        <v>46566.58</v>
      </c>
      <c r="M36" s="14">
        <v>55808.97</v>
      </c>
      <c r="N36" s="14">
        <v>65633.17</v>
      </c>
      <c r="O36" s="14">
        <v>76480.710000000006</v>
      </c>
      <c r="Q36" s="192" t="s">
        <v>37</v>
      </c>
      <c r="R36" s="193"/>
      <c r="S36" s="193"/>
      <c r="T36" s="193"/>
      <c r="U36" s="193"/>
      <c r="V36" s="193"/>
      <c r="W36" s="194"/>
      <c r="Y36" s="4" t="s">
        <v>39</v>
      </c>
      <c r="Z36" s="14">
        <v>47.51</v>
      </c>
      <c r="AA36" s="14">
        <v>47.51</v>
      </c>
      <c r="AB36" s="14">
        <v>47.51</v>
      </c>
      <c r="AC36" s="14">
        <v>47.51</v>
      </c>
      <c r="AD36" s="14">
        <v>47.51</v>
      </c>
      <c r="AE36" s="14"/>
      <c r="AG36" s="191" t="s">
        <v>38</v>
      </c>
      <c r="AH36" s="191"/>
      <c r="AI36" s="191"/>
      <c r="AJ36" s="191"/>
      <c r="AK36" s="191"/>
      <c r="AL36" s="191"/>
      <c r="AM36" s="191"/>
      <c r="AO36" s="191" t="s">
        <v>38</v>
      </c>
      <c r="AP36" s="191"/>
      <c r="AQ36" s="191"/>
      <c r="AR36" s="191"/>
      <c r="AS36" s="191"/>
      <c r="AT36" s="191"/>
      <c r="AU36" s="191"/>
    </row>
    <row r="37" spans="1:47" x14ac:dyDescent="0.3">
      <c r="A37" s="192" t="s">
        <v>45</v>
      </c>
      <c r="B37" s="193"/>
      <c r="C37" s="193"/>
      <c r="D37" s="193"/>
      <c r="E37" s="193"/>
      <c r="F37" s="193"/>
      <c r="G37" s="194"/>
      <c r="I37" s="50" t="s">
        <v>41</v>
      </c>
      <c r="J37" s="51">
        <f>SUM(J35:J36)</f>
        <v>39969.31</v>
      </c>
      <c r="K37" s="51">
        <f t="shared" ref="K37" si="28">SUM(K35:K36)</f>
        <v>41581.919999999998</v>
      </c>
      <c r="L37" s="51">
        <f t="shared" ref="L37" si="29">SUM(L35:L36)</f>
        <v>47122.64</v>
      </c>
      <c r="M37" s="51">
        <f t="shared" ref="M37" si="30">SUM(M35:M36)</f>
        <v>56365.79</v>
      </c>
      <c r="N37" s="51">
        <f t="shared" ref="N37" si="31">SUM(N35:N36)</f>
        <v>66190.55</v>
      </c>
      <c r="O37" s="51">
        <f t="shared" ref="O37" si="32">SUM(O35:O36)</f>
        <v>77038.86</v>
      </c>
      <c r="Q37" s="192" t="s">
        <v>38</v>
      </c>
      <c r="R37" s="193"/>
      <c r="S37" s="193"/>
      <c r="T37" s="193"/>
      <c r="U37" s="193"/>
      <c r="V37" s="193"/>
      <c r="W37" s="194"/>
      <c r="Y37" s="4" t="s">
        <v>40</v>
      </c>
      <c r="Z37" s="14">
        <v>3234.59</v>
      </c>
      <c r="AA37" s="14">
        <v>3779.1</v>
      </c>
      <c r="AB37" s="14">
        <v>4351.9399999999996</v>
      </c>
      <c r="AC37" s="14">
        <v>5457.49</v>
      </c>
      <c r="AD37" s="14">
        <v>6736</v>
      </c>
      <c r="AE37" s="14"/>
      <c r="AG37" s="4" t="s">
        <v>39</v>
      </c>
      <c r="AH37" s="14">
        <v>85</v>
      </c>
      <c r="AI37" s="14">
        <v>85</v>
      </c>
      <c r="AJ37" s="14">
        <v>85</v>
      </c>
      <c r="AK37" s="14">
        <v>85</v>
      </c>
      <c r="AL37" s="14">
        <v>85</v>
      </c>
      <c r="AM37" s="14">
        <v>85</v>
      </c>
      <c r="AO37" s="4" t="s">
        <v>39</v>
      </c>
      <c r="AP37" s="14">
        <v>315.8</v>
      </c>
      <c r="AQ37" s="14">
        <v>315.8</v>
      </c>
      <c r="AR37" s="14">
        <v>451.8</v>
      </c>
      <c r="AS37" s="14">
        <v>677.6</v>
      </c>
      <c r="AT37" s="14">
        <v>677.6</v>
      </c>
      <c r="AU37" s="14"/>
    </row>
    <row r="38" spans="1:47" x14ac:dyDescent="0.3">
      <c r="A38" s="192" t="s">
        <v>46</v>
      </c>
      <c r="B38" s="193"/>
      <c r="C38" s="193"/>
      <c r="D38" s="193"/>
      <c r="E38" s="193"/>
      <c r="F38" s="193"/>
      <c r="G38" s="194"/>
      <c r="I38" s="4" t="s">
        <v>42</v>
      </c>
      <c r="J38" s="14">
        <v>7691.74</v>
      </c>
      <c r="K38" s="14">
        <v>9070.31</v>
      </c>
      <c r="L38" s="14">
        <v>9702.6200000000008</v>
      </c>
      <c r="M38" s="14">
        <v>10716.32</v>
      </c>
      <c r="N38" s="14">
        <v>11318.79</v>
      </c>
      <c r="O38" s="14">
        <v>12059.14</v>
      </c>
      <c r="Q38" s="4" t="s">
        <v>39</v>
      </c>
      <c r="R38" s="14">
        <v>719.54</v>
      </c>
      <c r="S38" s="14">
        <v>765.81</v>
      </c>
      <c r="T38" s="14">
        <v>765.88</v>
      </c>
      <c r="U38" s="14">
        <v>766.02</v>
      </c>
      <c r="V38" s="14">
        <v>767</v>
      </c>
      <c r="W38" s="14">
        <v>736</v>
      </c>
      <c r="Y38" s="50" t="s">
        <v>41</v>
      </c>
      <c r="Z38" s="51">
        <f>SUM(Z36:Z37)</f>
        <v>3282.1000000000004</v>
      </c>
      <c r="AA38" s="51">
        <f t="shared" ref="AA38" si="33">SUM(AA36:AA37)</f>
        <v>3826.61</v>
      </c>
      <c r="AB38" s="51">
        <f t="shared" ref="AB38" si="34">SUM(AB36:AB37)</f>
        <v>4399.45</v>
      </c>
      <c r="AC38" s="51">
        <f t="shared" ref="AC38" si="35">SUM(AC36:AC37)</f>
        <v>5505</v>
      </c>
      <c r="AD38" s="51">
        <f t="shared" ref="AD38" si="36">SUM(AD36:AD37)</f>
        <v>6783.51</v>
      </c>
      <c r="AE38" s="51">
        <f t="shared" ref="AE38" si="37">SUM(AE36:AE37)</f>
        <v>0</v>
      </c>
      <c r="AG38" s="4" t="s">
        <v>40</v>
      </c>
      <c r="AH38" s="14">
        <v>6382.32</v>
      </c>
      <c r="AI38" s="14">
        <v>7187.27</v>
      </c>
      <c r="AJ38" s="14">
        <v>10498.74</v>
      </c>
      <c r="AK38" s="14">
        <v>11047.28</v>
      </c>
      <c r="AL38" s="14">
        <v>12801.34</v>
      </c>
      <c r="AM38" s="14">
        <v>13828.48</v>
      </c>
      <c r="AO38" s="191" t="s">
        <v>40</v>
      </c>
      <c r="AP38" s="191"/>
      <c r="AQ38" s="191"/>
      <c r="AR38" s="191"/>
      <c r="AS38" s="191"/>
      <c r="AT38" s="191"/>
      <c r="AU38" s="191"/>
    </row>
    <row r="39" spans="1:47" x14ac:dyDescent="0.3">
      <c r="A39" s="4" t="s">
        <v>47</v>
      </c>
      <c r="B39" s="14">
        <v>5.4</v>
      </c>
      <c r="C39" s="14">
        <v>2.8</v>
      </c>
      <c r="D39" s="14">
        <v>0</v>
      </c>
      <c r="E39" s="14">
        <v>0</v>
      </c>
      <c r="F39" s="14">
        <v>0</v>
      </c>
      <c r="G39" s="14">
        <v>0</v>
      </c>
      <c r="I39" s="50" t="s">
        <v>43</v>
      </c>
      <c r="J39" s="51">
        <f>J37+J38</f>
        <v>47661.049999999996</v>
      </c>
      <c r="K39" s="51">
        <f t="shared" ref="K39" si="38">K37+K38</f>
        <v>50652.229999999996</v>
      </c>
      <c r="L39" s="51">
        <f t="shared" ref="L39" si="39">L37+L38</f>
        <v>56825.26</v>
      </c>
      <c r="M39" s="51">
        <f t="shared" ref="M39" si="40">M37+M38</f>
        <v>67082.11</v>
      </c>
      <c r="N39" s="51">
        <f t="shared" ref="N39" si="41">N37+N38</f>
        <v>77509.34</v>
      </c>
      <c r="O39" s="51">
        <f t="shared" ref="O39" si="42">O37+O38</f>
        <v>89098</v>
      </c>
      <c r="Q39" s="4" t="s">
        <v>40</v>
      </c>
      <c r="R39" s="14">
        <v>62358.99</v>
      </c>
      <c r="S39" s="14">
        <v>54480.91</v>
      </c>
      <c r="T39" s="14">
        <v>43795.360000000001</v>
      </c>
      <c r="U39" s="14">
        <v>44555.77</v>
      </c>
      <c r="V39" s="14">
        <v>84151</v>
      </c>
      <c r="W39" s="14">
        <v>115408</v>
      </c>
      <c r="Y39" s="4" t="s">
        <v>42</v>
      </c>
      <c r="Z39" s="14">
        <v>320.94</v>
      </c>
      <c r="AA39" s="14">
        <v>387.9</v>
      </c>
      <c r="AB39" s="14">
        <v>653.55999999999995</v>
      </c>
      <c r="AC39" s="14">
        <v>404.85</v>
      </c>
      <c r="AD39" s="14">
        <v>727.6</v>
      </c>
      <c r="AE39" s="14"/>
      <c r="AG39" s="50" t="s">
        <v>41</v>
      </c>
      <c r="AH39" s="51">
        <f>SUM(AH37:AH38)</f>
        <v>6467.32</v>
      </c>
      <c r="AI39" s="51">
        <f t="shared" ref="AI39" si="43">SUM(AI37:AI38)</f>
        <v>7272.27</v>
      </c>
      <c r="AJ39" s="51">
        <f t="shared" ref="AJ39" si="44">SUM(AJ37:AJ38)</f>
        <v>10583.74</v>
      </c>
      <c r="AK39" s="51">
        <f t="shared" ref="AK39" si="45">SUM(AK37:AK38)</f>
        <v>11132.28</v>
      </c>
      <c r="AL39" s="51">
        <f t="shared" ref="AL39" si="46">SUM(AL37:AL38)</f>
        <v>12886.34</v>
      </c>
      <c r="AM39" s="51">
        <f t="shared" ref="AM39" si="47">SUM(AM37:AM38)</f>
        <v>13913.48</v>
      </c>
      <c r="AO39" s="4" t="s">
        <v>107</v>
      </c>
      <c r="AP39" s="14">
        <v>10395.799999999999</v>
      </c>
      <c r="AQ39" s="14">
        <v>11441.9</v>
      </c>
      <c r="AR39" s="14">
        <v>19451.099999999999</v>
      </c>
      <c r="AS39" s="14">
        <v>20562.8</v>
      </c>
      <c r="AT39" s="14">
        <v>24778.799999999999</v>
      </c>
      <c r="AU39" s="14"/>
    </row>
    <row r="40" spans="1:47" x14ac:dyDescent="0.3">
      <c r="A40" s="4" t="s">
        <v>48</v>
      </c>
      <c r="B40" s="14">
        <v>59.8</v>
      </c>
      <c r="C40" s="14">
        <v>39.200000000000003</v>
      </c>
      <c r="D40" s="14">
        <v>32.9</v>
      </c>
      <c r="E40" s="14">
        <v>24.9</v>
      </c>
      <c r="F40" s="14">
        <v>67.7</v>
      </c>
      <c r="G40" s="14">
        <v>53.8</v>
      </c>
      <c r="I40" s="192" t="s">
        <v>44</v>
      </c>
      <c r="J40" s="193"/>
      <c r="K40" s="193"/>
      <c r="L40" s="193"/>
      <c r="M40" s="193"/>
      <c r="N40" s="193"/>
      <c r="O40" s="194"/>
      <c r="Q40" s="50" t="s">
        <v>41</v>
      </c>
      <c r="R40" s="51">
        <f>SUM(R38:R39)</f>
        <v>63078.53</v>
      </c>
      <c r="S40" s="51">
        <f t="shared" ref="S40" si="48">SUM(S38:S39)</f>
        <v>55246.720000000001</v>
      </c>
      <c r="T40" s="51">
        <f t="shared" ref="T40" si="49">SUM(T38:T39)</f>
        <v>44561.24</v>
      </c>
      <c r="U40" s="51">
        <f t="shared" ref="U40" si="50">SUM(U38:U39)</f>
        <v>45321.789999999994</v>
      </c>
      <c r="V40" s="51">
        <f t="shared" ref="V40" si="51">SUM(V38:V39)</f>
        <v>84918</v>
      </c>
      <c r="W40" s="51">
        <f t="shared" ref="W40" si="52">SUM(W38:W39)</f>
        <v>116144</v>
      </c>
      <c r="Y40" s="50" t="s">
        <v>43</v>
      </c>
      <c r="Z40" s="51">
        <f>Z38+Z39</f>
        <v>3603.0400000000004</v>
      </c>
      <c r="AA40" s="51">
        <f t="shared" ref="AA40" si="53">AA38+AA39</f>
        <v>4214.51</v>
      </c>
      <c r="AB40" s="51">
        <f t="shared" ref="AB40" si="54">AB38+AB39</f>
        <v>5053.01</v>
      </c>
      <c r="AC40" s="51">
        <f t="shared" ref="AC40" si="55">AC38+AC39</f>
        <v>5909.85</v>
      </c>
      <c r="AD40" s="51">
        <f t="shared" ref="AD40" si="56">AD38+AD39</f>
        <v>7511.1100000000006</v>
      </c>
      <c r="AE40" s="51">
        <f t="shared" ref="AE40" si="57">AE38+AE39</f>
        <v>0</v>
      </c>
      <c r="AG40" s="4" t="s">
        <v>42</v>
      </c>
      <c r="AH40" s="14">
        <v>46.94</v>
      </c>
      <c r="AI40" s="14">
        <v>46.22</v>
      </c>
      <c r="AJ40" s="14">
        <v>40.21</v>
      </c>
      <c r="AK40" s="14">
        <v>9.02</v>
      </c>
      <c r="AL40" s="14">
        <v>15.16</v>
      </c>
      <c r="AM40" s="14">
        <v>20.64</v>
      </c>
      <c r="AO40" s="4" t="s">
        <v>108</v>
      </c>
      <c r="AP40" s="14">
        <v>549.29999999999995</v>
      </c>
      <c r="AQ40" s="14">
        <v>802.9</v>
      </c>
      <c r="AR40" s="14">
        <v>685.4</v>
      </c>
      <c r="AS40" s="14">
        <v>1211.0999999999999</v>
      </c>
      <c r="AT40" s="14">
        <v>698.5</v>
      </c>
      <c r="AU40" s="14"/>
    </row>
    <row r="41" spans="1:47" x14ac:dyDescent="0.3">
      <c r="A41" s="4" t="s">
        <v>49</v>
      </c>
      <c r="B41" s="14">
        <v>51.6</v>
      </c>
      <c r="C41" s="14">
        <v>44.7</v>
      </c>
      <c r="D41" s="14">
        <v>84.4</v>
      </c>
      <c r="E41" s="14">
        <v>88.4</v>
      </c>
      <c r="F41" s="14">
        <v>144.80000000000001</v>
      </c>
      <c r="G41" s="14">
        <v>126</v>
      </c>
      <c r="I41" s="192" t="s">
        <v>45</v>
      </c>
      <c r="J41" s="193"/>
      <c r="K41" s="193"/>
      <c r="L41" s="193"/>
      <c r="M41" s="193"/>
      <c r="N41" s="193"/>
      <c r="O41" s="194"/>
      <c r="Q41" s="4" t="s">
        <v>42</v>
      </c>
      <c r="R41" s="14">
        <v>813.56</v>
      </c>
      <c r="S41" s="14">
        <v>1573.49</v>
      </c>
      <c r="T41" s="14">
        <v>4271.0600000000004</v>
      </c>
      <c r="U41" s="14">
        <v>7277.72</v>
      </c>
      <c r="V41" s="14">
        <v>8176</v>
      </c>
      <c r="W41" s="14">
        <v>6610</v>
      </c>
      <c r="Y41" s="191" t="s">
        <v>44</v>
      </c>
      <c r="Z41" s="191"/>
      <c r="AA41" s="191"/>
      <c r="AB41" s="191"/>
      <c r="AC41" s="191"/>
      <c r="AD41" s="191"/>
      <c r="AE41" s="191"/>
      <c r="AG41" s="50" t="s">
        <v>43</v>
      </c>
      <c r="AH41" s="51">
        <f>AH39+AH40</f>
        <v>6514.2599999999993</v>
      </c>
      <c r="AI41" s="51">
        <f t="shared" ref="AI41" si="58">AI39+AI40</f>
        <v>7318.4900000000007</v>
      </c>
      <c r="AJ41" s="51">
        <f t="shared" ref="AJ41" si="59">AJ39+AJ40</f>
        <v>10623.949999999999</v>
      </c>
      <c r="AK41" s="51">
        <f t="shared" ref="AK41" si="60">AK39+AK40</f>
        <v>11141.300000000001</v>
      </c>
      <c r="AL41" s="51">
        <f t="shared" ref="AL41" si="61">AL39+AL40</f>
        <v>12901.5</v>
      </c>
      <c r="AM41" s="51">
        <f t="shared" ref="AM41" si="62">AM39+AM40</f>
        <v>13934.119999999999</v>
      </c>
      <c r="AO41" s="50" t="s">
        <v>41</v>
      </c>
      <c r="AP41" s="51">
        <f>AP37+AP39+AP40</f>
        <v>11260.899999999998</v>
      </c>
      <c r="AQ41" s="51">
        <f t="shared" ref="AQ41:AU41" si="63">AQ37+AQ39+AQ40</f>
        <v>12560.599999999999</v>
      </c>
      <c r="AR41" s="51">
        <f t="shared" si="63"/>
        <v>20588.3</v>
      </c>
      <c r="AS41" s="51">
        <f t="shared" si="63"/>
        <v>22451.499999999996</v>
      </c>
      <c r="AT41" s="51">
        <f t="shared" si="63"/>
        <v>26154.899999999998</v>
      </c>
      <c r="AU41" s="51">
        <f t="shared" si="63"/>
        <v>0</v>
      </c>
    </row>
    <row r="42" spans="1:47" x14ac:dyDescent="0.3">
      <c r="A42" s="4" t="s">
        <v>50</v>
      </c>
      <c r="B42" s="14">
        <v>657.5</v>
      </c>
      <c r="C42" s="14">
        <v>445.4</v>
      </c>
      <c r="D42" s="14">
        <v>0</v>
      </c>
      <c r="E42" s="14">
        <v>0</v>
      </c>
      <c r="F42" s="14">
        <v>0</v>
      </c>
      <c r="G42" s="14">
        <v>1291.0999999999999</v>
      </c>
      <c r="I42" s="192" t="s">
        <v>46</v>
      </c>
      <c r="J42" s="193"/>
      <c r="K42" s="193"/>
      <c r="L42" s="193"/>
      <c r="M42" s="193"/>
      <c r="N42" s="193"/>
      <c r="O42" s="194"/>
      <c r="Q42" s="50" t="s">
        <v>43</v>
      </c>
      <c r="R42" s="51">
        <f>R40+R41</f>
        <v>63892.09</v>
      </c>
      <c r="S42" s="51">
        <f t="shared" ref="S42" si="64">S40+S41</f>
        <v>56820.21</v>
      </c>
      <c r="T42" s="51">
        <f t="shared" ref="T42" si="65">T40+T41</f>
        <v>48832.299999999996</v>
      </c>
      <c r="U42" s="51">
        <f t="shared" ref="U42" si="66">U40+U41</f>
        <v>52599.509999999995</v>
      </c>
      <c r="V42" s="51">
        <f t="shared" ref="V42" si="67">V40+V41</f>
        <v>93094</v>
      </c>
      <c r="W42" s="51">
        <f t="shared" ref="W42" si="68">W40+W41</f>
        <v>122754</v>
      </c>
      <c r="Y42" s="191" t="s">
        <v>45</v>
      </c>
      <c r="Z42" s="191"/>
      <c r="AA42" s="191"/>
      <c r="AB42" s="191"/>
      <c r="AC42" s="191"/>
      <c r="AD42" s="191"/>
      <c r="AE42" s="191"/>
      <c r="AG42" s="191" t="s">
        <v>44</v>
      </c>
      <c r="AH42" s="191"/>
      <c r="AI42" s="191"/>
      <c r="AJ42" s="191"/>
      <c r="AK42" s="191"/>
      <c r="AL42" s="191"/>
      <c r="AM42" s="191"/>
      <c r="AO42" s="4" t="s">
        <v>109</v>
      </c>
      <c r="AP42" s="14">
        <v>3565</v>
      </c>
      <c r="AQ42" s="14">
        <v>4023.3</v>
      </c>
      <c r="AR42" s="14">
        <v>1776.3</v>
      </c>
      <c r="AS42" s="14">
        <v>1925.4</v>
      </c>
      <c r="AT42" s="14">
        <v>2060.6</v>
      </c>
      <c r="AU42" s="14"/>
    </row>
    <row r="43" spans="1:47" x14ac:dyDescent="0.3">
      <c r="A43" s="4" t="s">
        <v>51</v>
      </c>
      <c r="B43" s="14">
        <v>2115.8000000000002</v>
      </c>
      <c r="C43" s="14">
        <v>2129.5</v>
      </c>
      <c r="D43" s="14">
        <v>2181.1999999999998</v>
      </c>
      <c r="E43" s="14">
        <v>2585</v>
      </c>
      <c r="F43" s="14">
        <v>3161.6</v>
      </c>
      <c r="G43" s="14">
        <v>3381.9</v>
      </c>
      <c r="I43" s="4" t="s">
        <v>47</v>
      </c>
      <c r="J43" s="14">
        <v>52298.05</v>
      </c>
      <c r="K43" s="14">
        <v>54906.559999999998</v>
      </c>
      <c r="L43" s="14">
        <v>48625.06</v>
      </c>
      <c r="M43" s="14">
        <v>55027.39</v>
      </c>
      <c r="N43" s="14">
        <v>67719.69</v>
      </c>
      <c r="O43" s="14">
        <v>79707.19</v>
      </c>
      <c r="Q43" s="192" t="s">
        <v>44</v>
      </c>
      <c r="R43" s="193"/>
      <c r="S43" s="193"/>
      <c r="T43" s="193"/>
      <c r="U43" s="193"/>
      <c r="V43" s="193"/>
      <c r="W43" s="194"/>
      <c r="Y43" s="191" t="s">
        <v>46</v>
      </c>
      <c r="Z43" s="191"/>
      <c r="AA43" s="191"/>
      <c r="AB43" s="191"/>
      <c r="AC43" s="191"/>
      <c r="AD43" s="191"/>
      <c r="AE43" s="191"/>
      <c r="AG43" s="191" t="s">
        <v>45</v>
      </c>
      <c r="AH43" s="191"/>
      <c r="AI43" s="191"/>
      <c r="AJ43" s="191"/>
      <c r="AK43" s="191"/>
      <c r="AL43" s="191"/>
      <c r="AM43" s="191"/>
      <c r="AO43" s="50" t="s">
        <v>110</v>
      </c>
      <c r="AP43" s="51">
        <f>AP41+AP42</f>
        <v>14825.899999999998</v>
      </c>
      <c r="AQ43" s="51">
        <f t="shared" ref="AQ43:AU43" si="69">AQ41+AQ42</f>
        <v>16583.899999999998</v>
      </c>
      <c r="AR43" s="51">
        <f t="shared" si="69"/>
        <v>22364.6</v>
      </c>
      <c r="AS43" s="51">
        <f t="shared" si="69"/>
        <v>24376.899999999998</v>
      </c>
      <c r="AT43" s="51">
        <f t="shared" si="69"/>
        <v>28215.499999999996</v>
      </c>
      <c r="AU43" s="51">
        <f t="shared" si="69"/>
        <v>0</v>
      </c>
    </row>
    <row r="44" spans="1:47" x14ac:dyDescent="0.3">
      <c r="A44" s="50" t="s">
        <v>52</v>
      </c>
      <c r="B44" s="51">
        <f t="shared" ref="B44:G44" si="70">SUM(B39:B43)</f>
        <v>2890.1000000000004</v>
      </c>
      <c r="C44" s="51">
        <f t="shared" si="70"/>
        <v>2661.6</v>
      </c>
      <c r="D44" s="51">
        <f t="shared" si="70"/>
        <v>2298.5</v>
      </c>
      <c r="E44" s="51">
        <f t="shared" si="70"/>
        <v>2698.3</v>
      </c>
      <c r="F44" s="51">
        <f t="shared" si="70"/>
        <v>3374.1</v>
      </c>
      <c r="G44" s="51">
        <f t="shared" si="70"/>
        <v>4852.8</v>
      </c>
      <c r="I44" s="4" t="s">
        <v>57</v>
      </c>
      <c r="J44" s="14">
        <v>1781.4</v>
      </c>
      <c r="K44" s="14">
        <v>1595.21</v>
      </c>
      <c r="L44" s="14">
        <f>2432.55+1406.04</f>
        <v>3838.59</v>
      </c>
      <c r="M44" s="14">
        <f>2882.5+1370.45</f>
        <v>4252.95</v>
      </c>
      <c r="N44" s="14">
        <f>2021.73+2813.92+1208.5</f>
        <v>6044.15</v>
      </c>
      <c r="O44" s="14">
        <f>4075.27+3170.14+1127.76</f>
        <v>8373.17</v>
      </c>
      <c r="Q44" s="192" t="s">
        <v>45</v>
      </c>
      <c r="R44" s="193"/>
      <c r="S44" s="193"/>
      <c r="T44" s="193"/>
      <c r="U44" s="193"/>
      <c r="V44" s="193"/>
      <c r="W44" s="194"/>
      <c r="Y44" s="4" t="s">
        <v>47</v>
      </c>
      <c r="Z44" s="14">
        <v>5221.2299999999996</v>
      </c>
      <c r="AA44" s="14">
        <v>6280.26</v>
      </c>
      <c r="AB44" s="14">
        <v>7305.77</v>
      </c>
      <c r="AC44" s="14">
        <v>9064.08</v>
      </c>
      <c r="AD44" s="14">
        <v>12629.32</v>
      </c>
      <c r="AE44" s="14"/>
      <c r="AG44" s="191" t="s">
        <v>46</v>
      </c>
      <c r="AH44" s="191"/>
      <c r="AI44" s="191"/>
      <c r="AJ44" s="191"/>
      <c r="AK44" s="191"/>
      <c r="AL44" s="191"/>
      <c r="AM44" s="191"/>
      <c r="AO44" s="191" t="s">
        <v>44</v>
      </c>
      <c r="AP44" s="191"/>
      <c r="AQ44" s="191"/>
      <c r="AR44" s="191"/>
      <c r="AS44" s="191"/>
      <c r="AT44" s="191"/>
      <c r="AU44" s="191"/>
    </row>
    <row r="45" spans="1:47" x14ac:dyDescent="0.3">
      <c r="A45" s="192" t="s">
        <v>53</v>
      </c>
      <c r="B45" s="193"/>
      <c r="C45" s="193"/>
      <c r="D45" s="193"/>
      <c r="E45" s="193"/>
      <c r="F45" s="193"/>
      <c r="G45" s="194"/>
      <c r="I45" s="4" t="s">
        <v>111</v>
      </c>
      <c r="J45" s="14">
        <v>10.25</v>
      </c>
      <c r="K45" s="14">
        <v>1.44</v>
      </c>
      <c r="L45" s="14">
        <v>1.55</v>
      </c>
      <c r="M45" s="14">
        <v>0.04</v>
      </c>
      <c r="N45" s="14">
        <v>0</v>
      </c>
      <c r="O45" s="14">
        <v>0</v>
      </c>
      <c r="Q45" s="192" t="s">
        <v>46</v>
      </c>
      <c r="R45" s="193"/>
      <c r="S45" s="193"/>
      <c r="T45" s="193"/>
      <c r="U45" s="193"/>
      <c r="V45" s="193"/>
      <c r="W45" s="194"/>
      <c r="Y45" s="4" t="s">
        <v>89</v>
      </c>
      <c r="Z45" s="14">
        <v>194.28</v>
      </c>
      <c r="AA45" s="14">
        <v>184.76</v>
      </c>
      <c r="AB45" s="14">
        <v>403.05</v>
      </c>
      <c r="AC45" s="14">
        <v>563.51</v>
      </c>
      <c r="AD45" s="14">
        <v>503.68</v>
      </c>
      <c r="AE45" s="14"/>
      <c r="AG45" s="4" t="s">
        <v>47</v>
      </c>
      <c r="AH45" s="14">
        <v>8.85</v>
      </c>
      <c r="AI45" s="14">
        <v>85.58</v>
      </c>
      <c r="AJ45" s="14">
        <v>82.36</v>
      </c>
      <c r="AK45" s="14">
        <v>141.29</v>
      </c>
      <c r="AL45" s="14">
        <v>221.54</v>
      </c>
      <c r="AM45" s="14">
        <v>943.07</v>
      </c>
      <c r="AO45" s="191" t="s">
        <v>45</v>
      </c>
      <c r="AP45" s="191"/>
      <c r="AQ45" s="191"/>
      <c r="AR45" s="191"/>
      <c r="AS45" s="191"/>
      <c r="AT45" s="191"/>
      <c r="AU45" s="191"/>
    </row>
    <row r="46" spans="1:47" x14ac:dyDescent="0.3">
      <c r="A46" s="192" t="s">
        <v>46</v>
      </c>
      <c r="B46" s="193"/>
      <c r="C46" s="193"/>
      <c r="D46" s="193"/>
      <c r="E46" s="193"/>
      <c r="F46" s="193"/>
      <c r="G46" s="194"/>
      <c r="I46" s="4" t="s">
        <v>49</v>
      </c>
      <c r="J46" s="14">
        <v>4384.13</v>
      </c>
      <c r="K46" s="14">
        <v>1600.88</v>
      </c>
      <c r="L46" s="14">
        <v>1497.99</v>
      </c>
      <c r="M46" s="14">
        <v>1815.95</v>
      </c>
      <c r="N46" s="14">
        <v>1763.28</v>
      </c>
      <c r="O46" s="14">
        <v>1982.02</v>
      </c>
      <c r="Q46" s="4" t="s">
        <v>47</v>
      </c>
      <c r="R46" s="14">
        <v>83315.62</v>
      </c>
      <c r="S46" s="14">
        <v>93112.77</v>
      </c>
      <c r="T46" s="14">
        <v>97759.17</v>
      </c>
      <c r="U46" s="14">
        <v>88695.81</v>
      </c>
      <c r="V46" s="14">
        <v>62149</v>
      </c>
      <c r="W46" s="14">
        <v>40217</v>
      </c>
      <c r="Y46" s="4" t="s">
        <v>90</v>
      </c>
      <c r="Z46" s="14">
        <v>9.84</v>
      </c>
      <c r="AA46" s="14">
        <v>26.11</v>
      </c>
      <c r="AB46" s="14">
        <f>9.85+44.88</f>
        <v>54.730000000000004</v>
      </c>
      <c r="AC46" s="14">
        <v>37.14</v>
      </c>
      <c r="AD46" s="14">
        <v>31.5</v>
      </c>
      <c r="AE46" s="14"/>
      <c r="AG46" s="4" t="s">
        <v>48</v>
      </c>
      <c r="AH46" s="14">
        <v>101.56</v>
      </c>
      <c r="AI46" s="14">
        <v>341.19</v>
      </c>
      <c r="AJ46" s="14">
        <v>301.27</v>
      </c>
      <c r="AK46" s="14">
        <v>299.11</v>
      </c>
      <c r="AL46" s="14">
        <v>412.44</v>
      </c>
      <c r="AM46" s="14">
        <v>441.22</v>
      </c>
      <c r="AO46" s="191" t="s">
        <v>46</v>
      </c>
      <c r="AP46" s="191"/>
      <c r="AQ46" s="191"/>
      <c r="AR46" s="191"/>
      <c r="AS46" s="191"/>
      <c r="AT46" s="191"/>
      <c r="AU46" s="191"/>
    </row>
    <row r="47" spans="1:47" x14ac:dyDescent="0.3">
      <c r="A47" s="4" t="s">
        <v>47</v>
      </c>
      <c r="B47" s="14">
        <v>106.3</v>
      </c>
      <c r="C47" s="14">
        <v>488.8</v>
      </c>
      <c r="D47" s="14">
        <v>381.9</v>
      </c>
      <c r="E47" s="14">
        <v>1215.8</v>
      </c>
      <c r="F47" s="14">
        <v>33.1</v>
      </c>
      <c r="G47" s="14">
        <v>0</v>
      </c>
      <c r="I47" s="4" t="s">
        <v>50</v>
      </c>
      <c r="J47" s="14">
        <v>1511.89</v>
      </c>
      <c r="K47" s="14">
        <v>1494.16</v>
      </c>
      <c r="L47" s="14">
        <v>1786.1</v>
      </c>
      <c r="M47" s="14">
        <v>1608.64</v>
      </c>
      <c r="N47" s="14">
        <v>1772.13</v>
      </c>
      <c r="O47" s="14">
        <v>1912.07</v>
      </c>
      <c r="Q47" s="4" t="s">
        <v>48</v>
      </c>
      <c r="R47" s="14">
        <v>5162.9399999999996</v>
      </c>
      <c r="S47" s="14">
        <v>5412.06</v>
      </c>
      <c r="T47" s="14">
        <v>5962.44</v>
      </c>
      <c r="U47" s="14">
        <v>7568.49</v>
      </c>
      <c r="V47" s="14">
        <v>7670</v>
      </c>
      <c r="W47" s="14">
        <v>7642</v>
      </c>
      <c r="Y47" s="4" t="s">
        <v>49</v>
      </c>
      <c r="Z47" s="14">
        <v>131.41999999999999</v>
      </c>
      <c r="AA47" s="14">
        <v>159.44</v>
      </c>
      <c r="AB47" s="14">
        <v>196.24</v>
      </c>
      <c r="AC47" s="14">
        <v>231.26</v>
      </c>
      <c r="AD47" s="14">
        <v>270.18</v>
      </c>
      <c r="AE47" s="14"/>
      <c r="AG47" s="191" t="s">
        <v>54</v>
      </c>
      <c r="AH47" s="191"/>
      <c r="AI47" s="191"/>
      <c r="AJ47" s="191"/>
      <c r="AK47" s="191"/>
      <c r="AL47" s="191"/>
      <c r="AM47" s="191"/>
      <c r="AO47" s="4" t="s">
        <v>47</v>
      </c>
      <c r="AP47" s="14">
        <v>8261.2000000000007</v>
      </c>
      <c r="AQ47" s="14">
        <v>7468.7</v>
      </c>
      <c r="AR47" s="14">
        <v>8500.7000000000007</v>
      </c>
      <c r="AS47" s="14">
        <v>6618.3</v>
      </c>
      <c r="AT47" s="14">
        <v>9980.6</v>
      </c>
      <c r="AU47" s="14"/>
    </row>
    <row r="48" spans="1:47" x14ac:dyDescent="0.3">
      <c r="A48" s="192" t="s">
        <v>54</v>
      </c>
      <c r="B48" s="193"/>
      <c r="C48" s="193"/>
      <c r="D48" s="193"/>
      <c r="E48" s="193"/>
      <c r="F48" s="193"/>
      <c r="G48" s="194"/>
      <c r="I48" s="4" t="s">
        <v>51</v>
      </c>
      <c r="J48" s="14">
        <v>5350.37</v>
      </c>
      <c r="K48" s="14">
        <v>4766</v>
      </c>
      <c r="L48" s="14">
        <v>5249.92</v>
      </c>
      <c r="M48" s="14">
        <v>5525.28</v>
      </c>
      <c r="N48" s="14">
        <v>5946.49</v>
      </c>
      <c r="O48" s="14">
        <v>6191.81</v>
      </c>
      <c r="Q48" s="4" t="s">
        <v>49</v>
      </c>
      <c r="R48" s="14">
        <v>14736.69</v>
      </c>
      <c r="S48" s="14">
        <v>13606.76</v>
      </c>
      <c r="T48" s="14">
        <v>12955.89</v>
      </c>
      <c r="U48" s="14">
        <v>13196.53</v>
      </c>
      <c r="V48" s="14">
        <v>16537</v>
      </c>
      <c r="W48" s="14">
        <v>20935</v>
      </c>
      <c r="Y48" s="4" t="s">
        <v>50</v>
      </c>
      <c r="Z48" s="14">
        <v>173.77</v>
      </c>
      <c r="AA48" s="14">
        <v>218.9</v>
      </c>
      <c r="AB48" s="14">
        <v>207.56</v>
      </c>
      <c r="AC48" s="14">
        <v>208.37</v>
      </c>
      <c r="AD48" s="14">
        <v>196.46</v>
      </c>
      <c r="AE48" s="14"/>
      <c r="AG48" s="4" t="s">
        <v>55</v>
      </c>
      <c r="AH48" s="14">
        <v>0</v>
      </c>
      <c r="AI48" s="14">
        <v>0</v>
      </c>
      <c r="AJ48" s="14">
        <v>0</v>
      </c>
      <c r="AK48" s="14">
        <v>0</v>
      </c>
      <c r="AL48" s="14">
        <v>0</v>
      </c>
      <c r="AM48" s="14">
        <v>0</v>
      </c>
      <c r="AO48" s="4" t="s">
        <v>89</v>
      </c>
      <c r="AP48" s="14">
        <v>1030</v>
      </c>
      <c r="AQ48" s="14">
        <v>942.2</v>
      </c>
      <c r="AR48" s="14">
        <v>1007</v>
      </c>
      <c r="AS48" s="14">
        <v>1205.5999999999999</v>
      </c>
      <c r="AT48" s="14">
        <v>1924.7</v>
      </c>
      <c r="AU48" s="14"/>
    </row>
    <row r="49" spans="1:47" x14ac:dyDescent="0.3">
      <c r="A49" s="4" t="s">
        <v>55</v>
      </c>
      <c r="B49" s="14">
        <v>48.1</v>
      </c>
      <c r="C49" s="14">
        <v>69.8</v>
      </c>
      <c r="D49" s="14">
        <v>108.7</v>
      </c>
      <c r="E49" s="14">
        <v>176.9</v>
      </c>
      <c r="F49" s="14">
        <v>0</v>
      </c>
      <c r="G49" s="14">
        <v>0</v>
      </c>
      <c r="I49" s="50" t="s">
        <v>63</v>
      </c>
      <c r="J49" s="51">
        <f t="shared" ref="J49:O49" si="71">SUM(J43:J48)</f>
        <v>65336.090000000004</v>
      </c>
      <c r="K49" s="51">
        <f t="shared" si="71"/>
        <v>64364.25</v>
      </c>
      <c r="L49" s="51">
        <f t="shared" si="71"/>
        <v>60999.209999999992</v>
      </c>
      <c r="M49" s="51">
        <f t="shared" si="71"/>
        <v>68230.25</v>
      </c>
      <c r="N49" s="51">
        <f t="shared" si="71"/>
        <v>83245.740000000005</v>
      </c>
      <c r="O49" s="51">
        <f t="shared" si="71"/>
        <v>98166.260000000009</v>
      </c>
      <c r="Q49" s="4" t="s">
        <v>57</v>
      </c>
      <c r="R49" s="14">
        <v>3858.48</v>
      </c>
      <c r="S49" s="14">
        <v>2556.35</v>
      </c>
      <c r="T49" s="14">
        <v>5333.66</v>
      </c>
      <c r="U49" s="14">
        <v>8322.4699999999993</v>
      </c>
      <c r="V49" s="14">
        <f>2548+1673</f>
        <v>4221</v>
      </c>
      <c r="W49" s="14">
        <f>2464+901</f>
        <v>3365</v>
      </c>
      <c r="Y49" s="50" t="s">
        <v>52</v>
      </c>
      <c r="Z49" s="51">
        <f>SUM(Z44:Z48)</f>
        <v>5730.54</v>
      </c>
      <c r="AA49" s="51">
        <f t="shared" ref="AA49:AE49" si="72">SUM(AA44:AA48)</f>
        <v>6869.4699999999993</v>
      </c>
      <c r="AB49" s="51">
        <f t="shared" si="72"/>
        <v>8167.35</v>
      </c>
      <c r="AC49" s="51">
        <f t="shared" si="72"/>
        <v>10104.36</v>
      </c>
      <c r="AD49" s="51">
        <f t="shared" si="72"/>
        <v>13631.14</v>
      </c>
      <c r="AE49" s="51">
        <f t="shared" si="72"/>
        <v>0</v>
      </c>
      <c r="AG49" s="4" t="s">
        <v>56</v>
      </c>
      <c r="AH49" s="14">
        <v>5.74</v>
      </c>
      <c r="AI49" s="14">
        <v>7.83</v>
      </c>
      <c r="AJ49" s="14">
        <v>7.87</v>
      </c>
      <c r="AK49" s="14">
        <v>10.06</v>
      </c>
      <c r="AL49" s="14">
        <v>10.23</v>
      </c>
      <c r="AM49" s="14">
        <v>11.89</v>
      </c>
      <c r="AO49" s="4" t="s">
        <v>57</v>
      </c>
      <c r="AP49" s="14">
        <v>379.4</v>
      </c>
      <c r="AQ49" s="14">
        <v>607.6</v>
      </c>
      <c r="AR49" s="14">
        <v>481.1</v>
      </c>
      <c r="AS49" s="14">
        <v>592.1</v>
      </c>
      <c r="AT49" s="14">
        <v>1059.9000000000001</v>
      </c>
      <c r="AU49" s="14"/>
    </row>
    <row r="50" spans="1:47" x14ac:dyDescent="0.3">
      <c r="A50" s="4" t="s">
        <v>56</v>
      </c>
      <c r="B50" s="14">
        <v>7450.7</v>
      </c>
      <c r="C50" s="14">
        <v>10098.299999999999</v>
      </c>
      <c r="D50" s="14">
        <v>9656.5</v>
      </c>
      <c r="E50" s="14">
        <v>11608.6</v>
      </c>
      <c r="F50" s="14">
        <v>14582.4</v>
      </c>
      <c r="G50" s="14">
        <v>17421.099999999999</v>
      </c>
      <c r="I50" s="192" t="s">
        <v>53</v>
      </c>
      <c r="J50" s="193"/>
      <c r="K50" s="193"/>
      <c r="L50" s="193"/>
      <c r="M50" s="193"/>
      <c r="N50" s="193"/>
      <c r="O50" s="194"/>
      <c r="Q50" s="4" t="s">
        <v>50</v>
      </c>
      <c r="R50" s="14">
        <v>1941.87</v>
      </c>
      <c r="S50" s="14">
        <v>1555.89</v>
      </c>
      <c r="T50" s="14">
        <v>1558.44</v>
      </c>
      <c r="U50" s="14">
        <v>1406.95</v>
      </c>
      <c r="V50" s="14">
        <v>1143</v>
      </c>
      <c r="W50" s="14">
        <v>1669</v>
      </c>
      <c r="Y50" s="191" t="s">
        <v>53</v>
      </c>
      <c r="Z50" s="191"/>
      <c r="AA50" s="191"/>
      <c r="AB50" s="191"/>
      <c r="AC50" s="191"/>
      <c r="AD50" s="191"/>
      <c r="AE50" s="191"/>
      <c r="AG50" s="4" t="s">
        <v>57</v>
      </c>
      <c r="AH50" s="14">
        <v>7.34</v>
      </c>
      <c r="AI50" s="14">
        <v>8.61</v>
      </c>
      <c r="AJ50" s="14">
        <v>7.52</v>
      </c>
      <c r="AK50" s="14">
        <v>76.430000000000007</v>
      </c>
      <c r="AL50" s="14">
        <v>86.66</v>
      </c>
      <c r="AM50" s="14">
        <v>71.94</v>
      </c>
      <c r="AO50" s="4" t="s">
        <v>49</v>
      </c>
      <c r="AP50" s="14">
        <v>83.5</v>
      </c>
      <c r="AQ50" s="14">
        <v>148.19999999999999</v>
      </c>
      <c r="AR50" s="14">
        <v>134.80000000000001</v>
      </c>
      <c r="AS50" s="14">
        <v>76.599999999999994</v>
      </c>
      <c r="AT50" s="14">
        <v>126</v>
      </c>
      <c r="AU50" s="14"/>
    </row>
    <row r="51" spans="1:47" x14ac:dyDescent="0.3">
      <c r="A51" s="4" t="s">
        <v>48</v>
      </c>
      <c r="B51" s="14">
        <v>10.3</v>
      </c>
      <c r="C51" s="14">
        <v>7.4</v>
      </c>
      <c r="D51" s="14">
        <v>8</v>
      </c>
      <c r="E51" s="14">
        <v>6.6</v>
      </c>
      <c r="F51" s="14">
        <v>17.8</v>
      </c>
      <c r="G51" s="14">
        <v>22.6</v>
      </c>
      <c r="I51" s="192" t="s">
        <v>46</v>
      </c>
      <c r="J51" s="193"/>
      <c r="K51" s="193"/>
      <c r="L51" s="193"/>
      <c r="M51" s="193"/>
      <c r="N51" s="193"/>
      <c r="O51" s="194"/>
      <c r="Q51" s="4" t="s">
        <v>51</v>
      </c>
      <c r="R51" s="14">
        <v>8759.52</v>
      </c>
      <c r="S51" s="14">
        <v>12312.56</v>
      </c>
      <c r="T51" s="14">
        <v>7535.22</v>
      </c>
      <c r="U51" s="14">
        <v>9264.2900000000009</v>
      </c>
      <c r="V51" s="14">
        <v>12234</v>
      </c>
      <c r="W51" s="14">
        <v>15376</v>
      </c>
      <c r="Y51" s="191" t="s">
        <v>46</v>
      </c>
      <c r="Z51" s="191"/>
      <c r="AA51" s="191"/>
      <c r="AB51" s="191"/>
      <c r="AC51" s="191"/>
      <c r="AD51" s="191"/>
      <c r="AE51" s="191"/>
      <c r="AG51" s="4" t="s">
        <v>49</v>
      </c>
      <c r="AH51" s="14">
        <v>72.540000000000006</v>
      </c>
      <c r="AI51" s="14">
        <v>63.96</v>
      </c>
      <c r="AJ51" s="14">
        <v>61.6</v>
      </c>
      <c r="AK51" s="14">
        <v>65.2</v>
      </c>
      <c r="AL51" s="14">
        <v>69.2</v>
      </c>
      <c r="AM51" s="14">
        <v>100.89</v>
      </c>
      <c r="AO51" s="4" t="s">
        <v>112</v>
      </c>
      <c r="AP51" s="14">
        <v>471.9</v>
      </c>
      <c r="AQ51" s="14">
        <v>491.4</v>
      </c>
      <c r="AR51" s="14">
        <v>546.6</v>
      </c>
      <c r="AS51" s="14">
        <v>515.6</v>
      </c>
      <c r="AT51" s="14">
        <v>746.9</v>
      </c>
      <c r="AU51" s="14"/>
    </row>
    <row r="52" spans="1:47" x14ac:dyDescent="0.3">
      <c r="A52" s="4" t="s">
        <v>57</v>
      </c>
      <c r="B52" s="14">
        <v>904</v>
      </c>
      <c r="C52" s="14">
        <v>1272</v>
      </c>
      <c r="D52" s="14">
        <v>2027.2</v>
      </c>
      <c r="E52" s="14">
        <v>1853.7</v>
      </c>
      <c r="F52" s="14">
        <v>1942.6</v>
      </c>
      <c r="G52" s="14">
        <v>2443.4</v>
      </c>
      <c r="I52" s="4" t="s">
        <v>47</v>
      </c>
      <c r="J52" s="14">
        <v>10217.530000000001</v>
      </c>
      <c r="K52" s="14">
        <v>4646.59</v>
      </c>
      <c r="L52" s="14">
        <v>26042.12</v>
      </c>
      <c r="M52" s="14">
        <v>33739.620000000003</v>
      </c>
      <c r="N52" s="14">
        <v>35483.54</v>
      </c>
      <c r="O52" s="14">
        <v>41465.760000000002</v>
      </c>
      <c r="Q52" s="50" t="s">
        <v>52</v>
      </c>
      <c r="R52" s="51">
        <f t="shared" ref="R52:W52" si="73">SUM(R46:R51)</f>
        <v>117775.12</v>
      </c>
      <c r="S52" s="51">
        <f t="shared" si="73"/>
        <v>128556.39</v>
      </c>
      <c r="T52" s="51">
        <f t="shared" si="73"/>
        <v>131104.82</v>
      </c>
      <c r="U52" s="51">
        <f t="shared" si="73"/>
        <v>128454.54000000001</v>
      </c>
      <c r="V52" s="51">
        <f t="shared" si="73"/>
        <v>103954</v>
      </c>
      <c r="W52" s="51">
        <f t="shared" si="73"/>
        <v>89204</v>
      </c>
      <c r="Y52" s="4" t="s">
        <v>47</v>
      </c>
      <c r="Z52" s="14">
        <v>3780.7</v>
      </c>
      <c r="AA52" s="14">
        <v>3069.25</v>
      </c>
      <c r="AB52" s="14">
        <v>7991.51</v>
      </c>
      <c r="AC52" s="14">
        <v>12562.15</v>
      </c>
      <c r="AD52" s="14">
        <v>12657.3</v>
      </c>
      <c r="AE52" s="14"/>
      <c r="AG52" s="4" t="s">
        <v>95</v>
      </c>
      <c r="AH52" s="14">
        <v>12907.87</v>
      </c>
      <c r="AI52" s="14">
        <v>14577.63</v>
      </c>
      <c r="AJ52" s="14">
        <v>0</v>
      </c>
      <c r="AK52" s="14">
        <v>0</v>
      </c>
      <c r="AL52" s="14">
        <v>0</v>
      </c>
      <c r="AM52" s="14">
        <v>0</v>
      </c>
      <c r="AO52" s="4" t="s">
        <v>113</v>
      </c>
      <c r="AP52" s="14">
        <v>462.7</v>
      </c>
      <c r="AQ52" s="14">
        <v>336.3</v>
      </c>
      <c r="AR52" s="14">
        <v>544.5</v>
      </c>
      <c r="AS52" s="14">
        <v>521.70000000000005</v>
      </c>
      <c r="AT52" s="14">
        <v>843.9</v>
      </c>
      <c r="AU52" s="14"/>
    </row>
    <row r="53" spans="1:47" x14ac:dyDescent="0.3">
      <c r="A53" s="4" t="s">
        <v>49</v>
      </c>
      <c r="B53" s="14">
        <v>680.7</v>
      </c>
      <c r="C53" s="14">
        <v>742.8</v>
      </c>
      <c r="D53" s="14">
        <v>861.3</v>
      </c>
      <c r="E53" s="14">
        <v>962.4</v>
      </c>
      <c r="F53" s="14">
        <v>1206.5999999999999</v>
      </c>
      <c r="G53" s="14">
        <v>1442.3</v>
      </c>
      <c r="I53" s="192" t="s">
        <v>54</v>
      </c>
      <c r="J53" s="193"/>
      <c r="K53" s="193"/>
      <c r="L53" s="193"/>
      <c r="M53" s="193"/>
      <c r="N53" s="193"/>
      <c r="O53" s="194"/>
      <c r="Q53" s="192" t="s">
        <v>53</v>
      </c>
      <c r="R53" s="193"/>
      <c r="S53" s="193"/>
      <c r="T53" s="193"/>
      <c r="U53" s="193"/>
      <c r="V53" s="193"/>
      <c r="W53" s="194"/>
      <c r="Y53" s="191" t="s">
        <v>54</v>
      </c>
      <c r="Z53" s="191"/>
      <c r="AA53" s="191"/>
      <c r="AB53" s="191"/>
      <c r="AC53" s="191"/>
      <c r="AD53" s="191"/>
      <c r="AE53" s="191"/>
      <c r="AG53" s="4" t="s">
        <v>96</v>
      </c>
      <c r="AH53" s="14">
        <v>885.45</v>
      </c>
      <c r="AI53" s="14">
        <v>837.75</v>
      </c>
      <c r="AJ53" s="14">
        <v>0</v>
      </c>
      <c r="AK53" s="14">
        <v>0</v>
      </c>
      <c r="AL53" s="14">
        <v>0</v>
      </c>
      <c r="AM53" s="14">
        <v>0</v>
      </c>
      <c r="AO53" s="4" t="s">
        <v>50</v>
      </c>
      <c r="AP53" s="14">
        <v>243.3</v>
      </c>
      <c r="AQ53" s="14">
        <v>214.2</v>
      </c>
      <c r="AR53" s="14">
        <v>239.2</v>
      </c>
      <c r="AS53" s="14">
        <v>227.5</v>
      </c>
      <c r="AT53" s="14">
        <v>200.7</v>
      </c>
      <c r="AU53" s="14"/>
    </row>
    <row r="54" spans="1:47" x14ac:dyDescent="0.3">
      <c r="A54" s="4" t="s">
        <v>58</v>
      </c>
      <c r="B54" s="14">
        <v>696.2</v>
      </c>
      <c r="C54" s="14">
        <v>854.7</v>
      </c>
      <c r="D54" s="14">
        <v>1111.3</v>
      </c>
      <c r="E54" s="14">
        <v>1158.4000000000001</v>
      </c>
      <c r="F54" s="14">
        <v>1203</v>
      </c>
      <c r="G54" s="14">
        <v>1273.7</v>
      </c>
      <c r="I54" s="4" t="s">
        <v>55</v>
      </c>
      <c r="J54" s="14">
        <v>147.44999999999999</v>
      </c>
      <c r="K54" s="14">
        <v>151.58000000000001</v>
      </c>
      <c r="L54" s="14">
        <v>195.51</v>
      </c>
      <c r="M54" s="14">
        <v>363.63</v>
      </c>
      <c r="N54" s="14">
        <v>459.7</v>
      </c>
      <c r="O54" s="14">
        <v>926.72</v>
      </c>
      <c r="Q54" s="192" t="s">
        <v>46</v>
      </c>
      <c r="R54" s="193"/>
      <c r="S54" s="193"/>
      <c r="T54" s="193"/>
      <c r="U54" s="193"/>
      <c r="V54" s="193"/>
      <c r="W54" s="194"/>
      <c r="Y54" s="4" t="s">
        <v>55</v>
      </c>
      <c r="Z54" s="14">
        <v>121.49</v>
      </c>
      <c r="AA54" s="14">
        <v>45</v>
      </c>
      <c r="AB54" s="14">
        <v>69.78</v>
      </c>
      <c r="AC54" s="14">
        <v>75.83</v>
      </c>
      <c r="AD54" s="14">
        <v>62.38</v>
      </c>
      <c r="AE54" s="14"/>
      <c r="AG54" s="4" t="s">
        <v>50</v>
      </c>
      <c r="AH54" s="14">
        <v>107.82</v>
      </c>
      <c r="AI54" s="14">
        <v>83.1</v>
      </c>
      <c r="AJ54" s="14">
        <v>8.1999999999999993</v>
      </c>
      <c r="AK54" s="14">
        <v>7.73</v>
      </c>
      <c r="AL54" s="14">
        <v>0.89</v>
      </c>
      <c r="AM54" s="14">
        <v>12.83</v>
      </c>
      <c r="AO54" s="4" t="s">
        <v>51</v>
      </c>
      <c r="AP54" s="14">
        <v>167.1</v>
      </c>
      <c r="AQ54" s="14">
        <v>162.9</v>
      </c>
      <c r="AR54" s="14">
        <v>166.3</v>
      </c>
      <c r="AS54" s="14">
        <v>202</v>
      </c>
      <c r="AT54" s="14">
        <v>203.1</v>
      </c>
      <c r="AU54" s="14"/>
    </row>
    <row r="55" spans="1:47" x14ac:dyDescent="0.3">
      <c r="A55" s="4" t="s">
        <v>59</v>
      </c>
      <c r="B55" s="14">
        <v>1409.1</v>
      </c>
      <c r="C55" s="14">
        <v>2586.6999999999998</v>
      </c>
      <c r="D55" s="14">
        <v>2868.6</v>
      </c>
      <c r="E55" s="14">
        <v>3124.9</v>
      </c>
      <c r="F55" s="14">
        <v>3943.2</v>
      </c>
      <c r="G55" s="14">
        <v>4117.6000000000004</v>
      </c>
      <c r="I55" s="4" t="s">
        <v>56</v>
      </c>
      <c r="J55" s="14">
        <v>14837.9</v>
      </c>
      <c r="K55" s="14">
        <v>15354.21</v>
      </c>
      <c r="L55" s="14">
        <v>18841.04</v>
      </c>
      <c r="M55" s="14">
        <v>23472.03</v>
      </c>
      <c r="N55" s="14">
        <v>25205.94</v>
      </c>
      <c r="O55" s="14">
        <v>29928.58</v>
      </c>
      <c r="Q55" s="4" t="s">
        <v>47</v>
      </c>
      <c r="R55" s="14">
        <v>16362.53</v>
      </c>
      <c r="S55" s="14">
        <v>21662.79</v>
      </c>
      <c r="T55" s="14">
        <v>41917.870000000003</v>
      </c>
      <c r="U55" s="14">
        <v>36964.660000000003</v>
      </c>
      <c r="V55" s="14">
        <v>36352</v>
      </c>
      <c r="W55" s="14">
        <v>22282</v>
      </c>
      <c r="Y55" s="4" t="s">
        <v>56</v>
      </c>
      <c r="Z55" s="14">
        <v>3065.35</v>
      </c>
      <c r="AA55" s="14">
        <v>4253.6000000000004</v>
      </c>
      <c r="AB55" s="14">
        <v>4555.21</v>
      </c>
      <c r="AC55" s="14">
        <v>5020.84</v>
      </c>
      <c r="AD55" s="14">
        <v>6575.84</v>
      </c>
      <c r="AE55" s="14"/>
      <c r="AG55" s="191" t="s">
        <v>51</v>
      </c>
      <c r="AH55" s="191"/>
      <c r="AI55" s="191"/>
      <c r="AJ55" s="191"/>
      <c r="AK55" s="191"/>
      <c r="AL55" s="191"/>
      <c r="AM55" s="191"/>
      <c r="AO55" s="50" t="s">
        <v>52</v>
      </c>
      <c r="AP55" s="51">
        <f t="shared" ref="AP55:AU55" si="74">SUM(AP47:AP54)</f>
        <v>11099.1</v>
      </c>
      <c r="AQ55" s="51">
        <f t="shared" si="74"/>
        <v>10371.5</v>
      </c>
      <c r="AR55" s="51">
        <f t="shared" si="74"/>
        <v>11620.2</v>
      </c>
      <c r="AS55" s="51">
        <f t="shared" si="74"/>
        <v>9959.4000000000015</v>
      </c>
      <c r="AT55" s="51">
        <f t="shared" si="74"/>
        <v>15085.800000000001</v>
      </c>
      <c r="AU55" s="51">
        <f t="shared" si="74"/>
        <v>0</v>
      </c>
    </row>
    <row r="56" spans="1:47" x14ac:dyDescent="0.3">
      <c r="A56" s="50" t="s">
        <v>60</v>
      </c>
      <c r="B56" s="51">
        <f t="shared" ref="B56:G56" si="75">SUM(B47,B49:B55)</f>
        <v>11305.400000000001</v>
      </c>
      <c r="C56" s="51">
        <f t="shared" si="75"/>
        <v>16120.5</v>
      </c>
      <c r="D56" s="51">
        <f t="shared" si="75"/>
        <v>17023.5</v>
      </c>
      <c r="E56" s="51">
        <f t="shared" si="75"/>
        <v>20107.300000000003</v>
      </c>
      <c r="F56" s="51">
        <f t="shared" si="75"/>
        <v>22928.699999999997</v>
      </c>
      <c r="G56" s="51">
        <f t="shared" si="75"/>
        <v>26720.699999999997</v>
      </c>
      <c r="I56" s="4" t="s">
        <v>48</v>
      </c>
      <c r="J56" s="14">
        <v>0</v>
      </c>
      <c r="K56" s="14">
        <v>0</v>
      </c>
      <c r="L56" s="14">
        <v>505.48</v>
      </c>
      <c r="M56" s="14">
        <v>597.34</v>
      </c>
      <c r="N56" s="14">
        <v>608.37</v>
      </c>
      <c r="O56" s="14">
        <v>606.22</v>
      </c>
      <c r="Q56" s="195" t="s">
        <v>54</v>
      </c>
      <c r="R56" s="196"/>
      <c r="S56" s="196"/>
      <c r="T56" s="196"/>
      <c r="U56" s="196"/>
      <c r="V56" s="196"/>
      <c r="W56" s="197"/>
      <c r="Y56" s="4" t="s">
        <v>89</v>
      </c>
      <c r="Z56" s="14">
        <v>47.62</v>
      </c>
      <c r="AA56" s="14">
        <v>63.66</v>
      </c>
      <c r="AB56" s="14">
        <v>126.88</v>
      </c>
      <c r="AC56" s="14">
        <v>185.84</v>
      </c>
      <c r="AD56" s="14">
        <v>215.4</v>
      </c>
      <c r="AE56" s="14"/>
      <c r="AG56" s="4" t="s">
        <v>97</v>
      </c>
      <c r="AH56" s="14">
        <v>163.52000000000001</v>
      </c>
      <c r="AI56" s="14">
        <v>164.22</v>
      </c>
      <c r="AJ56" s="14">
        <v>0</v>
      </c>
      <c r="AK56" s="14">
        <v>2.17</v>
      </c>
      <c r="AL56" s="14">
        <v>0</v>
      </c>
      <c r="AM56" s="14">
        <v>0</v>
      </c>
      <c r="AO56" s="191" t="s">
        <v>53</v>
      </c>
      <c r="AP56" s="191"/>
      <c r="AQ56" s="191"/>
      <c r="AR56" s="191"/>
      <c r="AS56" s="191"/>
      <c r="AT56" s="191"/>
      <c r="AU56" s="191"/>
    </row>
    <row r="57" spans="1:47" x14ac:dyDescent="0.3">
      <c r="A57" s="50" t="s">
        <v>61</v>
      </c>
      <c r="B57" s="51">
        <f t="shared" ref="B57:G57" si="76">B44+B56</f>
        <v>14195.500000000002</v>
      </c>
      <c r="C57" s="51">
        <f t="shared" si="76"/>
        <v>18782.099999999999</v>
      </c>
      <c r="D57" s="51">
        <f t="shared" si="76"/>
        <v>19322</v>
      </c>
      <c r="E57" s="51">
        <f t="shared" si="76"/>
        <v>22805.600000000002</v>
      </c>
      <c r="F57" s="51">
        <f t="shared" si="76"/>
        <v>26302.799999999996</v>
      </c>
      <c r="G57" s="51">
        <f t="shared" si="76"/>
        <v>31573.499999999996</v>
      </c>
      <c r="I57" s="4" t="s">
        <v>57</v>
      </c>
      <c r="J57" s="14">
        <v>23852.06</v>
      </c>
      <c r="K57" s="14">
        <v>25913.4</v>
      </c>
      <c r="L57" s="14">
        <v>4422.25</v>
      </c>
      <c r="M57" s="14">
        <v>4424.9399999999996</v>
      </c>
      <c r="N57" s="14">
        <v>4480.96</v>
      </c>
      <c r="O57" s="14">
        <v>5542.63</v>
      </c>
      <c r="Q57" s="4" t="s">
        <v>55</v>
      </c>
      <c r="R57" s="14">
        <v>109.75</v>
      </c>
      <c r="S57" s="14">
        <v>186.21</v>
      </c>
      <c r="T57" s="14">
        <v>183.92</v>
      </c>
      <c r="U57" s="14">
        <v>316.01</v>
      </c>
      <c r="V57" s="14">
        <v>502</v>
      </c>
      <c r="W57" s="14">
        <v>452</v>
      </c>
      <c r="Y57" s="4" t="s">
        <v>57</v>
      </c>
      <c r="Z57" s="14">
        <v>2538.37</v>
      </c>
      <c r="AA57" s="14">
        <v>2904.22</v>
      </c>
      <c r="AB57" s="14">
        <v>325.70999999999998</v>
      </c>
      <c r="AC57" s="14">
        <v>355.6</v>
      </c>
      <c r="AD57" s="14">
        <v>459.58</v>
      </c>
      <c r="AE57" s="14"/>
      <c r="AG57" s="4" t="s">
        <v>98</v>
      </c>
      <c r="AH57" s="14">
        <v>341.09</v>
      </c>
      <c r="AI57" s="14">
        <v>393.94</v>
      </c>
      <c r="AJ57" s="14">
        <v>0</v>
      </c>
      <c r="AK57" s="14">
        <v>0</v>
      </c>
      <c r="AL57" s="14">
        <v>0</v>
      </c>
      <c r="AM57" s="14">
        <v>0</v>
      </c>
      <c r="AO57" s="191" t="s">
        <v>46</v>
      </c>
      <c r="AP57" s="191"/>
      <c r="AQ57" s="191"/>
      <c r="AR57" s="191"/>
      <c r="AS57" s="191"/>
      <c r="AT57" s="191"/>
      <c r="AU57" s="191"/>
    </row>
    <row r="58" spans="1:47" x14ac:dyDescent="0.3">
      <c r="A58" s="50" t="s">
        <v>62</v>
      </c>
      <c r="B58" s="51">
        <f t="shared" ref="B58:G58" si="77">B35+B57</f>
        <v>63627.7</v>
      </c>
      <c r="C58" s="51">
        <f t="shared" si="77"/>
        <v>71282.7</v>
      </c>
      <c r="D58" s="51">
        <f t="shared" si="77"/>
        <v>74655.5</v>
      </c>
      <c r="E58" s="51">
        <f t="shared" si="77"/>
        <v>84596.900000000009</v>
      </c>
      <c r="F58" s="51">
        <f t="shared" si="77"/>
        <v>110284.79999999999</v>
      </c>
      <c r="G58" s="51">
        <f t="shared" si="77"/>
        <v>125620.2</v>
      </c>
      <c r="I58" s="4" t="s">
        <v>49</v>
      </c>
      <c r="J58" s="14">
        <v>1751.54</v>
      </c>
      <c r="K58" s="14">
        <v>1074.3399999999999</v>
      </c>
      <c r="L58" s="14">
        <v>968.19</v>
      </c>
      <c r="M58" s="14">
        <v>1189.48</v>
      </c>
      <c r="N58" s="14">
        <v>1123</v>
      </c>
      <c r="O58" s="14">
        <v>1313.8</v>
      </c>
      <c r="Q58" s="4" t="s">
        <v>56</v>
      </c>
      <c r="R58" s="14">
        <v>63517.13</v>
      </c>
      <c r="S58" s="14">
        <v>67993.63</v>
      </c>
      <c r="T58" s="14">
        <v>59786.46</v>
      </c>
      <c r="U58" s="14">
        <v>71739.759999999995</v>
      </c>
      <c r="V58" s="14">
        <v>87540</v>
      </c>
      <c r="W58" s="14">
        <v>93626</v>
      </c>
      <c r="Y58" s="4" t="s">
        <v>49</v>
      </c>
      <c r="Z58" s="14">
        <v>90.57</v>
      </c>
      <c r="AA58" s="14">
        <v>85.34</v>
      </c>
      <c r="AB58" s="14">
        <v>107.42</v>
      </c>
      <c r="AC58" s="14">
        <v>115.74</v>
      </c>
      <c r="AD58" s="14">
        <v>166.64</v>
      </c>
      <c r="AE58" s="14"/>
      <c r="AG58" s="50" t="s">
        <v>63</v>
      </c>
      <c r="AH58" s="51">
        <f>SUM(AH45:AH46,AH48:AH54,AH56:AH57)</f>
        <v>14601.780000000002</v>
      </c>
      <c r="AI58" s="51">
        <f t="shared" ref="AI58:AM58" si="78">SUM(AI45:AI46,AI48:AI54,AI56:AI57)</f>
        <v>16563.809999999998</v>
      </c>
      <c r="AJ58" s="51">
        <f t="shared" si="78"/>
        <v>468.82</v>
      </c>
      <c r="AK58" s="51">
        <f t="shared" si="78"/>
        <v>601.99</v>
      </c>
      <c r="AL58" s="51">
        <f t="shared" si="78"/>
        <v>800.96</v>
      </c>
      <c r="AM58" s="51">
        <f t="shared" si="78"/>
        <v>1581.8400000000001</v>
      </c>
      <c r="AO58" s="4" t="s">
        <v>47</v>
      </c>
      <c r="AP58" s="14">
        <v>3407.9</v>
      </c>
      <c r="AQ58" s="14">
        <v>1357.5</v>
      </c>
      <c r="AR58" s="14">
        <v>4260.2</v>
      </c>
      <c r="AS58" s="14">
        <v>5547.4</v>
      </c>
      <c r="AT58" s="14">
        <v>7370.7</v>
      </c>
      <c r="AU58" s="14"/>
    </row>
    <row r="59" spans="1:47" x14ac:dyDescent="0.3">
      <c r="B59" s="3"/>
      <c r="C59" s="3"/>
      <c r="D59" s="3"/>
      <c r="E59" s="3"/>
      <c r="F59" s="3"/>
      <c r="G59" s="3"/>
      <c r="I59" s="4" t="s">
        <v>58</v>
      </c>
      <c r="J59" s="14">
        <v>300.99</v>
      </c>
      <c r="K59" s="14">
        <v>438.82</v>
      </c>
      <c r="L59" s="14">
        <v>392.02</v>
      </c>
      <c r="M59" s="14">
        <v>615.99</v>
      </c>
      <c r="N59" s="14">
        <v>542.52</v>
      </c>
      <c r="O59" s="14">
        <v>719.68</v>
      </c>
      <c r="Q59" s="4" t="s">
        <v>79</v>
      </c>
      <c r="R59" s="14">
        <v>2771.33</v>
      </c>
      <c r="S59" s="14">
        <v>7860.31</v>
      </c>
      <c r="T59" s="14">
        <v>9779.9500000000007</v>
      </c>
      <c r="U59" s="14">
        <v>7195.99</v>
      </c>
      <c r="V59" s="14">
        <v>5936</v>
      </c>
      <c r="W59" s="14">
        <v>3290</v>
      </c>
      <c r="Y59" s="4" t="s">
        <v>58</v>
      </c>
      <c r="Z59" s="14">
        <v>0</v>
      </c>
      <c r="AA59" s="14">
        <v>0</v>
      </c>
      <c r="AB59" s="14">
        <v>0</v>
      </c>
      <c r="AC59" s="14">
        <v>16.05</v>
      </c>
      <c r="AD59" s="14">
        <v>34.58</v>
      </c>
      <c r="AE59" s="14"/>
      <c r="AG59" s="191" t="s">
        <v>53</v>
      </c>
      <c r="AH59" s="191"/>
      <c r="AI59" s="191"/>
      <c r="AJ59" s="191"/>
      <c r="AK59" s="191"/>
      <c r="AL59" s="191"/>
      <c r="AM59" s="191"/>
      <c r="AO59" s="4" t="s">
        <v>89</v>
      </c>
      <c r="AP59" s="14">
        <v>336.3</v>
      </c>
      <c r="AQ59" s="14">
        <v>324.2</v>
      </c>
      <c r="AR59" s="14">
        <v>361.8</v>
      </c>
      <c r="AS59" s="14">
        <v>421</v>
      </c>
      <c r="AT59" s="14">
        <v>645.9</v>
      </c>
      <c r="AU59" s="14"/>
    </row>
    <row r="60" spans="1:47" x14ac:dyDescent="0.3">
      <c r="B60" s="3">
        <f>B27-B56</f>
        <v>-2864.8000000000011</v>
      </c>
      <c r="C60" s="3"/>
      <c r="D60" s="3"/>
      <c r="E60" s="3"/>
      <c r="F60" s="3">
        <f>F27-F56</f>
        <v>-5166.2999999999956</v>
      </c>
      <c r="G60" s="3">
        <f>G27-G56</f>
        <v>-3468.4999999999964</v>
      </c>
      <c r="I60" s="4" t="s">
        <v>59</v>
      </c>
      <c r="J60" s="14">
        <v>2902.05</v>
      </c>
      <c r="K60" s="14">
        <v>3867.07</v>
      </c>
      <c r="L60" s="14">
        <v>4921.72</v>
      </c>
      <c r="M60" s="14">
        <v>6176.38</v>
      </c>
      <c r="N60" s="14">
        <v>7641.62</v>
      </c>
      <c r="O60" s="14">
        <v>9818.6200000000008</v>
      </c>
      <c r="Q60" s="4" t="s">
        <v>48</v>
      </c>
      <c r="R60" s="14">
        <v>814.18</v>
      </c>
      <c r="S60" s="14">
        <v>814</v>
      </c>
      <c r="T60" s="14">
        <v>809.55</v>
      </c>
      <c r="U60" s="14">
        <v>884.48</v>
      </c>
      <c r="V60" s="14">
        <v>1093</v>
      </c>
      <c r="W60" s="14">
        <v>1399</v>
      </c>
      <c r="Y60" s="4" t="s">
        <v>59</v>
      </c>
      <c r="Z60" s="14">
        <v>381.14</v>
      </c>
      <c r="AA60" s="14">
        <v>487.64</v>
      </c>
      <c r="AB60" s="14">
        <v>675.21</v>
      </c>
      <c r="AC60" s="14">
        <v>886.65</v>
      </c>
      <c r="AD60" s="14">
        <v>906.49</v>
      </c>
      <c r="AE60" s="14"/>
      <c r="AG60" s="191" t="s">
        <v>46</v>
      </c>
      <c r="AH60" s="191"/>
      <c r="AI60" s="191"/>
      <c r="AJ60" s="191"/>
      <c r="AK60" s="191"/>
      <c r="AL60" s="191"/>
      <c r="AM60" s="191"/>
      <c r="AO60" s="4" t="s">
        <v>111</v>
      </c>
      <c r="AP60" s="14">
        <v>10309.1</v>
      </c>
      <c r="AQ60" s="14">
        <v>11140.6</v>
      </c>
      <c r="AR60" s="14">
        <v>11360.3</v>
      </c>
      <c r="AS60" s="14">
        <v>14136.3</v>
      </c>
      <c r="AT60" s="14">
        <v>22617.200000000001</v>
      </c>
      <c r="AU60" s="14"/>
    </row>
    <row r="61" spans="1:47" x14ac:dyDescent="0.3">
      <c r="B61" s="3"/>
      <c r="C61" s="3"/>
      <c r="D61" s="3"/>
      <c r="E61" s="3"/>
      <c r="F61" s="3"/>
      <c r="G61" s="3"/>
      <c r="I61" s="50" t="s">
        <v>60</v>
      </c>
      <c r="J61" s="51">
        <f t="shared" ref="J61:O61" si="79">SUM(J52,J54:J60)</f>
        <v>54009.520000000004</v>
      </c>
      <c r="K61" s="51">
        <f t="shared" si="79"/>
        <v>51446.009999999995</v>
      </c>
      <c r="L61" s="51">
        <f t="shared" si="79"/>
        <v>56288.33</v>
      </c>
      <c r="M61" s="51">
        <f t="shared" si="79"/>
        <v>70579.41</v>
      </c>
      <c r="N61" s="51">
        <f t="shared" si="79"/>
        <v>75545.649999999994</v>
      </c>
      <c r="O61" s="51">
        <f t="shared" si="79"/>
        <v>90322.01</v>
      </c>
      <c r="Q61" s="4" t="s">
        <v>57</v>
      </c>
      <c r="R61" s="14">
        <v>36544</v>
      </c>
      <c r="S61" s="14">
        <v>34854.589999999997</v>
      </c>
      <c r="T61" s="14">
        <v>14420.24</v>
      </c>
      <c r="U61" s="14">
        <v>13828.58</v>
      </c>
      <c r="V61" s="14">
        <v>15385</v>
      </c>
      <c r="W61" s="14">
        <v>14318</v>
      </c>
      <c r="Y61" s="50" t="s">
        <v>60</v>
      </c>
      <c r="Z61" s="51">
        <f>SUM(Z52,Z54:Z60)</f>
        <v>10025.239999999998</v>
      </c>
      <c r="AA61" s="51">
        <f t="shared" ref="AA61" si="80">SUM(AA52,AA54:AA60)</f>
        <v>10908.71</v>
      </c>
      <c r="AB61" s="51">
        <f t="shared" ref="AB61" si="81">SUM(AB52,AB54:AB60)</f>
        <v>13851.719999999998</v>
      </c>
      <c r="AC61" s="51">
        <f t="shared" ref="AC61" si="82">SUM(AC52,AC54:AC60)</f>
        <v>19218.7</v>
      </c>
      <c r="AD61" s="51">
        <f t="shared" ref="AD61" si="83">SUM(AD52,AD54:AD60)</f>
        <v>21078.210000000003</v>
      </c>
      <c r="AE61" s="51">
        <f t="shared" ref="AE61" si="84">SUM(AE52,AE54:AE60)</f>
        <v>0</v>
      </c>
      <c r="AG61" s="4" t="s">
        <v>47</v>
      </c>
      <c r="AH61" s="14">
        <v>58.53</v>
      </c>
      <c r="AI61" s="14">
        <v>46.67</v>
      </c>
      <c r="AJ61" s="14">
        <v>126.87</v>
      </c>
      <c r="AK61" s="14">
        <v>138.09</v>
      </c>
      <c r="AL61" s="14">
        <v>475.42</v>
      </c>
      <c r="AM61" s="14">
        <v>618.1</v>
      </c>
      <c r="AO61" s="4" t="s">
        <v>57</v>
      </c>
      <c r="AP61" s="14">
        <v>3308.2</v>
      </c>
      <c r="AQ61" s="14">
        <v>4919.6000000000004</v>
      </c>
      <c r="AR61" s="14">
        <v>3317.9</v>
      </c>
      <c r="AS61" s="14">
        <v>4258</v>
      </c>
      <c r="AT61" s="14">
        <v>5333.1</v>
      </c>
      <c r="AU61" s="14"/>
    </row>
    <row r="62" spans="1:47" x14ac:dyDescent="0.3">
      <c r="B62" s="3"/>
      <c r="C62" s="3"/>
      <c r="D62" s="3"/>
      <c r="E62" s="3"/>
      <c r="F62" s="3"/>
      <c r="G62" s="3"/>
      <c r="I62" s="50" t="s">
        <v>61</v>
      </c>
      <c r="J62" s="51">
        <f t="shared" ref="J62:O62" si="85">J49+J61</f>
        <v>119345.61000000002</v>
      </c>
      <c r="K62" s="51">
        <f t="shared" si="85"/>
        <v>115810.26</v>
      </c>
      <c r="L62" s="51">
        <f t="shared" si="85"/>
        <v>117287.54</v>
      </c>
      <c r="M62" s="51">
        <f t="shared" si="85"/>
        <v>138809.66</v>
      </c>
      <c r="N62" s="51">
        <f t="shared" si="85"/>
        <v>158791.39000000001</v>
      </c>
      <c r="O62" s="51">
        <f t="shared" si="85"/>
        <v>188488.27000000002</v>
      </c>
      <c r="Q62" s="4" t="s">
        <v>49</v>
      </c>
      <c r="R62" s="14">
        <v>10329.040000000001</v>
      </c>
      <c r="S62" s="14">
        <v>12848.03</v>
      </c>
      <c r="T62" s="14">
        <v>10766.31</v>
      </c>
      <c r="U62" s="14">
        <v>11810.66</v>
      </c>
      <c r="V62" s="14">
        <v>12291</v>
      </c>
      <c r="W62" s="14">
        <v>15831</v>
      </c>
      <c r="Y62" s="50" t="s">
        <v>61</v>
      </c>
      <c r="Z62" s="51">
        <f>Z49+Z61</f>
        <v>15755.779999999999</v>
      </c>
      <c r="AA62" s="51">
        <f t="shared" ref="AA62" si="86">AA49+AA61</f>
        <v>17778.18</v>
      </c>
      <c r="AB62" s="51">
        <f t="shared" ref="AB62" si="87">AB49+AB61</f>
        <v>22019.07</v>
      </c>
      <c r="AC62" s="51">
        <f t="shared" ref="AC62" si="88">AC49+AC61</f>
        <v>29323.06</v>
      </c>
      <c r="AD62" s="51">
        <f t="shared" ref="AD62" si="89">AD49+AD61</f>
        <v>34709.350000000006</v>
      </c>
      <c r="AE62" s="51">
        <f t="shared" ref="AE62" si="90">AE49+AE61</f>
        <v>0</v>
      </c>
      <c r="AG62" s="191" t="s">
        <v>54</v>
      </c>
      <c r="AH62" s="191"/>
      <c r="AI62" s="191"/>
      <c r="AJ62" s="191"/>
      <c r="AK62" s="191"/>
      <c r="AL62" s="191"/>
      <c r="AM62" s="191"/>
      <c r="AO62" s="4" t="s">
        <v>49</v>
      </c>
      <c r="AP62" s="14">
        <v>207.7</v>
      </c>
      <c r="AQ62" s="14">
        <v>496.8</v>
      </c>
      <c r="AR62" s="14">
        <v>481.5</v>
      </c>
      <c r="AS62" s="14">
        <v>470.4</v>
      </c>
      <c r="AT62" s="14">
        <v>1043</v>
      </c>
      <c r="AU62" s="14"/>
    </row>
    <row r="63" spans="1:47" x14ac:dyDescent="0.3">
      <c r="B63" s="3"/>
      <c r="C63" s="3"/>
      <c r="D63" s="3"/>
      <c r="E63" s="3"/>
      <c r="F63" s="3"/>
      <c r="G63" s="3"/>
      <c r="I63" s="50" t="s">
        <v>62</v>
      </c>
      <c r="J63" s="51">
        <f t="shared" ref="J63:O63" si="91">J39+J62</f>
        <v>167006.66</v>
      </c>
      <c r="K63" s="51">
        <f t="shared" si="91"/>
        <v>166462.49</v>
      </c>
      <c r="L63" s="51">
        <f t="shared" si="91"/>
        <v>174112.8</v>
      </c>
      <c r="M63" s="51">
        <f t="shared" si="91"/>
        <v>205891.77000000002</v>
      </c>
      <c r="N63" s="51">
        <f t="shared" si="91"/>
        <v>236300.73</v>
      </c>
      <c r="O63" s="51">
        <f t="shared" si="91"/>
        <v>277586.27</v>
      </c>
      <c r="Q63" s="4" t="s">
        <v>58</v>
      </c>
      <c r="R63" s="14">
        <v>1040.1400000000001</v>
      </c>
      <c r="S63" s="14">
        <v>1086.44</v>
      </c>
      <c r="T63" s="14">
        <f>1253.85+3.12</f>
        <v>1256.9699999999998</v>
      </c>
      <c r="U63" s="14">
        <v>1254.19</v>
      </c>
      <c r="V63" s="14">
        <v>1527</v>
      </c>
      <c r="W63" s="14">
        <v>2146</v>
      </c>
      <c r="Y63" s="50" t="s">
        <v>62</v>
      </c>
      <c r="Z63" s="51">
        <f>Z40+Z62</f>
        <v>19358.82</v>
      </c>
      <c r="AA63" s="51">
        <f t="shared" ref="AA63" si="92">AA40+AA62</f>
        <v>21992.690000000002</v>
      </c>
      <c r="AB63" s="51">
        <f t="shared" ref="AB63" si="93">AB40+AB62</f>
        <v>27072.080000000002</v>
      </c>
      <c r="AC63" s="51">
        <f t="shared" ref="AC63" si="94">AC40+AC62</f>
        <v>35232.910000000003</v>
      </c>
      <c r="AD63" s="51">
        <f t="shared" ref="AD63" si="95">AD40+AD62</f>
        <v>42220.460000000006</v>
      </c>
      <c r="AE63" s="51">
        <f t="shared" ref="AE63" si="96">AE40+AE62</f>
        <v>0</v>
      </c>
      <c r="AG63" s="4" t="s">
        <v>55</v>
      </c>
      <c r="AH63" s="14">
        <v>132.78</v>
      </c>
      <c r="AI63" s="14">
        <v>287.45999999999998</v>
      </c>
      <c r="AJ63" s="14">
        <v>247.96</v>
      </c>
      <c r="AK63" s="14">
        <v>262.99</v>
      </c>
      <c r="AL63" s="14">
        <v>140.12</v>
      </c>
      <c r="AM63" s="14">
        <v>151.65</v>
      </c>
      <c r="AO63" s="4" t="s">
        <v>112</v>
      </c>
      <c r="AP63" s="14">
        <v>225.8</v>
      </c>
      <c r="AQ63" s="14">
        <v>201.4</v>
      </c>
      <c r="AR63" s="14">
        <v>228</v>
      </c>
      <c r="AS63" s="14">
        <v>257.3</v>
      </c>
      <c r="AT63" s="14">
        <v>414.2</v>
      </c>
      <c r="AU63" s="14"/>
    </row>
    <row r="64" spans="1:47" x14ac:dyDescent="0.3">
      <c r="B64" s="3"/>
      <c r="C64" s="3"/>
      <c r="D64" s="3"/>
      <c r="E64" s="3"/>
      <c r="F64" s="3"/>
      <c r="G64" s="3"/>
      <c r="Q64" s="4" t="s">
        <v>59</v>
      </c>
      <c r="R64" s="14">
        <v>8965.9500000000007</v>
      </c>
      <c r="S64" s="14">
        <v>10443.18</v>
      </c>
      <c r="T64" s="14">
        <v>11761.54</v>
      </c>
      <c r="U64" s="14">
        <v>11033</v>
      </c>
      <c r="V64" s="14">
        <v>12990</v>
      </c>
      <c r="W64" s="14">
        <v>13340</v>
      </c>
      <c r="Z64" s="3"/>
      <c r="AA64" s="3"/>
      <c r="AB64" s="3"/>
      <c r="AC64" s="3"/>
      <c r="AD64" s="3"/>
      <c r="AE64" s="3"/>
      <c r="AG64" s="4" t="s">
        <v>56</v>
      </c>
      <c r="AH64" s="14">
        <v>1472.79</v>
      </c>
      <c r="AI64" s="14">
        <v>2086.21</v>
      </c>
      <c r="AJ64" s="14">
        <v>1598.37</v>
      </c>
      <c r="AK64" s="14">
        <v>1592.62</v>
      </c>
      <c r="AL64" s="14">
        <v>2567.62</v>
      </c>
      <c r="AM64" s="14">
        <v>3193.31</v>
      </c>
      <c r="AO64" s="4" t="s">
        <v>113</v>
      </c>
      <c r="AP64" s="14">
        <v>35.700000000000003</v>
      </c>
      <c r="AQ64" s="14">
        <v>45.5</v>
      </c>
      <c r="AR64" s="14">
        <v>47.5</v>
      </c>
      <c r="AS64" s="14">
        <v>51.1</v>
      </c>
      <c r="AT64" s="14">
        <v>31.5</v>
      </c>
      <c r="AU64" s="14"/>
    </row>
    <row r="65" spans="2:47" x14ac:dyDescent="0.3">
      <c r="B65" s="3"/>
      <c r="C65" s="3"/>
      <c r="D65" s="3"/>
      <c r="E65" s="3"/>
      <c r="F65" s="3"/>
      <c r="G65" s="3"/>
      <c r="J65" s="70">
        <f>J31-J61</f>
        <v>10035.909999999996</v>
      </c>
      <c r="N65" s="70">
        <f>N31-N61</f>
        <v>22719.990000000005</v>
      </c>
      <c r="O65" s="70">
        <f>O31-O61</f>
        <v>36251.259999999995</v>
      </c>
      <c r="Q65" s="50" t="s">
        <v>60</v>
      </c>
      <c r="R65" s="51">
        <f t="shared" ref="R65:W65" si="97">SUM(R55,R57:R64)</f>
        <v>140454.05000000002</v>
      </c>
      <c r="S65" s="51">
        <f t="shared" si="97"/>
        <v>157749.18</v>
      </c>
      <c r="T65" s="51">
        <f t="shared" si="97"/>
        <v>150682.81000000003</v>
      </c>
      <c r="U65" s="51">
        <f t="shared" si="97"/>
        <v>155027.32999999999</v>
      </c>
      <c r="V65" s="51">
        <f t="shared" si="97"/>
        <v>173616</v>
      </c>
      <c r="W65" s="51">
        <f t="shared" si="97"/>
        <v>166684</v>
      </c>
      <c r="Z65" s="3">
        <f>Z32-Z61</f>
        <v>-286.23999999999796</v>
      </c>
      <c r="AA65" s="3">
        <f t="shared" ref="AA65:AD65" si="98">AA32-AA61</f>
        <v>-371.8700000000008</v>
      </c>
      <c r="AB65" s="3">
        <f t="shared" si="98"/>
        <v>-1003.649999999996</v>
      </c>
      <c r="AC65" s="3">
        <f t="shared" si="98"/>
        <v>-2194.4200000000019</v>
      </c>
      <c r="AD65" s="3">
        <f t="shared" si="98"/>
        <v>441.79999999999927</v>
      </c>
      <c r="AE65" s="3"/>
      <c r="AG65" s="4" t="s">
        <v>89</v>
      </c>
      <c r="AH65" s="14">
        <v>24.29</v>
      </c>
      <c r="AI65" s="14">
        <v>29.11</v>
      </c>
      <c r="AJ65" s="14">
        <v>9.01</v>
      </c>
      <c r="AK65" s="14">
        <v>9.9</v>
      </c>
      <c r="AL65" s="14">
        <v>13.47</v>
      </c>
      <c r="AM65" s="14">
        <v>14.32</v>
      </c>
      <c r="AO65" s="4" t="s">
        <v>58</v>
      </c>
      <c r="AP65" s="14">
        <v>362.3</v>
      </c>
      <c r="AQ65" s="14">
        <v>334.2</v>
      </c>
      <c r="AR65" s="14">
        <v>390.1</v>
      </c>
      <c r="AS65" s="14">
        <v>346.3</v>
      </c>
      <c r="AT65" s="14">
        <v>551.20000000000005</v>
      </c>
      <c r="AU65" s="14"/>
    </row>
    <row r="66" spans="2:47" x14ac:dyDescent="0.3">
      <c r="B66" s="3"/>
      <c r="C66" s="3"/>
      <c r="D66" s="3"/>
      <c r="E66" s="3"/>
      <c r="F66" s="3"/>
      <c r="G66" s="3"/>
      <c r="Q66" s="50" t="s">
        <v>61</v>
      </c>
      <c r="R66" s="51">
        <f t="shared" ref="R66:W66" si="99">R52+R65</f>
        <v>258229.17</v>
      </c>
      <c r="S66" s="51">
        <f t="shared" si="99"/>
        <v>286305.57</v>
      </c>
      <c r="T66" s="51">
        <f t="shared" si="99"/>
        <v>281787.63</v>
      </c>
      <c r="U66" s="51">
        <f t="shared" si="99"/>
        <v>283481.87</v>
      </c>
      <c r="V66" s="51">
        <f t="shared" si="99"/>
        <v>277570</v>
      </c>
      <c r="W66" s="51">
        <f t="shared" si="99"/>
        <v>255888</v>
      </c>
      <c r="Z66" s="3"/>
      <c r="AA66" s="3"/>
      <c r="AB66" s="3"/>
      <c r="AC66" s="3"/>
      <c r="AD66" s="3"/>
      <c r="AE66" s="3"/>
      <c r="AG66" s="4" t="s">
        <v>57</v>
      </c>
      <c r="AH66" s="14">
        <v>360.24</v>
      </c>
      <c r="AI66" s="14">
        <v>347.92</v>
      </c>
      <c r="AJ66" s="14">
        <v>303.52999999999997</v>
      </c>
      <c r="AK66" s="14">
        <v>395.57</v>
      </c>
      <c r="AL66" s="14">
        <v>654.87</v>
      </c>
      <c r="AM66" s="14">
        <v>993.68</v>
      </c>
      <c r="AO66" s="4" t="s">
        <v>59</v>
      </c>
      <c r="AP66" s="14">
        <v>1377.8</v>
      </c>
      <c r="AQ66" s="14">
        <v>1474.5</v>
      </c>
      <c r="AR66" s="14">
        <v>1838</v>
      </c>
      <c r="AS66" s="14">
        <v>2027.6</v>
      </c>
      <c r="AT66" s="14">
        <v>3713.6</v>
      </c>
      <c r="AU66" s="14"/>
    </row>
    <row r="67" spans="2:47" x14ac:dyDescent="0.3">
      <c r="B67" s="3"/>
      <c r="C67" s="3"/>
      <c r="D67" s="3"/>
      <c r="E67" s="3"/>
      <c r="F67" s="3"/>
      <c r="G67" s="3"/>
      <c r="Q67" s="50" t="s">
        <v>62</v>
      </c>
      <c r="R67" s="51">
        <f t="shared" ref="R67:W67" si="100">R42+R66</f>
        <v>322121.26</v>
      </c>
      <c r="S67" s="51">
        <f t="shared" si="100"/>
        <v>343125.78</v>
      </c>
      <c r="T67" s="51">
        <f t="shared" si="100"/>
        <v>330619.93</v>
      </c>
      <c r="U67" s="51">
        <f t="shared" si="100"/>
        <v>336081.38</v>
      </c>
      <c r="V67" s="51">
        <f t="shared" si="100"/>
        <v>370664</v>
      </c>
      <c r="W67" s="51">
        <f t="shared" si="100"/>
        <v>378642</v>
      </c>
      <c r="Z67" s="3"/>
      <c r="AA67" s="3"/>
      <c r="AB67" s="3"/>
      <c r="AC67" s="3"/>
      <c r="AD67" s="3"/>
      <c r="AE67" s="3"/>
      <c r="AG67" s="4" t="s">
        <v>49</v>
      </c>
      <c r="AH67" s="14">
        <v>306.77</v>
      </c>
      <c r="AI67" s="14">
        <v>280.60000000000002</v>
      </c>
      <c r="AJ67" s="14">
        <v>268.64</v>
      </c>
      <c r="AK67" s="14">
        <v>288.20999999999998</v>
      </c>
      <c r="AL67" s="14">
        <v>323.27</v>
      </c>
      <c r="AM67" s="14">
        <v>399</v>
      </c>
      <c r="AO67" s="50" t="s">
        <v>99</v>
      </c>
      <c r="AP67" s="51">
        <f>SUM(AP58:AP66)</f>
        <v>19570.8</v>
      </c>
      <c r="AQ67" s="51">
        <f t="shared" ref="AQ67:AU67" si="101">SUM(AQ58:AQ66)</f>
        <v>20294.300000000003</v>
      </c>
      <c r="AR67" s="51">
        <f t="shared" si="101"/>
        <v>22285.3</v>
      </c>
      <c r="AS67" s="51">
        <f t="shared" si="101"/>
        <v>27515.399999999994</v>
      </c>
      <c r="AT67" s="51">
        <f t="shared" si="101"/>
        <v>41720.399999999994</v>
      </c>
      <c r="AU67" s="51">
        <f t="shared" si="101"/>
        <v>0</v>
      </c>
    </row>
    <row r="68" spans="2:47" x14ac:dyDescent="0.3">
      <c r="B68" s="3"/>
      <c r="C68" s="3"/>
      <c r="D68" s="3"/>
      <c r="E68" s="3"/>
      <c r="F68" s="3"/>
      <c r="G68" s="3"/>
      <c r="R68" s="3"/>
      <c r="S68" s="3"/>
      <c r="T68" s="3"/>
      <c r="U68" s="3"/>
      <c r="V68" s="3"/>
      <c r="W68" s="3"/>
      <c r="Z68" s="3"/>
      <c r="AA68" s="3"/>
      <c r="AB68" s="3"/>
      <c r="AC68" s="3"/>
      <c r="AD68" s="3"/>
      <c r="AE68" s="3"/>
      <c r="AG68" s="4" t="s">
        <v>58</v>
      </c>
      <c r="AH68" s="14">
        <v>0.63</v>
      </c>
      <c r="AI68" s="14">
        <v>1.1000000000000001</v>
      </c>
      <c r="AJ68" s="14">
        <v>0</v>
      </c>
      <c r="AK68" s="14">
        <v>1.54</v>
      </c>
      <c r="AL68" s="14">
        <v>2.3199999999999998</v>
      </c>
      <c r="AM68" s="14">
        <v>3.66</v>
      </c>
      <c r="AO68" s="4" t="s">
        <v>114</v>
      </c>
      <c r="AP68" s="14">
        <v>0</v>
      </c>
      <c r="AQ68" s="14">
        <v>835.3</v>
      </c>
      <c r="AR68" s="14">
        <v>0</v>
      </c>
      <c r="AS68" s="14">
        <v>0</v>
      </c>
      <c r="AT68" s="14"/>
      <c r="AU68" s="14"/>
    </row>
    <row r="69" spans="2:47" x14ac:dyDescent="0.3">
      <c r="B69" s="3"/>
      <c r="C69" s="3"/>
      <c r="D69" s="3"/>
      <c r="E69" s="3"/>
      <c r="F69" s="3"/>
      <c r="G69" s="3"/>
      <c r="R69" s="3">
        <f>R34-R65</f>
        <v>-20867.320000000022</v>
      </c>
      <c r="S69" s="3"/>
      <c r="T69" s="3"/>
      <c r="U69" s="3"/>
      <c r="V69" s="3">
        <f>V34-V65</f>
        <v>-5224</v>
      </c>
      <c r="W69" s="3">
        <f>W34-W65</f>
        <v>-6359</v>
      </c>
      <c r="Z69" s="3"/>
      <c r="AA69" s="3"/>
      <c r="AB69" s="3"/>
      <c r="AC69" s="3"/>
      <c r="AD69" s="3"/>
      <c r="AE69" s="3"/>
      <c r="AG69" s="4" t="s">
        <v>59</v>
      </c>
      <c r="AH69" s="14">
        <v>185.56</v>
      </c>
      <c r="AI69" s="14">
        <v>224.99</v>
      </c>
      <c r="AJ69" s="14">
        <v>263.45999999999998</v>
      </c>
      <c r="AK69" s="14">
        <v>335.47</v>
      </c>
      <c r="AL69" s="14">
        <v>270.47000000000003</v>
      </c>
      <c r="AM69" s="14">
        <v>506.65</v>
      </c>
      <c r="AO69" s="50" t="s">
        <v>100</v>
      </c>
      <c r="AP69" s="51">
        <f>AP55+AP67+AP68</f>
        <v>30669.9</v>
      </c>
      <c r="AQ69" s="51">
        <f t="shared" ref="AQ69:AU69" si="102">AQ55+AQ67+AQ68</f>
        <v>31501.100000000002</v>
      </c>
      <c r="AR69" s="51">
        <f t="shared" si="102"/>
        <v>33905.5</v>
      </c>
      <c r="AS69" s="51">
        <f t="shared" si="102"/>
        <v>37474.799999999996</v>
      </c>
      <c r="AT69" s="51">
        <f t="shared" si="102"/>
        <v>56806.2</v>
      </c>
      <c r="AU69" s="51">
        <f t="shared" si="102"/>
        <v>0</v>
      </c>
    </row>
    <row r="70" spans="2:47" x14ac:dyDescent="0.3">
      <c r="B70" s="3"/>
      <c r="C70" s="3"/>
      <c r="D70" s="3"/>
      <c r="E70" s="3"/>
      <c r="F70" s="3"/>
      <c r="G70" s="3"/>
      <c r="R70" s="3"/>
      <c r="S70" s="3"/>
      <c r="T70" s="3"/>
      <c r="U70" s="3"/>
      <c r="V70" s="3"/>
      <c r="W70" s="3"/>
      <c r="Z70" s="3"/>
      <c r="AA70" s="3"/>
      <c r="AB70" s="3"/>
      <c r="AC70" s="3"/>
      <c r="AD70" s="3"/>
      <c r="AE70" s="3"/>
      <c r="AG70" s="4" t="s">
        <v>95</v>
      </c>
      <c r="AH70" s="14">
        <v>605.39</v>
      </c>
      <c r="AI70" s="14">
        <v>1361.08</v>
      </c>
      <c r="AJ70" s="14">
        <v>0</v>
      </c>
      <c r="AK70" s="14">
        <v>0</v>
      </c>
      <c r="AL70" s="14">
        <v>0</v>
      </c>
      <c r="AM70" s="14">
        <v>0</v>
      </c>
      <c r="AO70" s="50" t="s">
        <v>62</v>
      </c>
      <c r="AP70" s="51">
        <f>AP69+AP43</f>
        <v>45495.8</v>
      </c>
      <c r="AQ70" s="51">
        <f t="shared" ref="AQ70:AU70" si="103">AQ69+AQ43</f>
        <v>48085</v>
      </c>
      <c r="AR70" s="51">
        <f t="shared" si="103"/>
        <v>56270.1</v>
      </c>
      <c r="AS70" s="51">
        <f t="shared" si="103"/>
        <v>61851.7</v>
      </c>
      <c r="AT70" s="51">
        <f t="shared" si="103"/>
        <v>85021.7</v>
      </c>
      <c r="AU70" s="51">
        <f t="shared" si="103"/>
        <v>0</v>
      </c>
    </row>
    <row r="71" spans="2:47" x14ac:dyDescent="0.3">
      <c r="B71" s="3"/>
      <c r="C71" s="3"/>
      <c r="D71" s="3"/>
      <c r="E71" s="3"/>
      <c r="F71" s="3"/>
      <c r="G71" s="3"/>
      <c r="R71" s="3"/>
      <c r="S71" s="3"/>
      <c r="T71" s="3"/>
      <c r="U71" s="3"/>
      <c r="V71" s="3"/>
      <c r="W71" s="3"/>
      <c r="Z71" s="3"/>
      <c r="AA71" s="3"/>
      <c r="AB71" s="3"/>
      <c r="AC71" s="3"/>
      <c r="AD71" s="3"/>
      <c r="AE71" s="3"/>
      <c r="AG71" s="4" t="s">
        <v>96</v>
      </c>
      <c r="AH71" s="14">
        <v>104.57</v>
      </c>
      <c r="AI71" s="14">
        <v>139.66999999999999</v>
      </c>
      <c r="AJ71" s="14">
        <v>0</v>
      </c>
      <c r="AK71" s="14">
        <v>0</v>
      </c>
      <c r="AL71" s="14">
        <v>0</v>
      </c>
      <c r="AM71" s="14">
        <v>0</v>
      </c>
      <c r="AP71" s="3"/>
      <c r="AQ71" s="3"/>
      <c r="AR71" s="3"/>
      <c r="AS71" s="3"/>
      <c r="AT71" s="3"/>
      <c r="AU71" s="3"/>
    </row>
    <row r="72" spans="2:47" x14ac:dyDescent="0.3">
      <c r="B72" s="3"/>
      <c r="C72" s="3"/>
      <c r="D72" s="3"/>
      <c r="E72" s="3"/>
      <c r="F72" s="3"/>
      <c r="G72" s="3"/>
      <c r="R72" s="3"/>
      <c r="S72" s="3"/>
      <c r="T72" s="3"/>
      <c r="U72" s="3"/>
      <c r="V72" s="3"/>
      <c r="W72" s="3"/>
      <c r="Z72" s="3"/>
      <c r="AA72" s="3"/>
      <c r="AB72" s="3"/>
      <c r="AC72" s="3"/>
      <c r="AD72" s="3"/>
      <c r="AE72" s="3"/>
      <c r="AG72" s="50" t="s">
        <v>99</v>
      </c>
      <c r="AH72" s="51">
        <f>SUM(AH61,AH63:AH71)</f>
        <v>3251.55</v>
      </c>
      <c r="AI72" s="51">
        <f t="shared" ref="AI72:AM72" si="104">SUM(AI61,AI63:AI71)</f>
        <v>4804.8100000000004</v>
      </c>
      <c r="AJ72" s="51">
        <f t="shared" si="104"/>
        <v>2817.8399999999997</v>
      </c>
      <c r="AK72" s="51">
        <f t="shared" si="104"/>
        <v>3024.3900000000003</v>
      </c>
      <c r="AL72" s="51">
        <f t="shared" si="104"/>
        <v>4447.5599999999995</v>
      </c>
      <c r="AM72" s="51">
        <f t="shared" si="104"/>
        <v>5880.37</v>
      </c>
      <c r="AO72" s="2" t="s">
        <v>518</v>
      </c>
      <c r="AP72" s="3">
        <f>AP32-AP67</f>
        <v>-105.40000000000146</v>
      </c>
      <c r="AQ72" s="3">
        <f t="shared" ref="AQ72:AT72" si="105">AQ32-AQ67</f>
        <v>-45.80000000000291</v>
      </c>
      <c r="AR72" s="3">
        <f t="shared" si="105"/>
        <v>330.89999999999782</v>
      </c>
      <c r="AS72" s="3">
        <f t="shared" si="105"/>
        <v>-736.19999999999709</v>
      </c>
      <c r="AT72" s="3">
        <f t="shared" si="105"/>
        <v>-1448.1999999999971</v>
      </c>
      <c r="AU72" s="3"/>
    </row>
    <row r="73" spans="2:47" x14ac:dyDescent="0.3">
      <c r="B73" s="3"/>
      <c r="C73" s="3"/>
      <c r="D73" s="3"/>
      <c r="E73" s="3"/>
      <c r="F73" s="3"/>
      <c r="G73" s="3"/>
      <c r="R73" s="3"/>
      <c r="S73" s="3"/>
      <c r="T73" s="3"/>
      <c r="U73" s="3"/>
      <c r="V73" s="3"/>
      <c r="W73" s="3"/>
      <c r="Z73" s="3"/>
      <c r="AA73" s="3"/>
      <c r="AB73" s="3"/>
      <c r="AC73" s="3"/>
      <c r="AD73" s="3"/>
      <c r="AE73" s="3"/>
      <c r="AG73" s="50" t="s">
        <v>100</v>
      </c>
      <c r="AH73" s="51">
        <f>AH58+AH72</f>
        <v>17853.330000000002</v>
      </c>
      <c r="AI73" s="51">
        <f t="shared" ref="AI73:AM73" si="106">AI58+AI72</f>
        <v>21368.62</v>
      </c>
      <c r="AJ73" s="51">
        <f t="shared" si="106"/>
        <v>3286.66</v>
      </c>
      <c r="AK73" s="51">
        <f t="shared" si="106"/>
        <v>3626.38</v>
      </c>
      <c r="AL73" s="51">
        <f t="shared" si="106"/>
        <v>5248.5199999999995</v>
      </c>
      <c r="AM73" s="51">
        <f t="shared" si="106"/>
        <v>7462.21</v>
      </c>
      <c r="AP73" s="3"/>
      <c r="AQ73" s="3"/>
      <c r="AR73" s="3"/>
      <c r="AS73" s="3"/>
      <c r="AT73" s="3"/>
      <c r="AU73" s="3"/>
    </row>
    <row r="74" spans="2:47" x14ac:dyDescent="0.3">
      <c r="B74" s="3"/>
      <c r="C74" s="3"/>
      <c r="D74" s="3"/>
      <c r="E74" s="3"/>
      <c r="F74" s="3"/>
      <c r="G74" s="3"/>
      <c r="R74" s="3"/>
      <c r="S74" s="3"/>
      <c r="T74" s="3"/>
      <c r="U74" s="3"/>
      <c r="V74" s="3"/>
      <c r="W74" s="3"/>
      <c r="Z74" s="3"/>
      <c r="AA74" s="3"/>
      <c r="AB74" s="3"/>
      <c r="AC74" s="3"/>
      <c r="AD74" s="3"/>
      <c r="AE74" s="3"/>
      <c r="AG74" s="50" t="s">
        <v>62</v>
      </c>
      <c r="AH74" s="51">
        <f>AH73+AH41</f>
        <v>24367.59</v>
      </c>
      <c r="AI74" s="51">
        <f t="shared" ref="AI74:AM74" si="107">AI73+AI41</f>
        <v>28687.11</v>
      </c>
      <c r="AJ74" s="51">
        <f t="shared" si="107"/>
        <v>13910.609999999999</v>
      </c>
      <c r="AK74" s="51">
        <f t="shared" si="107"/>
        <v>14767.68</v>
      </c>
      <c r="AL74" s="51">
        <f t="shared" si="107"/>
        <v>18150.02</v>
      </c>
      <c r="AM74" s="51">
        <f t="shared" si="107"/>
        <v>21396.329999999998</v>
      </c>
      <c r="AP74" s="3"/>
      <c r="AQ74" s="3"/>
      <c r="AR74" s="3"/>
      <c r="AS74" s="3"/>
      <c r="AT74" s="3"/>
      <c r="AU74" s="3"/>
    </row>
    <row r="75" spans="2:47" x14ac:dyDescent="0.3">
      <c r="B75" s="3"/>
      <c r="C75" s="3"/>
      <c r="D75" s="3"/>
      <c r="E75" s="3"/>
      <c r="F75" s="3"/>
      <c r="G75" s="3"/>
      <c r="R75" s="3"/>
      <c r="S75" s="3"/>
      <c r="T75" s="3"/>
      <c r="U75" s="3"/>
      <c r="V75" s="3"/>
      <c r="W75" s="3"/>
      <c r="Z75" s="3"/>
      <c r="AA75" s="3"/>
      <c r="AB75" s="3"/>
      <c r="AC75" s="3"/>
      <c r="AD75" s="3"/>
      <c r="AE75" s="3"/>
      <c r="AH75" s="3"/>
      <c r="AI75" s="3"/>
      <c r="AJ75" s="3"/>
      <c r="AK75" s="3"/>
      <c r="AL75" s="3"/>
      <c r="AM75" s="3"/>
      <c r="AP75" s="3"/>
      <c r="AQ75" s="3"/>
      <c r="AR75" s="3"/>
      <c r="AS75" s="3"/>
      <c r="AT75" s="3"/>
      <c r="AU75" s="3"/>
    </row>
    <row r="76" spans="2:47" x14ac:dyDescent="0.3">
      <c r="B76" s="3"/>
      <c r="C76" s="3"/>
      <c r="D76" s="3"/>
      <c r="E76" s="3"/>
      <c r="F76" s="3"/>
      <c r="G76" s="3"/>
      <c r="R76" s="3"/>
      <c r="S76" s="3"/>
      <c r="T76" s="3"/>
      <c r="U76" s="3"/>
      <c r="V76" s="3"/>
      <c r="W76" s="3"/>
      <c r="Z76" s="3"/>
      <c r="AA76" s="3"/>
      <c r="AB76" s="3"/>
      <c r="AC76" s="3"/>
      <c r="AD76" s="3"/>
      <c r="AE76" s="3"/>
      <c r="AG76" s="2" t="s">
        <v>517</v>
      </c>
      <c r="AH76" s="3">
        <f>AH33-AH72</f>
        <v>2158.3999999999996</v>
      </c>
      <c r="AI76" s="3">
        <f t="shared" ref="AI76:AM76" si="108">AI33-AI72</f>
        <v>1451.12</v>
      </c>
      <c r="AJ76" s="3">
        <f t="shared" si="108"/>
        <v>2303.4100000000003</v>
      </c>
      <c r="AK76" s="3">
        <f t="shared" si="108"/>
        <v>2666.5999999999985</v>
      </c>
      <c r="AL76" s="3">
        <f t="shared" si="108"/>
        <v>1803.9600000000009</v>
      </c>
      <c r="AM76" s="3">
        <f t="shared" si="108"/>
        <v>1323.6800000000003</v>
      </c>
      <c r="AP76" s="3"/>
      <c r="AQ76" s="3"/>
      <c r="AR76" s="3"/>
      <c r="AS76" s="3"/>
      <c r="AT76" s="3"/>
      <c r="AU76" s="3"/>
    </row>
    <row r="77" spans="2:47" x14ac:dyDescent="0.3">
      <c r="B77" s="3"/>
      <c r="C77" s="3"/>
      <c r="D77" s="3"/>
      <c r="E77" s="3"/>
      <c r="F77" s="3"/>
      <c r="G77" s="3"/>
      <c r="R77" s="3"/>
      <c r="S77" s="3"/>
      <c r="T77" s="3"/>
      <c r="U77" s="3"/>
      <c r="V77" s="3"/>
      <c r="W77" s="3"/>
      <c r="Z77" s="3"/>
      <c r="AA77" s="3"/>
      <c r="AB77" s="3"/>
      <c r="AC77" s="3"/>
      <c r="AD77" s="3"/>
      <c r="AE77" s="3"/>
      <c r="AH77" s="3"/>
      <c r="AI77" s="3"/>
      <c r="AJ77" s="3"/>
      <c r="AK77" s="3"/>
      <c r="AL77" s="3"/>
      <c r="AM77" s="3"/>
      <c r="AP77" s="3"/>
      <c r="AQ77" s="3"/>
      <c r="AR77" s="3"/>
      <c r="AS77" s="3"/>
      <c r="AT77" s="3"/>
      <c r="AU77" s="3"/>
    </row>
    <row r="78" spans="2:47" x14ac:dyDescent="0.3">
      <c r="B78" s="3"/>
      <c r="C78" s="3"/>
      <c r="D78" s="3"/>
      <c r="E78" s="3"/>
      <c r="F78" s="3"/>
      <c r="G78" s="3"/>
      <c r="R78" s="3"/>
      <c r="S78" s="3"/>
      <c r="T78" s="3"/>
      <c r="U78" s="3"/>
      <c r="V78" s="3"/>
      <c r="W78" s="3"/>
      <c r="Z78" s="3"/>
      <c r="AA78" s="3"/>
      <c r="AB78" s="3"/>
      <c r="AC78" s="3"/>
      <c r="AD78" s="3"/>
      <c r="AE78" s="3"/>
      <c r="AH78" s="3"/>
      <c r="AI78" s="3"/>
      <c r="AJ78" s="3"/>
      <c r="AK78" s="3"/>
      <c r="AL78" s="3"/>
      <c r="AM78" s="3"/>
      <c r="AP78" s="3"/>
      <c r="AQ78" s="3"/>
      <c r="AR78" s="3"/>
      <c r="AS78" s="3"/>
      <c r="AT78" s="3"/>
      <c r="AU78" s="3"/>
    </row>
    <row r="79" spans="2:47" x14ac:dyDescent="0.3">
      <c r="B79" s="3"/>
      <c r="C79" s="3"/>
      <c r="D79" s="3"/>
      <c r="E79" s="3"/>
      <c r="F79" s="3"/>
      <c r="G79" s="3"/>
      <c r="R79" s="3"/>
      <c r="S79" s="3"/>
      <c r="T79" s="3"/>
      <c r="U79" s="3"/>
      <c r="V79" s="3"/>
      <c r="W79" s="3"/>
      <c r="Z79" s="3"/>
      <c r="AA79" s="3"/>
      <c r="AB79" s="3"/>
      <c r="AC79" s="3"/>
      <c r="AD79" s="3"/>
      <c r="AE79" s="3"/>
      <c r="AH79" s="3"/>
      <c r="AI79" s="3"/>
      <c r="AJ79" s="3"/>
      <c r="AK79" s="3"/>
      <c r="AL79" s="3"/>
      <c r="AM79" s="3"/>
      <c r="AP79" s="3"/>
      <c r="AQ79" s="3"/>
      <c r="AR79" s="3"/>
      <c r="AS79" s="3"/>
      <c r="AT79" s="3"/>
      <c r="AU79" s="3"/>
    </row>
    <row r="80" spans="2:47" x14ac:dyDescent="0.3">
      <c r="B80" s="3"/>
      <c r="C80" s="3"/>
      <c r="D80" s="3"/>
      <c r="E80" s="3"/>
      <c r="F80" s="3"/>
      <c r="G80" s="3"/>
      <c r="R80" s="3"/>
      <c r="S80" s="3"/>
      <c r="T80" s="3"/>
      <c r="U80" s="3"/>
      <c r="V80" s="3"/>
      <c r="W80" s="3"/>
      <c r="Z80" s="3"/>
      <c r="AA80" s="3"/>
      <c r="AB80" s="3"/>
      <c r="AC80" s="3"/>
      <c r="AD80" s="3"/>
      <c r="AE80" s="3"/>
      <c r="AH80" s="3"/>
      <c r="AI80" s="3"/>
      <c r="AJ80" s="3"/>
      <c r="AK80" s="3"/>
      <c r="AL80" s="3"/>
      <c r="AM80" s="3"/>
      <c r="AP80" s="3"/>
      <c r="AQ80" s="3"/>
      <c r="AR80" s="3"/>
      <c r="AS80" s="3"/>
      <c r="AT80" s="3"/>
      <c r="AU80" s="3"/>
    </row>
    <row r="81" spans="2:47" x14ac:dyDescent="0.3">
      <c r="B81" s="3"/>
      <c r="C81" s="3"/>
      <c r="D81" s="3"/>
      <c r="E81" s="3"/>
      <c r="F81" s="3"/>
      <c r="G81" s="3"/>
      <c r="R81" s="3"/>
      <c r="S81" s="3"/>
      <c r="T81" s="3"/>
      <c r="U81" s="3"/>
      <c r="V81" s="3"/>
      <c r="W81" s="3"/>
      <c r="Z81" s="3"/>
      <c r="AA81" s="3"/>
      <c r="AB81" s="3"/>
      <c r="AC81" s="3"/>
      <c r="AD81" s="3"/>
      <c r="AE81" s="3"/>
      <c r="AH81" s="3"/>
      <c r="AI81" s="3"/>
      <c r="AJ81" s="3"/>
      <c r="AK81" s="3"/>
      <c r="AL81" s="3"/>
      <c r="AM81" s="3"/>
      <c r="AP81" s="3"/>
      <c r="AQ81" s="3"/>
      <c r="AR81" s="3"/>
      <c r="AS81" s="3"/>
      <c r="AT81" s="3"/>
      <c r="AU81" s="3"/>
    </row>
    <row r="82" spans="2:47" x14ac:dyDescent="0.3">
      <c r="B82" s="3"/>
      <c r="C82" s="3"/>
      <c r="D82" s="3"/>
      <c r="E82" s="3"/>
      <c r="F82" s="3"/>
      <c r="G82" s="3"/>
      <c r="R82" s="3"/>
      <c r="S82" s="3"/>
      <c r="T82" s="3"/>
      <c r="U82" s="3"/>
      <c r="V82" s="3"/>
      <c r="W82" s="3"/>
      <c r="Z82" s="3"/>
      <c r="AA82" s="3"/>
      <c r="AB82" s="3"/>
      <c r="AC82" s="3"/>
      <c r="AD82" s="3"/>
      <c r="AE82" s="3"/>
      <c r="AH82" s="3"/>
      <c r="AI82" s="3"/>
      <c r="AJ82" s="3"/>
      <c r="AK82" s="3"/>
      <c r="AL82" s="3"/>
      <c r="AM82" s="3"/>
      <c r="AP82" s="3"/>
      <c r="AQ82" s="3"/>
      <c r="AR82" s="3"/>
      <c r="AS82" s="3"/>
      <c r="AT82" s="3"/>
      <c r="AU82" s="3"/>
    </row>
    <row r="83" spans="2:47" x14ac:dyDescent="0.3">
      <c r="B83" s="3"/>
      <c r="C83" s="3"/>
      <c r="D83" s="3"/>
      <c r="E83" s="3"/>
      <c r="F83" s="3"/>
      <c r="G83" s="3"/>
      <c r="R83" s="3"/>
      <c r="S83" s="3"/>
      <c r="T83" s="3"/>
      <c r="U83" s="3"/>
      <c r="V83" s="3"/>
      <c r="W83" s="3"/>
      <c r="Z83" s="3"/>
      <c r="AA83" s="3"/>
      <c r="AB83" s="3"/>
      <c r="AC83" s="3"/>
      <c r="AD83" s="3"/>
      <c r="AE83" s="3"/>
      <c r="AH83" s="3"/>
      <c r="AI83" s="3"/>
      <c r="AJ83" s="3"/>
      <c r="AK83" s="3"/>
      <c r="AL83" s="3"/>
      <c r="AM83" s="3"/>
      <c r="AP83" s="3"/>
      <c r="AQ83" s="3"/>
      <c r="AR83" s="3"/>
      <c r="AS83" s="3"/>
      <c r="AT83" s="3"/>
      <c r="AU83" s="3"/>
    </row>
    <row r="84" spans="2:47" x14ac:dyDescent="0.3">
      <c r="B84" s="3"/>
      <c r="C84" s="3"/>
      <c r="D84" s="3"/>
      <c r="E84" s="3"/>
      <c r="F84" s="3"/>
      <c r="G84" s="3"/>
      <c r="R84" s="3"/>
      <c r="S84" s="3"/>
      <c r="T84" s="3"/>
      <c r="U84" s="3"/>
      <c r="V84" s="3"/>
      <c r="W84" s="3"/>
      <c r="Z84" s="3"/>
      <c r="AA84" s="3"/>
      <c r="AB84" s="3"/>
      <c r="AC84" s="3"/>
      <c r="AD84" s="3"/>
      <c r="AE84" s="3"/>
      <c r="AH84" s="3"/>
      <c r="AI84" s="3"/>
      <c r="AJ84" s="3"/>
      <c r="AK84" s="3"/>
      <c r="AL84" s="3"/>
      <c r="AM84" s="3"/>
      <c r="AP84" s="3"/>
      <c r="AQ84" s="3"/>
      <c r="AR84" s="3"/>
      <c r="AS84" s="3"/>
      <c r="AT84" s="3"/>
      <c r="AU84" s="3"/>
    </row>
    <row r="85" spans="2:47" x14ac:dyDescent="0.3">
      <c r="B85" s="3"/>
      <c r="C85" s="3"/>
      <c r="D85" s="3"/>
      <c r="E85" s="3"/>
      <c r="F85" s="3"/>
      <c r="G85" s="3"/>
      <c r="R85" s="3"/>
      <c r="S85" s="3"/>
      <c r="T85" s="3"/>
      <c r="U85" s="3"/>
      <c r="V85" s="3"/>
      <c r="W85" s="3"/>
      <c r="Z85" s="3"/>
      <c r="AA85" s="3"/>
      <c r="AB85" s="3"/>
      <c r="AC85" s="3"/>
      <c r="AD85" s="3"/>
      <c r="AE85" s="3"/>
      <c r="AH85" s="3"/>
      <c r="AI85" s="3"/>
      <c r="AJ85" s="3"/>
      <c r="AK85" s="3"/>
      <c r="AL85" s="3"/>
      <c r="AM85" s="3"/>
      <c r="AP85" s="3"/>
      <c r="AQ85" s="3"/>
      <c r="AR85" s="3"/>
      <c r="AS85" s="3"/>
      <c r="AT85" s="3"/>
      <c r="AU85" s="3"/>
    </row>
    <row r="86" spans="2:47" x14ac:dyDescent="0.3">
      <c r="B86" s="3"/>
      <c r="C86" s="3"/>
      <c r="D86" s="3"/>
      <c r="E86" s="3"/>
      <c r="F86" s="3"/>
      <c r="G86" s="3"/>
      <c r="R86" s="3"/>
      <c r="S86" s="3"/>
      <c r="T86" s="3"/>
      <c r="U86" s="3"/>
      <c r="V86" s="3"/>
      <c r="W86" s="3"/>
      <c r="Z86" s="3"/>
      <c r="AA86" s="3"/>
      <c r="AB86" s="3"/>
      <c r="AC86" s="3"/>
      <c r="AD86" s="3"/>
      <c r="AE86" s="3"/>
      <c r="AH86" s="3"/>
      <c r="AI86" s="3"/>
      <c r="AJ86" s="3"/>
      <c r="AK86" s="3"/>
      <c r="AL86" s="3"/>
      <c r="AM86" s="3"/>
      <c r="AP86" s="3"/>
      <c r="AQ86" s="3"/>
      <c r="AR86" s="3"/>
      <c r="AS86" s="3"/>
      <c r="AT86" s="3"/>
      <c r="AU86" s="3"/>
    </row>
    <row r="87" spans="2:47" x14ac:dyDescent="0.3">
      <c r="B87" s="3"/>
      <c r="C87" s="3"/>
      <c r="D87" s="3"/>
      <c r="E87" s="3"/>
      <c r="F87" s="3"/>
      <c r="G87" s="3"/>
      <c r="R87" s="3"/>
      <c r="S87" s="3"/>
      <c r="T87" s="3"/>
      <c r="U87" s="3"/>
      <c r="V87" s="3"/>
      <c r="W87" s="3"/>
      <c r="Z87" s="3"/>
      <c r="AA87" s="3"/>
      <c r="AB87" s="3"/>
      <c r="AC87" s="3"/>
      <c r="AD87" s="3"/>
      <c r="AE87" s="3"/>
      <c r="AH87" s="3"/>
      <c r="AI87" s="3"/>
      <c r="AJ87" s="3"/>
      <c r="AK87" s="3"/>
      <c r="AL87" s="3"/>
      <c r="AM87" s="3"/>
      <c r="AP87" s="3"/>
      <c r="AQ87" s="3"/>
      <c r="AR87" s="3"/>
      <c r="AS87" s="3"/>
      <c r="AT87" s="3"/>
      <c r="AU87" s="3"/>
    </row>
    <row r="88" spans="2:47" x14ac:dyDescent="0.3">
      <c r="B88" s="3"/>
      <c r="C88" s="3"/>
      <c r="D88" s="3"/>
      <c r="E88" s="3"/>
      <c r="F88" s="3"/>
      <c r="G88" s="3"/>
      <c r="R88" s="3"/>
      <c r="S88" s="3"/>
      <c r="T88" s="3"/>
      <c r="U88" s="3"/>
      <c r="V88" s="3"/>
      <c r="W88" s="3"/>
      <c r="Z88" s="3"/>
      <c r="AA88" s="3"/>
      <c r="AB88" s="3"/>
      <c r="AC88" s="3"/>
      <c r="AD88" s="3"/>
      <c r="AE88" s="3"/>
      <c r="AH88" s="3"/>
      <c r="AI88" s="3"/>
      <c r="AJ88" s="3"/>
      <c r="AK88" s="3"/>
      <c r="AL88" s="3"/>
      <c r="AM88" s="3"/>
      <c r="AP88" s="3"/>
      <c r="AQ88" s="3"/>
      <c r="AR88" s="3"/>
      <c r="AS88" s="3"/>
      <c r="AT88" s="3"/>
      <c r="AU88" s="3"/>
    </row>
    <row r="89" spans="2:47" x14ac:dyDescent="0.3">
      <c r="B89" s="3"/>
      <c r="C89" s="3"/>
      <c r="D89" s="3"/>
      <c r="E89" s="3"/>
      <c r="F89" s="3"/>
      <c r="G89" s="3"/>
      <c r="R89" s="3"/>
      <c r="S89" s="3"/>
      <c r="T89" s="3"/>
      <c r="U89" s="3"/>
      <c r="V89" s="3"/>
      <c r="W89" s="3"/>
      <c r="Z89" s="3"/>
      <c r="AA89" s="3"/>
      <c r="AB89" s="3"/>
      <c r="AC89" s="3"/>
      <c r="AD89" s="3"/>
      <c r="AE89" s="3"/>
      <c r="AH89" s="3"/>
      <c r="AI89" s="3"/>
      <c r="AJ89" s="3"/>
      <c r="AK89" s="3"/>
      <c r="AL89" s="3"/>
      <c r="AM89" s="3"/>
      <c r="AP89" s="3"/>
      <c r="AQ89" s="3"/>
      <c r="AR89" s="3"/>
      <c r="AS89" s="3"/>
      <c r="AT89" s="3"/>
      <c r="AU89" s="3"/>
    </row>
    <row r="90" spans="2:47" x14ac:dyDescent="0.3">
      <c r="B90" s="3"/>
      <c r="C90" s="3"/>
      <c r="D90" s="3"/>
      <c r="E90" s="3"/>
      <c r="F90" s="3"/>
      <c r="G90" s="3"/>
      <c r="R90" s="3"/>
      <c r="S90" s="3"/>
      <c r="T90" s="3"/>
      <c r="U90" s="3"/>
      <c r="V90" s="3"/>
      <c r="W90" s="3"/>
      <c r="Z90" s="3"/>
      <c r="AA90" s="3"/>
      <c r="AB90" s="3"/>
      <c r="AC90" s="3"/>
      <c r="AD90" s="3"/>
      <c r="AE90" s="3"/>
      <c r="AH90" s="3"/>
      <c r="AI90" s="3"/>
      <c r="AJ90" s="3"/>
      <c r="AK90" s="3"/>
      <c r="AL90" s="3"/>
      <c r="AM90" s="3"/>
      <c r="AP90" s="3"/>
      <c r="AQ90" s="3"/>
      <c r="AR90" s="3"/>
      <c r="AS90" s="3"/>
      <c r="AT90" s="3"/>
      <c r="AU90" s="3"/>
    </row>
    <row r="91" spans="2:47" x14ac:dyDescent="0.3">
      <c r="B91" s="3"/>
      <c r="C91" s="3"/>
      <c r="D91" s="3"/>
      <c r="E91" s="3"/>
      <c r="F91" s="3"/>
      <c r="G91" s="3"/>
      <c r="R91" s="3"/>
      <c r="S91" s="3"/>
      <c r="T91" s="3"/>
      <c r="U91" s="3"/>
      <c r="V91" s="3"/>
      <c r="W91" s="3"/>
      <c r="Z91" s="3"/>
      <c r="AA91" s="3"/>
      <c r="AB91" s="3"/>
      <c r="AC91" s="3"/>
      <c r="AD91" s="3"/>
      <c r="AE91" s="3"/>
      <c r="AH91" s="3"/>
      <c r="AI91" s="3"/>
      <c r="AJ91" s="3"/>
      <c r="AK91" s="3"/>
      <c r="AL91" s="3"/>
      <c r="AM91" s="3"/>
      <c r="AP91" s="3"/>
      <c r="AQ91" s="3"/>
      <c r="AR91" s="3"/>
      <c r="AS91" s="3"/>
      <c r="AT91" s="3"/>
      <c r="AU91" s="3"/>
    </row>
    <row r="92" spans="2:47" x14ac:dyDescent="0.3">
      <c r="B92" s="3"/>
      <c r="C92" s="3"/>
      <c r="D92" s="3"/>
      <c r="E92" s="3"/>
      <c r="F92" s="3"/>
      <c r="G92" s="3"/>
      <c r="R92" s="3"/>
      <c r="S92" s="3"/>
      <c r="T92" s="3"/>
      <c r="U92" s="3"/>
      <c r="V92" s="3"/>
      <c r="W92" s="3"/>
      <c r="Z92" s="3"/>
      <c r="AA92" s="3"/>
      <c r="AB92" s="3"/>
      <c r="AC92" s="3"/>
      <c r="AD92" s="3"/>
      <c r="AE92" s="3"/>
      <c r="AH92" s="3"/>
      <c r="AI92" s="3"/>
      <c r="AJ92" s="3"/>
      <c r="AK92" s="3"/>
      <c r="AL92" s="3"/>
      <c r="AM92" s="3"/>
      <c r="AP92" s="3"/>
      <c r="AQ92" s="3"/>
      <c r="AR92" s="3"/>
      <c r="AS92" s="3"/>
      <c r="AT92" s="3"/>
      <c r="AU92" s="3"/>
    </row>
    <row r="93" spans="2:47" x14ac:dyDescent="0.3">
      <c r="B93" s="3"/>
      <c r="C93" s="3"/>
      <c r="D93" s="3"/>
      <c r="E93" s="3"/>
      <c r="F93" s="3"/>
      <c r="G93" s="3"/>
      <c r="R93" s="3"/>
      <c r="S93" s="3"/>
      <c r="T93" s="3"/>
      <c r="U93" s="3"/>
      <c r="V93" s="3"/>
      <c r="W93" s="3"/>
      <c r="Z93" s="3"/>
      <c r="AA93" s="3"/>
      <c r="AB93" s="3"/>
      <c r="AC93" s="3"/>
      <c r="AD93" s="3"/>
      <c r="AE93" s="3"/>
      <c r="AH93" s="3"/>
      <c r="AI93" s="3"/>
      <c r="AJ93" s="3"/>
      <c r="AK93" s="3"/>
      <c r="AL93" s="3"/>
      <c r="AM93" s="3"/>
      <c r="AP93" s="3"/>
      <c r="AQ93" s="3"/>
      <c r="AR93" s="3"/>
      <c r="AS93" s="3"/>
      <c r="AT93" s="3"/>
      <c r="AU93" s="3"/>
    </row>
    <row r="94" spans="2:47" x14ac:dyDescent="0.3">
      <c r="B94" s="3"/>
      <c r="C94" s="3"/>
      <c r="D94" s="3"/>
      <c r="E94" s="3"/>
      <c r="F94" s="3"/>
      <c r="G94" s="3"/>
      <c r="R94" s="3"/>
      <c r="S94" s="3"/>
      <c r="T94" s="3"/>
      <c r="U94" s="3"/>
      <c r="V94" s="3"/>
      <c r="W94" s="3"/>
      <c r="Z94" s="3"/>
      <c r="AA94" s="3"/>
      <c r="AB94" s="3"/>
      <c r="AC94" s="3"/>
      <c r="AD94" s="3"/>
      <c r="AE94" s="3"/>
      <c r="AH94" s="3"/>
      <c r="AI94" s="3"/>
      <c r="AJ94" s="3"/>
      <c r="AK94" s="3"/>
      <c r="AL94" s="3"/>
      <c r="AM94" s="3"/>
      <c r="AP94" s="3"/>
      <c r="AQ94" s="3"/>
      <c r="AR94" s="3"/>
      <c r="AS94" s="3"/>
      <c r="AT94" s="3"/>
      <c r="AU94" s="3"/>
    </row>
    <row r="95" spans="2:47" x14ac:dyDescent="0.3">
      <c r="B95" s="3"/>
      <c r="C95" s="3"/>
      <c r="D95" s="3"/>
      <c r="E95" s="3"/>
      <c r="F95" s="3"/>
      <c r="G95" s="3"/>
      <c r="R95" s="3"/>
      <c r="S95" s="3"/>
      <c r="T95" s="3"/>
      <c r="U95" s="3"/>
      <c r="V95" s="3"/>
      <c r="W95" s="3"/>
      <c r="Z95" s="3"/>
      <c r="AA95" s="3"/>
      <c r="AB95" s="3"/>
      <c r="AC95" s="3"/>
      <c r="AD95" s="3"/>
      <c r="AE95" s="3"/>
      <c r="AH95" s="3"/>
      <c r="AI95" s="3"/>
      <c r="AJ95" s="3"/>
      <c r="AK95" s="3"/>
      <c r="AL95" s="3"/>
      <c r="AM95" s="3"/>
      <c r="AP95" s="3"/>
      <c r="AQ95" s="3"/>
      <c r="AR95" s="3"/>
      <c r="AS95" s="3"/>
      <c r="AT95" s="3"/>
      <c r="AU95" s="3"/>
    </row>
    <row r="96" spans="2:47" x14ac:dyDescent="0.3">
      <c r="B96" s="3"/>
      <c r="C96" s="3"/>
      <c r="D96" s="3"/>
      <c r="E96" s="3"/>
      <c r="F96" s="3"/>
      <c r="G96" s="3"/>
      <c r="R96" s="3"/>
      <c r="S96" s="3"/>
      <c r="T96" s="3"/>
      <c r="U96" s="3"/>
      <c r="V96" s="3"/>
      <c r="W96" s="3"/>
      <c r="Z96" s="3"/>
      <c r="AA96" s="3"/>
      <c r="AB96" s="3"/>
      <c r="AC96" s="3"/>
      <c r="AD96" s="3"/>
      <c r="AE96" s="3"/>
      <c r="AH96" s="3"/>
      <c r="AI96" s="3"/>
      <c r="AJ96" s="3"/>
      <c r="AK96" s="3"/>
      <c r="AL96" s="3"/>
      <c r="AM96" s="3"/>
      <c r="AP96" s="3"/>
      <c r="AQ96" s="3"/>
      <c r="AR96" s="3"/>
      <c r="AS96" s="3"/>
      <c r="AT96" s="3"/>
      <c r="AU96" s="3"/>
    </row>
    <row r="97" spans="2:47" x14ac:dyDescent="0.3">
      <c r="B97" s="3"/>
      <c r="C97" s="3"/>
      <c r="D97" s="3"/>
      <c r="E97" s="3"/>
      <c r="F97" s="3"/>
      <c r="G97" s="3"/>
      <c r="R97" s="3"/>
      <c r="S97" s="3"/>
      <c r="T97" s="3"/>
      <c r="U97" s="3"/>
      <c r="V97" s="3"/>
      <c r="W97" s="3"/>
      <c r="Z97" s="3"/>
      <c r="AA97" s="3"/>
      <c r="AB97" s="3"/>
      <c r="AC97" s="3"/>
      <c r="AD97" s="3"/>
      <c r="AE97" s="3"/>
      <c r="AH97" s="3"/>
      <c r="AI97" s="3"/>
      <c r="AJ97" s="3"/>
      <c r="AK97" s="3"/>
      <c r="AL97" s="3"/>
      <c r="AM97" s="3"/>
      <c r="AP97" s="3"/>
      <c r="AQ97" s="3"/>
      <c r="AR97" s="3"/>
      <c r="AS97" s="3"/>
      <c r="AT97" s="3"/>
      <c r="AU97" s="3"/>
    </row>
    <row r="98" spans="2:47" x14ac:dyDescent="0.3">
      <c r="B98" s="3"/>
      <c r="C98" s="3"/>
      <c r="D98" s="3"/>
      <c r="E98" s="3"/>
      <c r="F98" s="3"/>
      <c r="G98" s="3"/>
      <c r="R98" s="3"/>
      <c r="S98" s="3"/>
      <c r="T98" s="3"/>
      <c r="U98" s="3"/>
      <c r="V98" s="3"/>
      <c r="W98" s="3"/>
      <c r="Z98" s="3"/>
      <c r="AA98" s="3"/>
      <c r="AB98" s="3"/>
      <c r="AC98" s="3"/>
      <c r="AD98" s="3"/>
      <c r="AE98" s="3"/>
      <c r="AH98" s="3"/>
      <c r="AI98" s="3"/>
      <c r="AJ98" s="3"/>
      <c r="AK98" s="3"/>
      <c r="AL98" s="3"/>
      <c r="AM98" s="3"/>
      <c r="AP98" s="3"/>
      <c r="AQ98" s="3"/>
      <c r="AR98" s="3"/>
      <c r="AS98" s="3"/>
      <c r="AT98" s="3"/>
      <c r="AU98" s="3"/>
    </row>
    <row r="99" spans="2:47" x14ac:dyDescent="0.3">
      <c r="B99" s="3"/>
      <c r="C99" s="3"/>
      <c r="D99" s="3"/>
      <c r="E99" s="3"/>
      <c r="F99" s="3"/>
      <c r="G99" s="3"/>
      <c r="R99" s="3"/>
      <c r="S99" s="3"/>
      <c r="T99" s="3"/>
      <c r="U99" s="3"/>
      <c r="V99" s="3"/>
      <c r="W99" s="3"/>
      <c r="Z99" s="3"/>
      <c r="AA99" s="3"/>
      <c r="AB99" s="3"/>
      <c r="AC99" s="3"/>
      <c r="AD99" s="3"/>
      <c r="AE99" s="3"/>
      <c r="AH99" s="3"/>
      <c r="AI99" s="3"/>
      <c r="AJ99" s="3"/>
      <c r="AK99" s="3"/>
      <c r="AL99" s="3"/>
      <c r="AM99" s="3"/>
      <c r="AP99" s="3"/>
      <c r="AQ99" s="3"/>
      <c r="AR99" s="3"/>
      <c r="AS99" s="3"/>
      <c r="AT99" s="3"/>
      <c r="AU99" s="3"/>
    </row>
    <row r="100" spans="2:47" x14ac:dyDescent="0.3">
      <c r="B100" s="3"/>
      <c r="C100" s="3"/>
      <c r="D100" s="3"/>
      <c r="E100" s="3"/>
      <c r="F100" s="3"/>
      <c r="G100" s="3"/>
      <c r="R100" s="3"/>
      <c r="S100" s="3"/>
      <c r="T100" s="3"/>
      <c r="U100" s="3"/>
      <c r="V100" s="3"/>
      <c r="W100" s="3"/>
      <c r="Z100" s="3"/>
      <c r="AA100" s="3"/>
      <c r="AB100" s="3"/>
      <c r="AC100" s="3"/>
      <c r="AD100" s="3"/>
      <c r="AE100" s="3"/>
      <c r="AH100" s="3"/>
      <c r="AI100" s="3"/>
      <c r="AJ100" s="3"/>
      <c r="AK100" s="3"/>
      <c r="AL100" s="3"/>
      <c r="AM100" s="3"/>
      <c r="AP100" s="3"/>
      <c r="AQ100" s="3"/>
      <c r="AR100" s="3"/>
      <c r="AS100" s="3"/>
      <c r="AT100" s="3"/>
      <c r="AU100" s="3"/>
    </row>
    <row r="101" spans="2:47" x14ac:dyDescent="0.3">
      <c r="B101" s="3"/>
      <c r="C101" s="3"/>
      <c r="D101" s="3"/>
      <c r="E101" s="3"/>
      <c r="F101" s="3"/>
      <c r="G101" s="3"/>
      <c r="R101" s="3"/>
      <c r="S101" s="3"/>
      <c r="T101" s="3"/>
      <c r="U101" s="3"/>
      <c r="V101" s="3"/>
      <c r="W101" s="3"/>
      <c r="Z101" s="3"/>
      <c r="AA101" s="3"/>
      <c r="AB101" s="3"/>
      <c r="AC101" s="3"/>
      <c r="AD101" s="3"/>
      <c r="AE101" s="3"/>
      <c r="AH101" s="3"/>
      <c r="AI101" s="3"/>
      <c r="AJ101" s="3"/>
      <c r="AK101" s="3"/>
      <c r="AL101" s="3"/>
      <c r="AM101" s="3"/>
      <c r="AP101" s="3"/>
      <c r="AQ101" s="3"/>
      <c r="AR101" s="3"/>
      <c r="AS101" s="3"/>
      <c r="AT101" s="3"/>
      <c r="AU101" s="3"/>
    </row>
    <row r="102" spans="2:47" x14ac:dyDescent="0.3">
      <c r="B102" s="3"/>
      <c r="C102" s="3"/>
      <c r="D102" s="3"/>
      <c r="E102" s="3"/>
      <c r="F102" s="3"/>
      <c r="G102" s="3"/>
      <c r="R102" s="3"/>
      <c r="S102" s="3"/>
      <c r="T102" s="3"/>
      <c r="U102" s="3"/>
      <c r="V102" s="3"/>
      <c r="W102" s="3"/>
      <c r="Z102" s="3"/>
      <c r="AA102" s="3"/>
      <c r="AB102" s="3"/>
      <c r="AC102" s="3"/>
      <c r="AD102" s="3"/>
      <c r="AE102" s="3"/>
      <c r="AH102" s="3"/>
      <c r="AI102" s="3"/>
      <c r="AJ102" s="3"/>
      <c r="AK102" s="3"/>
      <c r="AL102" s="3"/>
      <c r="AM102" s="3"/>
      <c r="AP102" s="3"/>
      <c r="AQ102" s="3"/>
      <c r="AR102" s="3"/>
      <c r="AS102" s="3"/>
      <c r="AT102" s="3"/>
      <c r="AU102" s="3"/>
    </row>
    <row r="103" spans="2:47" x14ac:dyDescent="0.3">
      <c r="B103" s="3"/>
      <c r="C103" s="3"/>
      <c r="D103" s="3"/>
      <c r="E103" s="3"/>
      <c r="F103" s="3"/>
      <c r="G103" s="3"/>
      <c r="R103" s="3"/>
      <c r="S103" s="3"/>
      <c r="T103" s="3"/>
      <c r="U103" s="3"/>
      <c r="V103" s="3"/>
      <c r="W103" s="3"/>
      <c r="Z103" s="3"/>
      <c r="AA103" s="3"/>
      <c r="AB103" s="3"/>
      <c r="AC103" s="3"/>
      <c r="AD103" s="3"/>
      <c r="AE103" s="3"/>
      <c r="AH103" s="3"/>
      <c r="AI103" s="3"/>
      <c r="AJ103" s="3"/>
      <c r="AK103" s="3"/>
      <c r="AL103" s="3"/>
      <c r="AM103" s="3"/>
      <c r="AP103" s="3"/>
      <c r="AQ103" s="3"/>
      <c r="AR103" s="3"/>
      <c r="AS103" s="3"/>
      <c r="AT103" s="3"/>
      <c r="AU103" s="3"/>
    </row>
    <row r="104" spans="2:47" x14ac:dyDescent="0.3">
      <c r="B104" s="3"/>
      <c r="C104" s="3"/>
      <c r="D104" s="3"/>
      <c r="E104" s="3"/>
      <c r="F104" s="3"/>
      <c r="G104" s="3"/>
      <c r="R104" s="3"/>
      <c r="S104" s="3"/>
      <c r="T104" s="3"/>
      <c r="U104" s="3"/>
      <c r="V104" s="3"/>
      <c r="W104" s="3"/>
      <c r="Z104" s="3"/>
      <c r="AA104" s="3"/>
      <c r="AB104" s="3"/>
      <c r="AC104" s="3"/>
      <c r="AD104" s="3"/>
      <c r="AE104" s="3"/>
      <c r="AH104" s="3"/>
      <c r="AI104" s="3"/>
      <c r="AJ104" s="3"/>
      <c r="AK104" s="3"/>
      <c r="AL104" s="3"/>
      <c r="AM104" s="3"/>
      <c r="AP104" s="3"/>
      <c r="AQ104" s="3"/>
      <c r="AR104" s="3"/>
      <c r="AS104" s="3"/>
      <c r="AT104" s="3"/>
      <c r="AU104" s="3"/>
    </row>
    <row r="105" spans="2:47" x14ac:dyDescent="0.3">
      <c r="B105" s="3"/>
      <c r="C105" s="3"/>
      <c r="D105" s="3"/>
      <c r="E105" s="3"/>
      <c r="F105" s="3"/>
      <c r="G105" s="3"/>
      <c r="R105" s="3"/>
      <c r="S105" s="3"/>
      <c r="T105" s="3"/>
      <c r="U105" s="3"/>
      <c r="V105" s="3"/>
      <c r="W105" s="3"/>
      <c r="Z105" s="3"/>
      <c r="AA105" s="3"/>
      <c r="AB105" s="3"/>
      <c r="AC105" s="3"/>
      <c r="AD105" s="3"/>
      <c r="AE105" s="3"/>
      <c r="AH105" s="3"/>
      <c r="AI105" s="3"/>
      <c r="AJ105" s="3"/>
      <c r="AK105" s="3"/>
      <c r="AL105" s="3"/>
      <c r="AM105" s="3"/>
      <c r="AP105" s="3"/>
      <c r="AQ105" s="3"/>
      <c r="AR105" s="3"/>
      <c r="AS105" s="3"/>
      <c r="AT105" s="3"/>
      <c r="AU105" s="3"/>
    </row>
    <row r="106" spans="2:47" x14ac:dyDescent="0.3">
      <c r="B106" s="3"/>
      <c r="C106" s="3"/>
      <c r="D106" s="3"/>
      <c r="E106" s="3"/>
      <c r="F106" s="3"/>
      <c r="G106" s="3"/>
      <c r="R106" s="3"/>
      <c r="S106" s="3"/>
      <c r="T106" s="3"/>
      <c r="U106" s="3"/>
      <c r="V106" s="3"/>
      <c r="W106" s="3"/>
      <c r="Z106" s="3"/>
      <c r="AA106" s="3"/>
      <c r="AB106" s="3"/>
      <c r="AC106" s="3"/>
      <c r="AD106" s="3"/>
      <c r="AE106" s="3"/>
      <c r="AH106" s="3"/>
      <c r="AI106" s="3"/>
      <c r="AJ106" s="3"/>
      <c r="AK106" s="3"/>
      <c r="AL106" s="3"/>
      <c r="AM106" s="3"/>
      <c r="AP106" s="3"/>
      <c r="AQ106" s="3"/>
      <c r="AR106" s="3"/>
      <c r="AS106" s="3"/>
      <c r="AT106" s="3"/>
      <c r="AU106" s="3"/>
    </row>
    <row r="107" spans="2:47" x14ac:dyDescent="0.3">
      <c r="B107" s="3"/>
      <c r="C107" s="3"/>
      <c r="D107" s="3"/>
      <c r="E107" s="3"/>
      <c r="F107" s="3"/>
      <c r="G107" s="3"/>
      <c r="R107" s="3"/>
      <c r="S107" s="3"/>
      <c r="T107" s="3"/>
      <c r="U107" s="3"/>
      <c r="V107" s="3"/>
      <c r="W107" s="3"/>
      <c r="Z107" s="3"/>
      <c r="AA107" s="3"/>
      <c r="AB107" s="3"/>
      <c r="AC107" s="3"/>
      <c r="AD107" s="3"/>
      <c r="AE107" s="3"/>
      <c r="AH107" s="3"/>
      <c r="AI107" s="3"/>
      <c r="AJ107" s="3"/>
      <c r="AK107" s="3"/>
      <c r="AL107" s="3"/>
      <c r="AM107" s="3"/>
      <c r="AP107" s="3"/>
      <c r="AQ107" s="3"/>
      <c r="AR107" s="3"/>
      <c r="AS107" s="3"/>
      <c r="AT107" s="3"/>
      <c r="AU107" s="3"/>
    </row>
    <row r="108" spans="2:47" x14ac:dyDescent="0.3">
      <c r="B108" s="3"/>
      <c r="C108" s="3"/>
      <c r="D108" s="3"/>
      <c r="E108" s="3"/>
      <c r="F108" s="3"/>
      <c r="G108" s="3"/>
      <c r="R108" s="3"/>
      <c r="S108" s="3"/>
      <c r="T108" s="3"/>
      <c r="U108" s="3"/>
      <c r="V108" s="3"/>
      <c r="W108" s="3"/>
      <c r="Z108" s="3"/>
      <c r="AA108" s="3"/>
      <c r="AB108" s="3"/>
      <c r="AC108" s="3"/>
      <c r="AD108" s="3"/>
      <c r="AE108" s="3"/>
      <c r="AH108" s="3"/>
      <c r="AI108" s="3"/>
      <c r="AJ108" s="3"/>
      <c r="AK108" s="3"/>
      <c r="AL108" s="3"/>
      <c r="AM108" s="3"/>
      <c r="AP108" s="3"/>
      <c r="AQ108" s="3"/>
      <c r="AR108" s="3"/>
      <c r="AS108" s="3"/>
      <c r="AT108" s="3"/>
      <c r="AU108" s="3"/>
    </row>
    <row r="109" spans="2:47" x14ac:dyDescent="0.3">
      <c r="B109" s="3"/>
      <c r="C109" s="3"/>
      <c r="D109" s="3"/>
      <c r="E109" s="3"/>
      <c r="F109" s="3"/>
      <c r="G109" s="3"/>
      <c r="R109" s="3"/>
      <c r="S109" s="3"/>
      <c r="T109" s="3"/>
      <c r="U109" s="3"/>
      <c r="V109" s="3"/>
      <c r="W109" s="3"/>
      <c r="Z109" s="3"/>
      <c r="AA109" s="3"/>
      <c r="AB109" s="3"/>
      <c r="AC109" s="3"/>
      <c r="AD109" s="3"/>
      <c r="AE109" s="3"/>
      <c r="AH109" s="3"/>
      <c r="AI109" s="3"/>
      <c r="AJ109" s="3"/>
      <c r="AK109" s="3"/>
      <c r="AL109" s="3"/>
      <c r="AM109" s="3"/>
      <c r="AP109" s="3"/>
      <c r="AQ109" s="3"/>
      <c r="AR109" s="3"/>
      <c r="AS109" s="3"/>
      <c r="AT109" s="3"/>
      <c r="AU109" s="3"/>
    </row>
    <row r="110" spans="2:47" x14ac:dyDescent="0.3">
      <c r="B110" s="3"/>
      <c r="C110" s="3"/>
      <c r="D110" s="3"/>
      <c r="E110" s="3"/>
      <c r="F110" s="3"/>
      <c r="G110" s="3"/>
      <c r="R110" s="3"/>
      <c r="S110" s="3"/>
      <c r="T110" s="3"/>
      <c r="U110" s="3"/>
      <c r="V110" s="3"/>
      <c r="W110" s="3"/>
      <c r="Z110" s="3"/>
      <c r="AA110" s="3"/>
      <c r="AB110" s="3"/>
      <c r="AC110" s="3"/>
      <c r="AD110" s="3"/>
      <c r="AE110" s="3"/>
      <c r="AH110" s="3"/>
      <c r="AI110" s="3"/>
      <c r="AJ110" s="3"/>
      <c r="AK110" s="3"/>
      <c r="AL110" s="3"/>
      <c r="AM110" s="3"/>
      <c r="AP110" s="3"/>
      <c r="AQ110" s="3"/>
      <c r="AR110" s="3"/>
      <c r="AS110" s="3"/>
      <c r="AT110" s="3"/>
      <c r="AU110" s="3"/>
    </row>
    <row r="111" spans="2:47" x14ac:dyDescent="0.3">
      <c r="B111" s="3"/>
      <c r="C111" s="3"/>
      <c r="D111" s="3"/>
      <c r="E111" s="3"/>
      <c r="F111" s="3"/>
      <c r="G111" s="3"/>
      <c r="R111" s="3"/>
      <c r="S111" s="3"/>
      <c r="T111" s="3"/>
      <c r="U111" s="3"/>
      <c r="V111" s="3"/>
      <c r="W111" s="3"/>
      <c r="Z111" s="3"/>
      <c r="AA111" s="3"/>
      <c r="AB111" s="3"/>
      <c r="AC111" s="3"/>
      <c r="AD111" s="3"/>
      <c r="AE111" s="3"/>
      <c r="AH111" s="3"/>
      <c r="AI111" s="3"/>
      <c r="AJ111" s="3"/>
      <c r="AK111" s="3"/>
      <c r="AL111" s="3"/>
      <c r="AM111" s="3"/>
    </row>
    <row r="112" spans="2:47" x14ac:dyDescent="0.3">
      <c r="B112" s="3"/>
      <c r="C112" s="3"/>
      <c r="D112" s="3"/>
      <c r="E112" s="3"/>
      <c r="F112" s="3"/>
      <c r="G112" s="3"/>
      <c r="R112" s="3"/>
      <c r="S112" s="3"/>
      <c r="T112" s="3"/>
      <c r="U112" s="3"/>
      <c r="V112" s="3"/>
      <c r="W112" s="3"/>
      <c r="Z112" s="3"/>
      <c r="AA112" s="3"/>
      <c r="AB112" s="3"/>
      <c r="AC112" s="3"/>
      <c r="AD112" s="3"/>
      <c r="AE112" s="3"/>
      <c r="AH112" s="3"/>
      <c r="AI112" s="3"/>
      <c r="AJ112" s="3"/>
      <c r="AK112" s="3"/>
      <c r="AL112" s="3"/>
      <c r="AM112" s="3"/>
    </row>
    <row r="113" spans="2:39" x14ac:dyDescent="0.3">
      <c r="B113" s="3"/>
      <c r="C113" s="3"/>
      <c r="D113" s="3"/>
      <c r="E113" s="3"/>
      <c r="F113" s="3"/>
      <c r="G113" s="3"/>
      <c r="R113" s="3"/>
      <c r="S113" s="3"/>
      <c r="T113" s="3"/>
      <c r="U113" s="3"/>
      <c r="V113" s="3"/>
      <c r="W113" s="3"/>
      <c r="Z113" s="3"/>
      <c r="AA113" s="3"/>
      <c r="AB113" s="3"/>
      <c r="AC113" s="3"/>
      <c r="AD113" s="3"/>
      <c r="AE113" s="3"/>
      <c r="AH113" s="3"/>
      <c r="AI113" s="3"/>
      <c r="AJ113" s="3"/>
      <c r="AK113" s="3"/>
      <c r="AL113" s="3"/>
      <c r="AM113" s="3"/>
    </row>
    <row r="114" spans="2:39" x14ac:dyDescent="0.3">
      <c r="B114" s="3"/>
      <c r="C114" s="3"/>
      <c r="D114" s="3"/>
      <c r="E114" s="3"/>
      <c r="F114" s="3"/>
      <c r="G114" s="3"/>
      <c r="R114" s="3"/>
      <c r="S114" s="3"/>
      <c r="T114" s="3"/>
      <c r="U114" s="3"/>
      <c r="V114" s="3"/>
      <c r="W114" s="3"/>
      <c r="Z114" s="3"/>
      <c r="AA114" s="3"/>
      <c r="AB114" s="3"/>
      <c r="AC114" s="3"/>
      <c r="AD114" s="3"/>
      <c r="AE114" s="3"/>
      <c r="AH114" s="3"/>
      <c r="AI114" s="3"/>
      <c r="AJ114" s="3"/>
      <c r="AK114" s="3"/>
      <c r="AL114" s="3"/>
      <c r="AM114" s="3"/>
    </row>
    <row r="115" spans="2:39" x14ac:dyDescent="0.3">
      <c r="B115" s="3"/>
      <c r="C115" s="3"/>
      <c r="D115" s="3"/>
      <c r="E115" s="3"/>
      <c r="F115" s="3"/>
      <c r="G115" s="3"/>
      <c r="R115" s="3"/>
      <c r="S115" s="3"/>
      <c r="T115" s="3"/>
      <c r="U115" s="3"/>
      <c r="V115" s="3"/>
      <c r="W115" s="3"/>
      <c r="Z115" s="3"/>
      <c r="AA115" s="3"/>
      <c r="AB115" s="3"/>
      <c r="AC115" s="3"/>
      <c r="AD115" s="3"/>
      <c r="AE115" s="3"/>
      <c r="AH115" s="3"/>
      <c r="AI115" s="3"/>
      <c r="AJ115" s="3"/>
      <c r="AK115" s="3"/>
      <c r="AL115" s="3"/>
      <c r="AM115" s="3"/>
    </row>
    <row r="116" spans="2:39" x14ac:dyDescent="0.3">
      <c r="B116" s="3"/>
      <c r="C116" s="3"/>
      <c r="D116" s="3"/>
      <c r="E116" s="3"/>
      <c r="F116" s="3"/>
      <c r="G116" s="3"/>
      <c r="R116" s="3"/>
      <c r="S116" s="3"/>
      <c r="T116" s="3"/>
      <c r="U116" s="3"/>
      <c r="V116" s="3"/>
      <c r="W116" s="3"/>
      <c r="Z116" s="3"/>
      <c r="AA116" s="3"/>
      <c r="AB116" s="3"/>
      <c r="AC116" s="3"/>
      <c r="AD116" s="3"/>
      <c r="AE116" s="3"/>
      <c r="AH116" s="3"/>
      <c r="AI116" s="3"/>
      <c r="AJ116" s="3"/>
      <c r="AK116" s="3"/>
      <c r="AL116" s="3"/>
      <c r="AM116" s="3"/>
    </row>
    <row r="117" spans="2:39" x14ac:dyDescent="0.3">
      <c r="B117" s="3"/>
      <c r="C117" s="3"/>
      <c r="D117" s="3"/>
      <c r="E117" s="3"/>
      <c r="F117" s="3"/>
      <c r="G117" s="3"/>
      <c r="R117" s="3"/>
      <c r="S117" s="3"/>
      <c r="T117" s="3"/>
      <c r="U117" s="3"/>
      <c r="V117" s="3"/>
      <c r="W117" s="3"/>
      <c r="Z117" s="3"/>
      <c r="AA117" s="3"/>
      <c r="AB117" s="3"/>
      <c r="AC117" s="3"/>
      <c r="AD117" s="3"/>
      <c r="AE117" s="3"/>
      <c r="AH117" s="3"/>
      <c r="AI117" s="3"/>
      <c r="AJ117" s="3"/>
      <c r="AK117" s="3"/>
      <c r="AL117" s="3"/>
      <c r="AM117" s="3"/>
    </row>
    <row r="118" spans="2:39" x14ac:dyDescent="0.3">
      <c r="B118" s="3"/>
      <c r="C118" s="3"/>
      <c r="D118" s="3"/>
      <c r="E118" s="3"/>
      <c r="F118" s="3"/>
      <c r="G118" s="3"/>
      <c r="R118" s="3"/>
      <c r="S118" s="3"/>
      <c r="T118" s="3"/>
      <c r="U118" s="3"/>
      <c r="V118" s="3"/>
      <c r="W118" s="3"/>
      <c r="Z118" s="3"/>
      <c r="AA118" s="3"/>
      <c r="AB118" s="3"/>
      <c r="AC118" s="3"/>
      <c r="AD118" s="3"/>
      <c r="AE118" s="3"/>
      <c r="AH118" s="3"/>
      <c r="AI118" s="3"/>
      <c r="AJ118" s="3"/>
      <c r="AK118" s="3"/>
      <c r="AL118" s="3"/>
      <c r="AM118" s="3"/>
    </row>
    <row r="119" spans="2:39" x14ac:dyDescent="0.3">
      <c r="B119" s="3"/>
      <c r="C119" s="3"/>
      <c r="D119" s="3"/>
      <c r="E119" s="3"/>
      <c r="F119" s="3"/>
      <c r="G119" s="3"/>
      <c r="R119" s="3"/>
      <c r="S119" s="3"/>
      <c r="T119" s="3"/>
      <c r="U119" s="3"/>
      <c r="V119" s="3"/>
      <c r="W119" s="3"/>
      <c r="Z119" s="3"/>
      <c r="AA119" s="3"/>
      <c r="AB119" s="3"/>
      <c r="AC119" s="3"/>
      <c r="AD119" s="3"/>
      <c r="AE119" s="3"/>
      <c r="AH119" s="3"/>
      <c r="AI119" s="3"/>
      <c r="AJ119" s="3"/>
      <c r="AK119" s="3"/>
      <c r="AL119" s="3"/>
      <c r="AM119" s="3"/>
    </row>
    <row r="120" spans="2:39" x14ac:dyDescent="0.3">
      <c r="B120" s="3"/>
      <c r="C120" s="3"/>
      <c r="D120" s="3"/>
      <c r="E120" s="3"/>
      <c r="F120" s="3"/>
      <c r="G120" s="3"/>
      <c r="R120" s="3"/>
      <c r="S120" s="3"/>
      <c r="T120" s="3"/>
      <c r="U120" s="3"/>
      <c r="V120" s="3"/>
      <c r="W120" s="3"/>
      <c r="Z120" s="3"/>
      <c r="AA120" s="3"/>
      <c r="AB120" s="3"/>
      <c r="AC120" s="3"/>
      <c r="AD120" s="3"/>
      <c r="AE120" s="3"/>
      <c r="AH120" s="3"/>
      <c r="AI120" s="3"/>
      <c r="AJ120" s="3"/>
      <c r="AK120" s="3"/>
      <c r="AL120" s="3"/>
      <c r="AM120" s="3"/>
    </row>
    <row r="121" spans="2:39" x14ac:dyDescent="0.3">
      <c r="B121" s="3"/>
      <c r="C121" s="3"/>
      <c r="D121" s="3"/>
      <c r="E121" s="3"/>
      <c r="F121" s="3"/>
      <c r="G121" s="3"/>
      <c r="R121" s="3"/>
      <c r="S121" s="3"/>
      <c r="T121" s="3"/>
      <c r="U121" s="3"/>
      <c r="V121" s="3"/>
      <c r="W121" s="3"/>
      <c r="Z121" s="3"/>
      <c r="AA121" s="3"/>
      <c r="AB121" s="3"/>
      <c r="AC121" s="3"/>
      <c r="AD121" s="3"/>
      <c r="AE121" s="3"/>
      <c r="AH121" s="3"/>
      <c r="AI121" s="3"/>
      <c r="AJ121" s="3"/>
      <c r="AK121" s="3"/>
      <c r="AL121" s="3"/>
      <c r="AM121" s="3"/>
    </row>
    <row r="122" spans="2:39" x14ac:dyDescent="0.3">
      <c r="B122" s="3"/>
      <c r="C122" s="3"/>
      <c r="D122" s="3"/>
      <c r="E122" s="3"/>
      <c r="F122" s="3"/>
      <c r="G122" s="3"/>
      <c r="R122" s="3"/>
      <c r="S122" s="3"/>
      <c r="T122" s="3"/>
      <c r="U122" s="3"/>
      <c r="V122" s="3"/>
      <c r="W122" s="3"/>
      <c r="Z122" s="3"/>
      <c r="AA122" s="3"/>
      <c r="AB122" s="3"/>
      <c r="AC122" s="3"/>
      <c r="AD122" s="3"/>
      <c r="AE122" s="3"/>
      <c r="AH122" s="3"/>
      <c r="AI122" s="3"/>
      <c r="AJ122" s="3"/>
      <c r="AK122" s="3"/>
      <c r="AL122" s="3"/>
      <c r="AM122" s="3"/>
    </row>
    <row r="123" spans="2:39" x14ac:dyDescent="0.3">
      <c r="B123" s="3"/>
      <c r="C123" s="3"/>
      <c r="D123" s="3"/>
      <c r="E123" s="3"/>
      <c r="F123" s="3"/>
      <c r="G123" s="3"/>
      <c r="R123" s="3"/>
      <c r="S123" s="3"/>
      <c r="T123" s="3"/>
      <c r="U123" s="3"/>
      <c r="V123" s="3"/>
      <c r="W123" s="3"/>
      <c r="Z123" s="3"/>
      <c r="AA123" s="3"/>
      <c r="AB123" s="3"/>
      <c r="AC123" s="3"/>
      <c r="AD123" s="3"/>
      <c r="AE123" s="3"/>
      <c r="AH123" s="3"/>
      <c r="AI123" s="3"/>
      <c r="AJ123" s="3"/>
      <c r="AK123" s="3"/>
      <c r="AL123" s="3"/>
      <c r="AM123" s="3"/>
    </row>
    <row r="124" spans="2:39" x14ac:dyDescent="0.3">
      <c r="B124" s="3"/>
      <c r="C124" s="3"/>
      <c r="D124" s="3"/>
      <c r="E124" s="3"/>
      <c r="F124" s="3"/>
      <c r="G124" s="3"/>
      <c r="R124" s="3"/>
      <c r="S124" s="3"/>
      <c r="T124" s="3"/>
      <c r="U124" s="3"/>
      <c r="V124" s="3"/>
      <c r="W124" s="3"/>
      <c r="Z124" s="3"/>
      <c r="AA124" s="3"/>
      <c r="AB124" s="3"/>
      <c r="AC124" s="3"/>
      <c r="AD124" s="3"/>
      <c r="AE124" s="3"/>
      <c r="AH124" s="3"/>
      <c r="AI124" s="3"/>
      <c r="AJ124" s="3"/>
      <c r="AK124" s="3"/>
      <c r="AL124" s="3"/>
      <c r="AM124" s="3"/>
    </row>
    <row r="125" spans="2:39" x14ac:dyDescent="0.3">
      <c r="B125" s="3"/>
      <c r="C125" s="3"/>
      <c r="D125" s="3"/>
      <c r="E125" s="3"/>
      <c r="F125" s="3"/>
      <c r="G125" s="3"/>
      <c r="R125" s="3"/>
      <c r="S125" s="3"/>
      <c r="T125" s="3"/>
      <c r="U125" s="3"/>
      <c r="V125" s="3"/>
      <c r="W125" s="3"/>
      <c r="Z125" s="3"/>
      <c r="AA125" s="3"/>
      <c r="AB125" s="3"/>
      <c r="AC125" s="3"/>
      <c r="AD125" s="3"/>
      <c r="AE125" s="3"/>
      <c r="AH125" s="3"/>
      <c r="AI125" s="3"/>
      <c r="AJ125" s="3"/>
      <c r="AK125" s="3"/>
      <c r="AL125" s="3"/>
      <c r="AM125" s="3"/>
    </row>
    <row r="126" spans="2:39" x14ac:dyDescent="0.3">
      <c r="B126" s="3"/>
      <c r="C126" s="3"/>
      <c r="D126" s="3"/>
      <c r="E126" s="3"/>
      <c r="F126" s="3"/>
      <c r="G126" s="3"/>
      <c r="R126" s="3"/>
      <c r="S126" s="3"/>
      <c r="T126" s="3"/>
      <c r="U126" s="3"/>
      <c r="V126" s="3"/>
      <c r="W126" s="3"/>
      <c r="Z126" s="3"/>
      <c r="AA126" s="3"/>
      <c r="AB126" s="3"/>
      <c r="AC126" s="3"/>
      <c r="AD126" s="3"/>
      <c r="AE126" s="3"/>
      <c r="AH126" s="3"/>
      <c r="AI126" s="3"/>
      <c r="AJ126" s="3"/>
      <c r="AK126" s="3"/>
      <c r="AL126" s="3"/>
      <c r="AM126" s="3"/>
    </row>
    <row r="127" spans="2:39" x14ac:dyDescent="0.3">
      <c r="B127" s="3"/>
      <c r="C127" s="3"/>
      <c r="D127" s="3"/>
      <c r="E127" s="3"/>
      <c r="F127" s="3"/>
      <c r="G127" s="3"/>
      <c r="R127" s="3"/>
      <c r="S127" s="3"/>
      <c r="T127" s="3"/>
      <c r="U127" s="3"/>
      <c r="V127" s="3"/>
      <c r="W127" s="3"/>
      <c r="Z127" s="3"/>
      <c r="AA127" s="3"/>
      <c r="AB127" s="3"/>
      <c r="AC127" s="3"/>
      <c r="AD127" s="3"/>
      <c r="AE127" s="3"/>
      <c r="AH127" s="3"/>
      <c r="AI127" s="3"/>
      <c r="AJ127" s="3"/>
      <c r="AK127" s="3"/>
      <c r="AL127" s="3"/>
      <c r="AM127" s="3"/>
    </row>
    <row r="128" spans="2:39" x14ac:dyDescent="0.3">
      <c r="B128" s="3"/>
      <c r="C128" s="3"/>
      <c r="D128" s="3"/>
      <c r="E128" s="3"/>
      <c r="F128" s="3"/>
      <c r="G128" s="3"/>
      <c r="R128" s="3"/>
      <c r="S128" s="3"/>
      <c r="T128" s="3"/>
      <c r="U128" s="3"/>
      <c r="V128" s="3"/>
      <c r="W128" s="3"/>
      <c r="Z128" s="3"/>
      <c r="AA128" s="3"/>
      <c r="AB128" s="3"/>
      <c r="AC128" s="3"/>
      <c r="AD128" s="3"/>
      <c r="AE128" s="3"/>
      <c r="AH128" s="3"/>
      <c r="AI128" s="3"/>
      <c r="AJ128" s="3"/>
      <c r="AK128" s="3"/>
      <c r="AL128" s="3"/>
      <c r="AM128" s="3"/>
    </row>
    <row r="129" spans="2:39" x14ac:dyDescent="0.3">
      <c r="B129" s="3"/>
      <c r="C129" s="3"/>
      <c r="D129" s="3"/>
      <c r="E129" s="3"/>
      <c r="F129" s="3"/>
      <c r="G129" s="3"/>
      <c r="R129" s="3"/>
      <c r="S129" s="3"/>
      <c r="T129" s="3"/>
      <c r="U129" s="3"/>
      <c r="V129" s="3"/>
      <c r="W129" s="3"/>
      <c r="Z129" s="3"/>
      <c r="AA129" s="3"/>
      <c r="AB129" s="3"/>
      <c r="AC129" s="3"/>
      <c r="AD129" s="3"/>
      <c r="AE129" s="3"/>
      <c r="AH129" s="3"/>
      <c r="AI129" s="3"/>
      <c r="AJ129" s="3"/>
      <c r="AK129" s="3"/>
      <c r="AL129" s="3"/>
      <c r="AM129" s="3"/>
    </row>
    <row r="130" spans="2:39" x14ac:dyDescent="0.3">
      <c r="B130" s="3"/>
      <c r="C130" s="3"/>
      <c r="D130" s="3"/>
      <c r="E130" s="3"/>
      <c r="F130" s="3"/>
      <c r="G130" s="3"/>
      <c r="R130" s="3"/>
      <c r="S130" s="3"/>
      <c r="T130" s="3"/>
      <c r="U130" s="3"/>
      <c r="V130" s="3"/>
      <c r="W130" s="3"/>
      <c r="Z130" s="3"/>
      <c r="AA130" s="3"/>
      <c r="AB130" s="3"/>
      <c r="AC130" s="3"/>
      <c r="AD130" s="3"/>
      <c r="AE130" s="3"/>
      <c r="AH130" s="3"/>
      <c r="AI130" s="3"/>
      <c r="AJ130" s="3"/>
      <c r="AK130" s="3"/>
      <c r="AL130" s="3"/>
      <c r="AM130" s="3"/>
    </row>
    <row r="131" spans="2:39" x14ac:dyDescent="0.3">
      <c r="B131" s="3"/>
      <c r="C131" s="3"/>
      <c r="D131" s="3"/>
      <c r="E131" s="3"/>
      <c r="F131" s="3"/>
      <c r="G131" s="3"/>
      <c r="R131" s="3"/>
      <c r="S131" s="3"/>
      <c r="T131" s="3"/>
      <c r="U131" s="3"/>
      <c r="V131" s="3"/>
      <c r="W131" s="3"/>
      <c r="Z131" s="3"/>
      <c r="AA131" s="3"/>
      <c r="AB131" s="3"/>
      <c r="AC131" s="3"/>
      <c r="AD131" s="3"/>
      <c r="AE131" s="3"/>
      <c r="AH131" s="3"/>
      <c r="AI131" s="3"/>
      <c r="AJ131" s="3"/>
      <c r="AK131" s="3"/>
      <c r="AL131" s="3"/>
      <c r="AM131" s="3"/>
    </row>
    <row r="132" spans="2:39" x14ac:dyDescent="0.3">
      <c r="B132" s="3"/>
      <c r="C132" s="3"/>
      <c r="D132" s="3"/>
      <c r="E132" s="3"/>
      <c r="F132" s="3"/>
      <c r="G132" s="3"/>
      <c r="R132" s="3"/>
      <c r="S132" s="3"/>
      <c r="T132" s="3"/>
      <c r="U132" s="3"/>
      <c r="V132" s="3"/>
      <c r="W132" s="3"/>
      <c r="Z132" s="3"/>
      <c r="AA132" s="3"/>
      <c r="AB132" s="3"/>
      <c r="AC132" s="3"/>
      <c r="AD132" s="3"/>
      <c r="AE132" s="3"/>
      <c r="AH132" s="3"/>
      <c r="AI132" s="3"/>
      <c r="AJ132" s="3"/>
      <c r="AK132" s="3"/>
      <c r="AL132" s="3"/>
      <c r="AM132" s="3"/>
    </row>
    <row r="133" spans="2:39" x14ac:dyDescent="0.3">
      <c r="B133" s="3"/>
      <c r="C133" s="3"/>
      <c r="D133" s="3"/>
      <c r="E133" s="3"/>
      <c r="F133" s="3"/>
      <c r="G133" s="3"/>
      <c r="R133" s="3"/>
      <c r="S133" s="3"/>
      <c r="T133" s="3"/>
      <c r="U133" s="3"/>
      <c r="V133" s="3"/>
      <c r="W133" s="3"/>
      <c r="Z133" s="3"/>
      <c r="AA133" s="3"/>
      <c r="AB133" s="3"/>
      <c r="AC133" s="3"/>
      <c r="AD133" s="3"/>
      <c r="AE133" s="3"/>
      <c r="AH133" s="3"/>
      <c r="AI133" s="3"/>
      <c r="AJ133" s="3"/>
      <c r="AK133" s="3"/>
      <c r="AL133" s="3"/>
      <c r="AM133" s="3"/>
    </row>
    <row r="134" spans="2:39" x14ac:dyDescent="0.3">
      <c r="B134" s="3"/>
      <c r="C134" s="3"/>
      <c r="D134" s="3"/>
      <c r="E134" s="3"/>
      <c r="F134" s="3"/>
      <c r="G134" s="3"/>
      <c r="R134" s="3"/>
      <c r="S134" s="3"/>
      <c r="T134" s="3"/>
      <c r="U134" s="3"/>
      <c r="V134" s="3"/>
      <c r="W134" s="3"/>
      <c r="Z134" s="3"/>
      <c r="AA134" s="3"/>
      <c r="AB134" s="3"/>
      <c r="AC134" s="3"/>
      <c r="AD134" s="3"/>
      <c r="AE134" s="3"/>
      <c r="AH134" s="3"/>
      <c r="AI134" s="3"/>
      <c r="AJ134" s="3"/>
      <c r="AK134" s="3"/>
      <c r="AL134" s="3"/>
      <c r="AM134" s="3"/>
    </row>
    <row r="135" spans="2:39" x14ac:dyDescent="0.3">
      <c r="B135" s="3"/>
      <c r="C135" s="3"/>
      <c r="D135" s="3"/>
      <c r="E135" s="3"/>
      <c r="F135" s="3"/>
      <c r="G135" s="3"/>
      <c r="R135" s="3"/>
      <c r="S135" s="3"/>
      <c r="T135" s="3"/>
      <c r="U135" s="3"/>
      <c r="V135" s="3"/>
      <c r="W135" s="3"/>
      <c r="Z135" s="3"/>
      <c r="AA135" s="3"/>
      <c r="AB135" s="3"/>
      <c r="AC135" s="3"/>
      <c r="AD135" s="3"/>
      <c r="AE135" s="3"/>
      <c r="AH135" s="3"/>
      <c r="AI135" s="3"/>
      <c r="AJ135" s="3"/>
      <c r="AK135" s="3"/>
      <c r="AL135" s="3"/>
      <c r="AM135" s="3"/>
    </row>
    <row r="136" spans="2:39" x14ac:dyDescent="0.3">
      <c r="B136" s="3"/>
      <c r="C136" s="3"/>
      <c r="D136" s="3"/>
      <c r="E136" s="3"/>
      <c r="F136" s="3"/>
      <c r="G136" s="3"/>
      <c r="R136" s="3"/>
      <c r="S136" s="3"/>
      <c r="T136" s="3"/>
      <c r="U136" s="3"/>
      <c r="V136" s="3"/>
      <c r="W136" s="3"/>
      <c r="Z136" s="3"/>
      <c r="AA136" s="3"/>
      <c r="AB136" s="3"/>
      <c r="AC136" s="3"/>
      <c r="AD136" s="3"/>
      <c r="AE136" s="3"/>
      <c r="AH136" s="3"/>
      <c r="AI136" s="3"/>
      <c r="AJ136" s="3"/>
      <c r="AK136" s="3"/>
      <c r="AL136" s="3"/>
      <c r="AM136" s="3"/>
    </row>
    <row r="137" spans="2:39" x14ac:dyDescent="0.3">
      <c r="B137" s="3"/>
      <c r="C137" s="3"/>
      <c r="D137" s="3"/>
      <c r="E137" s="3"/>
      <c r="F137" s="3"/>
      <c r="G137" s="3"/>
      <c r="R137" s="3"/>
      <c r="S137" s="3"/>
      <c r="T137" s="3"/>
      <c r="U137" s="3"/>
      <c r="V137" s="3"/>
      <c r="W137" s="3"/>
      <c r="Z137" s="3"/>
      <c r="AA137" s="3"/>
      <c r="AB137" s="3"/>
      <c r="AC137" s="3"/>
      <c r="AD137" s="3"/>
      <c r="AE137" s="3"/>
      <c r="AH137" s="3"/>
      <c r="AI137" s="3"/>
      <c r="AJ137" s="3"/>
      <c r="AK137" s="3"/>
      <c r="AL137" s="3"/>
      <c r="AM137" s="3"/>
    </row>
    <row r="138" spans="2:39" x14ac:dyDescent="0.3">
      <c r="B138" s="3"/>
      <c r="C138" s="3"/>
      <c r="D138" s="3"/>
      <c r="E138" s="3"/>
      <c r="F138" s="3"/>
      <c r="G138" s="3"/>
      <c r="R138" s="3"/>
      <c r="S138" s="3"/>
      <c r="T138" s="3"/>
      <c r="U138" s="3"/>
      <c r="V138" s="3"/>
      <c r="W138" s="3"/>
      <c r="Z138" s="3"/>
      <c r="AA138" s="3"/>
      <c r="AB138" s="3"/>
      <c r="AC138" s="3"/>
      <c r="AD138" s="3"/>
      <c r="AE138" s="3"/>
      <c r="AH138" s="3"/>
      <c r="AI138" s="3"/>
      <c r="AJ138" s="3"/>
      <c r="AK138" s="3"/>
      <c r="AL138" s="3"/>
      <c r="AM138" s="3"/>
    </row>
    <row r="139" spans="2:39" x14ac:dyDescent="0.3">
      <c r="B139" s="3"/>
      <c r="C139" s="3"/>
      <c r="D139" s="3"/>
      <c r="E139" s="3"/>
      <c r="F139" s="3"/>
      <c r="G139" s="3"/>
      <c r="R139" s="3"/>
      <c r="S139" s="3"/>
      <c r="T139" s="3"/>
      <c r="U139" s="3"/>
      <c r="V139" s="3"/>
      <c r="W139" s="3"/>
      <c r="Z139" s="3"/>
      <c r="AA139" s="3"/>
      <c r="AB139" s="3"/>
      <c r="AC139" s="3"/>
      <c r="AD139" s="3"/>
      <c r="AE139" s="3"/>
      <c r="AH139" s="3"/>
      <c r="AI139" s="3"/>
      <c r="AJ139" s="3"/>
      <c r="AK139" s="3"/>
      <c r="AL139" s="3"/>
      <c r="AM139" s="3"/>
    </row>
    <row r="140" spans="2:39" x14ac:dyDescent="0.3">
      <c r="B140" s="3"/>
      <c r="C140" s="3"/>
      <c r="D140" s="3"/>
      <c r="E140" s="3"/>
      <c r="F140" s="3"/>
      <c r="G140" s="3"/>
      <c r="R140" s="3"/>
      <c r="S140" s="3"/>
      <c r="T140" s="3"/>
      <c r="U140" s="3"/>
      <c r="V140" s="3"/>
      <c r="W140" s="3"/>
      <c r="Z140" s="3"/>
      <c r="AA140" s="3"/>
      <c r="AB140" s="3"/>
      <c r="AC140" s="3"/>
      <c r="AD140" s="3"/>
      <c r="AE140" s="3"/>
      <c r="AH140" s="3"/>
      <c r="AI140" s="3"/>
      <c r="AJ140" s="3"/>
      <c r="AK140" s="3"/>
      <c r="AL140" s="3"/>
      <c r="AM140" s="3"/>
    </row>
    <row r="141" spans="2:39" x14ac:dyDescent="0.3">
      <c r="B141" s="3"/>
      <c r="C141" s="3"/>
      <c r="D141" s="3"/>
      <c r="E141" s="3"/>
      <c r="F141" s="3"/>
      <c r="G141" s="3"/>
      <c r="R141" s="3"/>
      <c r="S141" s="3"/>
      <c r="T141" s="3"/>
      <c r="U141" s="3"/>
      <c r="V141" s="3"/>
      <c r="W141" s="3"/>
      <c r="Z141" s="3"/>
      <c r="AA141" s="3"/>
      <c r="AB141" s="3"/>
      <c r="AC141" s="3"/>
      <c r="AD141" s="3"/>
      <c r="AE141" s="3"/>
      <c r="AH141" s="3"/>
      <c r="AI141" s="3"/>
      <c r="AJ141" s="3"/>
      <c r="AK141" s="3"/>
      <c r="AL141" s="3"/>
      <c r="AM141" s="3"/>
    </row>
    <row r="142" spans="2:39" x14ac:dyDescent="0.3">
      <c r="B142" s="3"/>
      <c r="C142" s="3"/>
      <c r="D142" s="3"/>
      <c r="E142" s="3"/>
      <c r="F142" s="3"/>
      <c r="G142" s="3"/>
      <c r="R142" s="3"/>
      <c r="S142" s="3"/>
      <c r="T142" s="3"/>
      <c r="U142" s="3"/>
      <c r="V142" s="3"/>
      <c r="W142" s="3"/>
      <c r="Z142" s="3"/>
      <c r="AA142" s="3"/>
      <c r="AB142" s="3"/>
      <c r="AC142" s="3"/>
      <c r="AD142" s="3"/>
      <c r="AE142" s="3"/>
      <c r="AH142" s="3"/>
      <c r="AI142" s="3"/>
      <c r="AJ142" s="3"/>
      <c r="AK142" s="3"/>
      <c r="AL142" s="3"/>
      <c r="AM142" s="3"/>
    </row>
    <row r="143" spans="2:39" x14ac:dyDescent="0.3">
      <c r="B143" s="3"/>
      <c r="C143" s="3"/>
      <c r="D143" s="3"/>
      <c r="E143" s="3"/>
      <c r="F143" s="3"/>
      <c r="G143" s="3"/>
      <c r="R143" s="3"/>
      <c r="S143" s="3"/>
      <c r="T143" s="3"/>
      <c r="U143" s="3"/>
      <c r="V143" s="3"/>
      <c r="W143" s="3"/>
      <c r="Z143" s="3"/>
      <c r="AA143" s="3"/>
      <c r="AB143" s="3"/>
      <c r="AC143" s="3"/>
      <c r="AD143" s="3"/>
      <c r="AE143" s="3"/>
      <c r="AH143" s="3"/>
      <c r="AI143" s="3"/>
      <c r="AJ143" s="3"/>
      <c r="AK143" s="3"/>
      <c r="AL143" s="3"/>
      <c r="AM143" s="3"/>
    </row>
    <row r="144" spans="2:39" x14ac:dyDescent="0.3">
      <c r="B144" s="3"/>
      <c r="C144" s="3"/>
      <c r="D144" s="3"/>
      <c r="E144" s="3"/>
      <c r="F144" s="3"/>
      <c r="G144" s="3"/>
      <c r="R144" s="3"/>
      <c r="S144" s="3"/>
      <c r="T144" s="3"/>
      <c r="U144" s="3"/>
      <c r="V144" s="3"/>
      <c r="W144" s="3"/>
      <c r="Z144" s="3"/>
      <c r="AA144" s="3"/>
      <c r="AB144" s="3"/>
      <c r="AC144" s="3"/>
      <c r="AD144" s="3"/>
      <c r="AE144" s="3"/>
      <c r="AH144" s="3"/>
      <c r="AI144" s="3"/>
      <c r="AJ144" s="3"/>
      <c r="AK144" s="3"/>
      <c r="AL144" s="3"/>
      <c r="AM144" s="3"/>
    </row>
    <row r="145" spans="2:39" x14ac:dyDescent="0.3">
      <c r="B145" s="3"/>
      <c r="C145" s="3"/>
      <c r="D145" s="3"/>
      <c r="E145" s="3"/>
      <c r="F145" s="3"/>
      <c r="G145" s="3"/>
      <c r="R145" s="3"/>
      <c r="S145" s="3"/>
      <c r="T145" s="3"/>
      <c r="U145" s="3"/>
      <c r="V145" s="3"/>
      <c r="W145" s="3"/>
      <c r="Z145" s="3"/>
      <c r="AA145" s="3"/>
      <c r="AB145" s="3"/>
      <c r="AC145" s="3"/>
      <c r="AD145" s="3"/>
      <c r="AE145" s="3"/>
      <c r="AH145" s="3"/>
      <c r="AI145" s="3"/>
      <c r="AJ145" s="3"/>
      <c r="AK145" s="3"/>
      <c r="AL145" s="3"/>
      <c r="AM145" s="3"/>
    </row>
    <row r="146" spans="2:39" x14ac:dyDescent="0.3">
      <c r="B146" s="3"/>
      <c r="C146" s="3"/>
      <c r="D146" s="3"/>
      <c r="E146" s="3"/>
      <c r="F146" s="3"/>
      <c r="G146" s="3"/>
      <c r="R146" s="3"/>
      <c r="S146" s="3"/>
      <c r="T146" s="3"/>
      <c r="U146" s="3"/>
      <c r="V146" s="3"/>
      <c r="W146" s="3"/>
      <c r="Z146" s="3"/>
      <c r="AA146" s="3"/>
      <c r="AB146" s="3"/>
      <c r="AC146" s="3"/>
      <c r="AD146" s="3"/>
      <c r="AE146" s="3"/>
      <c r="AH146" s="3"/>
      <c r="AI146" s="3"/>
      <c r="AJ146" s="3"/>
      <c r="AK146" s="3"/>
      <c r="AL146" s="3"/>
      <c r="AM146" s="3"/>
    </row>
    <row r="147" spans="2:39" x14ac:dyDescent="0.3">
      <c r="B147" s="3"/>
      <c r="C147" s="3"/>
      <c r="D147" s="3"/>
      <c r="E147" s="3"/>
      <c r="F147" s="3"/>
      <c r="G147" s="3"/>
      <c r="R147" s="3"/>
      <c r="S147" s="3"/>
      <c r="T147" s="3"/>
      <c r="U147" s="3"/>
      <c r="V147" s="3"/>
      <c r="W147" s="3"/>
      <c r="Z147" s="3"/>
      <c r="AA147" s="3"/>
      <c r="AB147" s="3"/>
      <c r="AC147" s="3"/>
      <c r="AD147" s="3"/>
      <c r="AE147" s="3"/>
      <c r="AH147" s="3"/>
      <c r="AI147" s="3"/>
      <c r="AJ147" s="3"/>
      <c r="AK147" s="3"/>
      <c r="AL147" s="3"/>
      <c r="AM147" s="3"/>
    </row>
    <row r="148" spans="2:39" x14ac:dyDescent="0.3">
      <c r="B148" s="3"/>
      <c r="C148" s="3"/>
      <c r="D148" s="3"/>
      <c r="E148" s="3"/>
      <c r="F148" s="3"/>
      <c r="G148" s="3"/>
      <c r="R148" s="3"/>
      <c r="S148" s="3"/>
      <c r="T148" s="3"/>
      <c r="U148" s="3"/>
      <c r="V148" s="3"/>
      <c r="W148" s="3"/>
      <c r="Z148" s="3"/>
      <c r="AA148" s="3"/>
      <c r="AB148" s="3"/>
      <c r="AC148" s="3"/>
      <c r="AD148" s="3"/>
      <c r="AE148" s="3"/>
      <c r="AH148" s="3"/>
      <c r="AI148" s="3"/>
      <c r="AJ148" s="3"/>
      <c r="AK148" s="3"/>
      <c r="AL148" s="3"/>
      <c r="AM148" s="3"/>
    </row>
    <row r="149" spans="2:39" x14ac:dyDescent="0.3">
      <c r="B149" s="3"/>
      <c r="C149" s="3"/>
      <c r="D149" s="3"/>
      <c r="E149" s="3"/>
      <c r="F149" s="3"/>
      <c r="G149" s="3"/>
      <c r="R149" s="3"/>
      <c r="S149" s="3"/>
      <c r="T149" s="3"/>
      <c r="U149" s="3"/>
      <c r="V149" s="3"/>
      <c r="W149" s="3"/>
      <c r="Z149" s="3"/>
      <c r="AA149" s="3"/>
      <c r="AB149" s="3"/>
      <c r="AC149" s="3"/>
      <c r="AD149" s="3"/>
      <c r="AE149" s="3"/>
      <c r="AH149" s="3"/>
      <c r="AI149" s="3"/>
      <c r="AJ149" s="3"/>
      <c r="AK149" s="3"/>
      <c r="AL149" s="3"/>
      <c r="AM149" s="3"/>
    </row>
    <row r="150" spans="2:39" x14ac:dyDescent="0.3">
      <c r="B150" s="3"/>
      <c r="C150" s="3"/>
      <c r="D150" s="3"/>
      <c r="E150" s="3"/>
      <c r="F150" s="3"/>
      <c r="G150" s="3"/>
      <c r="R150" s="3"/>
      <c r="S150" s="3"/>
      <c r="T150" s="3"/>
      <c r="U150" s="3"/>
      <c r="V150" s="3"/>
      <c r="W150" s="3"/>
      <c r="Z150" s="3"/>
      <c r="AA150" s="3"/>
      <c r="AB150" s="3"/>
      <c r="AC150" s="3"/>
      <c r="AD150" s="3"/>
      <c r="AE150" s="3"/>
      <c r="AH150" s="3"/>
      <c r="AI150" s="3"/>
      <c r="AJ150" s="3"/>
      <c r="AK150" s="3"/>
      <c r="AL150" s="3"/>
      <c r="AM150" s="3"/>
    </row>
    <row r="151" spans="2:39" x14ac:dyDescent="0.3">
      <c r="B151" s="3"/>
      <c r="C151" s="3"/>
      <c r="D151" s="3"/>
      <c r="E151" s="3"/>
      <c r="F151" s="3"/>
      <c r="G151" s="3"/>
      <c r="R151" s="3"/>
      <c r="S151" s="3"/>
      <c r="T151" s="3"/>
      <c r="U151" s="3"/>
      <c r="V151" s="3"/>
      <c r="W151" s="3"/>
      <c r="Z151" s="3"/>
      <c r="AA151" s="3"/>
      <c r="AB151" s="3"/>
      <c r="AC151" s="3"/>
      <c r="AD151" s="3"/>
      <c r="AE151" s="3"/>
      <c r="AH151" s="3"/>
      <c r="AI151" s="3"/>
      <c r="AJ151" s="3"/>
      <c r="AK151" s="3"/>
      <c r="AL151" s="3"/>
      <c r="AM151" s="3"/>
    </row>
    <row r="152" spans="2:39" x14ac:dyDescent="0.3">
      <c r="B152" s="3"/>
      <c r="C152" s="3"/>
      <c r="D152" s="3"/>
      <c r="E152" s="3"/>
      <c r="F152" s="3"/>
      <c r="G152" s="3"/>
      <c r="R152" s="3"/>
      <c r="S152" s="3"/>
      <c r="T152" s="3"/>
      <c r="U152" s="3"/>
      <c r="V152" s="3"/>
      <c r="W152" s="3"/>
      <c r="Z152" s="3"/>
      <c r="AA152" s="3"/>
      <c r="AB152" s="3"/>
      <c r="AC152" s="3"/>
      <c r="AD152" s="3"/>
      <c r="AE152" s="3"/>
      <c r="AH152" s="3"/>
      <c r="AI152" s="3"/>
      <c r="AJ152" s="3"/>
      <c r="AK152" s="3"/>
      <c r="AL152" s="3"/>
      <c r="AM152" s="3"/>
    </row>
    <row r="153" spans="2:39" x14ac:dyDescent="0.3">
      <c r="B153" s="3"/>
      <c r="C153" s="3"/>
      <c r="D153" s="3"/>
      <c r="E153" s="3"/>
      <c r="F153" s="3"/>
      <c r="G153" s="3"/>
      <c r="R153" s="3"/>
      <c r="S153" s="3"/>
      <c r="T153" s="3"/>
      <c r="U153" s="3"/>
      <c r="V153" s="3"/>
      <c r="W153" s="3"/>
      <c r="Z153" s="3"/>
      <c r="AA153" s="3"/>
      <c r="AB153" s="3"/>
      <c r="AC153" s="3"/>
      <c r="AD153" s="3"/>
      <c r="AE153" s="3"/>
      <c r="AH153" s="3"/>
      <c r="AI153" s="3"/>
      <c r="AJ153" s="3"/>
      <c r="AK153" s="3"/>
      <c r="AL153" s="3"/>
      <c r="AM153" s="3"/>
    </row>
    <row r="154" spans="2:39" x14ac:dyDescent="0.3">
      <c r="B154" s="3"/>
      <c r="C154" s="3"/>
      <c r="D154" s="3"/>
      <c r="E154" s="3"/>
      <c r="F154" s="3"/>
      <c r="G154" s="3"/>
      <c r="R154" s="3"/>
      <c r="S154" s="3"/>
      <c r="T154" s="3"/>
      <c r="U154" s="3"/>
      <c r="V154" s="3"/>
      <c r="W154" s="3"/>
      <c r="Z154" s="3"/>
      <c r="AA154" s="3"/>
      <c r="AB154" s="3"/>
      <c r="AC154" s="3"/>
      <c r="AD154" s="3"/>
      <c r="AE154" s="3"/>
      <c r="AH154" s="3"/>
      <c r="AI154" s="3"/>
      <c r="AJ154" s="3"/>
      <c r="AK154" s="3"/>
      <c r="AL154" s="3"/>
      <c r="AM154" s="3"/>
    </row>
    <row r="155" spans="2:39" x14ac:dyDescent="0.3">
      <c r="B155" s="3"/>
      <c r="C155" s="3"/>
      <c r="D155" s="3"/>
      <c r="E155" s="3"/>
      <c r="F155" s="3"/>
      <c r="G155" s="3"/>
      <c r="R155" s="3"/>
      <c r="S155" s="3"/>
      <c r="T155" s="3"/>
      <c r="U155" s="3"/>
      <c r="V155" s="3"/>
      <c r="W155" s="3"/>
      <c r="Z155" s="3"/>
      <c r="AA155" s="3"/>
      <c r="AB155" s="3"/>
      <c r="AC155" s="3"/>
      <c r="AD155" s="3"/>
      <c r="AE155" s="3"/>
      <c r="AH155" s="3"/>
      <c r="AI155" s="3"/>
      <c r="AJ155" s="3"/>
      <c r="AK155" s="3"/>
      <c r="AL155" s="3"/>
      <c r="AM155" s="3"/>
    </row>
    <row r="156" spans="2:39" x14ac:dyDescent="0.3">
      <c r="B156" s="3"/>
      <c r="C156" s="3"/>
      <c r="D156" s="3"/>
      <c r="E156" s="3"/>
      <c r="F156" s="3"/>
      <c r="G156" s="3"/>
      <c r="R156" s="3"/>
      <c r="S156" s="3"/>
      <c r="T156" s="3"/>
      <c r="U156" s="3"/>
      <c r="V156" s="3"/>
      <c r="W156" s="3"/>
      <c r="Z156" s="3"/>
      <c r="AA156" s="3"/>
      <c r="AB156" s="3"/>
      <c r="AC156" s="3"/>
      <c r="AD156" s="3"/>
      <c r="AE156" s="3"/>
      <c r="AH156" s="3"/>
      <c r="AI156" s="3"/>
      <c r="AJ156" s="3"/>
      <c r="AK156" s="3"/>
      <c r="AL156" s="3"/>
      <c r="AM156" s="3"/>
    </row>
    <row r="157" spans="2:39" x14ac:dyDescent="0.3">
      <c r="R157" s="3"/>
      <c r="S157" s="3"/>
      <c r="T157" s="3"/>
      <c r="U157" s="3"/>
      <c r="V157" s="3"/>
      <c r="W157" s="3"/>
      <c r="Z157" s="3"/>
      <c r="AA157" s="3"/>
      <c r="AB157" s="3"/>
      <c r="AC157" s="3"/>
      <c r="AD157" s="3"/>
      <c r="AE157" s="3"/>
      <c r="AH157" s="3"/>
      <c r="AI157" s="3"/>
      <c r="AJ157" s="3"/>
      <c r="AK157" s="3"/>
      <c r="AL157" s="3"/>
      <c r="AM157" s="3"/>
    </row>
    <row r="158" spans="2:39" x14ac:dyDescent="0.3">
      <c r="R158" s="3"/>
      <c r="S158" s="3"/>
      <c r="T158" s="3"/>
      <c r="U158" s="3"/>
      <c r="V158" s="3"/>
      <c r="W158" s="3"/>
      <c r="Z158" s="3"/>
      <c r="AA158" s="3"/>
      <c r="AB158" s="3"/>
      <c r="AC158" s="3"/>
      <c r="AD158" s="3"/>
      <c r="AE158" s="3"/>
      <c r="AH158" s="3"/>
      <c r="AI158" s="3"/>
      <c r="AJ158" s="3"/>
      <c r="AK158" s="3"/>
      <c r="AL158" s="3"/>
      <c r="AM158" s="3"/>
    </row>
    <row r="159" spans="2:39" x14ac:dyDescent="0.3">
      <c r="Z159" s="3"/>
      <c r="AA159" s="3"/>
      <c r="AB159" s="3"/>
      <c r="AC159" s="3"/>
      <c r="AD159" s="3"/>
      <c r="AE159" s="3"/>
      <c r="AH159" s="3"/>
      <c r="AI159" s="3"/>
      <c r="AJ159" s="3"/>
      <c r="AK159" s="3"/>
      <c r="AL159" s="3"/>
      <c r="AM159" s="3"/>
    </row>
    <row r="160" spans="2:39" x14ac:dyDescent="0.3">
      <c r="Z160" s="3"/>
      <c r="AA160" s="3"/>
      <c r="AB160" s="3"/>
      <c r="AC160" s="3"/>
      <c r="AD160" s="3"/>
      <c r="AE160" s="3"/>
      <c r="AH160" s="3"/>
      <c r="AI160" s="3"/>
      <c r="AJ160" s="3"/>
      <c r="AK160" s="3"/>
      <c r="AL160" s="3"/>
      <c r="AM160" s="3"/>
    </row>
    <row r="161" spans="26:39" x14ac:dyDescent="0.3">
      <c r="Z161" s="3"/>
      <c r="AA161" s="3"/>
      <c r="AB161" s="3"/>
      <c r="AC161" s="3"/>
      <c r="AD161" s="3"/>
      <c r="AE161" s="3"/>
      <c r="AH161" s="3"/>
      <c r="AI161" s="3"/>
      <c r="AJ161" s="3"/>
      <c r="AK161" s="3"/>
      <c r="AL161" s="3"/>
      <c r="AM161" s="3"/>
    </row>
    <row r="162" spans="26:39" x14ac:dyDescent="0.3">
      <c r="Z162" s="3"/>
      <c r="AA162" s="3"/>
      <c r="AB162" s="3"/>
      <c r="AC162" s="3"/>
      <c r="AD162" s="3"/>
      <c r="AE162" s="3"/>
      <c r="AH162" s="3"/>
      <c r="AI162" s="3"/>
      <c r="AJ162" s="3"/>
      <c r="AK162" s="3"/>
      <c r="AL162" s="3"/>
      <c r="AM162" s="3"/>
    </row>
    <row r="163" spans="26:39" x14ac:dyDescent="0.3">
      <c r="Z163" s="3"/>
      <c r="AA163" s="3"/>
      <c r="AB163" s="3"/>
      <c r="AC163" s="3"/>
      <c r="AD163" s="3"/>
      <c r="AE163" s="3"/>
      <c r="AH163" s="3"/>
      <c r="AI163" s="3"/>
      <c r="AJ163" s="3"/>
      <c r="AK163" s="3"/>
      <c r="AL163" s="3"/>
      <c r="AM163" s="3"/>
    </row>
    <row r="164" spans="26:39" x14ac:dyDescent="0.3">
      <c r="Z164" s="3"/>
      <c r="AA164" s="3"/>
      <c r="AB164" s="3"/>
      <c r="AC164" s="3"/>
      <c r="AD164" s="3"/>
      <c r="AE164" s="3"/>
      <c r="AH164" s="3"/>
      <c r="AI164" s="3"/>
      <c r="AJ164" s="3"/>
      <c r="AK164" s="3"/>
      <c r="AL164" s="3"/>
      <c r="AM164" s="3"/>
    </row>
    <row r="165" spans="26:39" x14ac:dyDescent="0.3">
      <c r="Z165" s="3"/>
      <c r="AA165" s="3"/>
      <c r="AB165" s="3"/>
      <c r="AC165" s="3"/>
      <c r="AD165" s="3"/>
      <c r="AE165" s="3"/>
      <c r="AH165" s="3"/>
      <c r="AI165" s="3"/>
      <c r="AJ165" s="3"/>
      <c r="AK165" s="3"/>
      <c r="AL165" s="3"/>
      <c r="AM165" s="3"/>
    </row>
    <row r="166" spans="26:39" x14ac:dyDescent="0.3">
      <c r="Z166" s="3"/>
      <c r="AA166" s="3"/>
      <c r="AB166" s="3"/>
      <c r="AC166" s="3"/>
      <c r="AD166" s="3"/>
      <c r="AE166" s="3"/>
      <c r="AH166" s="3"/>
      <c r="AI166" s="3"/>
      <c r="AJ166" s="3"/>
      <c r="AK166" s="3"/>
      <c r="AL166" s="3"/>
      <c r="AM166" s="3"/>
    </row>
    <row r="167" spans="26:39" x14ac:dyDescent="0.3">
      <c r="Z167" s="3"/>
      <c r="AA167" s="3"/>
      <c r="AB167" s="3"/>
      <c r="AC167" s="3"/>
      <c r="AD167" s="3"/>
      <c r="AE167" s="3"/>
      <c r="AH167" s="3"/>
      <c r="AI167" s="3"/>
      <c r="AJ167" s="3"/>
      <c r="AK167" s="3"/>
      <c r="AL167" s="3"/>
      <c r="AM167" s="3"/>
    </row>
    <row r="168" spans="26:39" x14ac:dyDescent="0.3">
      <c r="Z168" s="3"/>
      <c r="AA168" s="3"/>
      <c r="AB168" s="3"/>
      <c r="AC168" s="3"/>
      <c r="AD168" s="3"/>
      <c r="AE168" s="3"/>
      <c r="AH168" s="3"/>
      <c r="AI168" s="3"/>
      <c r="AJ168" s="3"/>
      <c r="AK168" s="3"/>
      <c r="AL168" s="3"/>
      <c r="AM168" s="3"/>
    </row>
    <row r="169" spans="26:39" x14ac:dyDescent="0.3">
      <c r="Z169" s="3"/>
      <c r="AA169" s="3"/>
      <c r="AB169" s="3"/>
      <c r="AC169" s="3"/>
      <c r="AD169" s="3"/>
      <c r="AE169" s="3"/>
      <c r="AH169" s="3"/>
      <c r="AI169" s="3"/>
      <c r="AJ169" s="3"/>
      <c r="AK169" s="3"/>
      <c r="AL169" s="3"/>
      <c r="AM169" s="3"/>
    </row>
    <row r="170" spans="26:39" x14ac:dyDescent="0.3">
      <c r="Z170" s="3"/>
      <c r="AA170" s="3"/>
      <c r="AB170" s="3"/>
      <c r="AC170" s="3"/>
      <c r="AD170" s="3"/>
      <c r="AE170" s="3"/>
      <c r="AH170" s="3"/>
      <c r="AI170" s="3"/>
      <c r="AJ170" s="3"/>
      <c r="AK170" s="3"/>
      <c r="AL170" s="3"/>
      <c r="AM170" s="3"/>
    </row>
    <row r="171" spans="26:39" x14ac:dyDescent="0.3">
      <c r="Z171" s="3"/>
      <c r="AA171" s="3"/>
      <c r="AB171" s="3"/>
      <c r="AC171" s="3"/>
      <c r="AD171" s="3"/>
      <c r="AE171" s="3"/>
      <c r="AH171" s="3"/>
      <c r="AI171" s="3"/>
      <c r="AJ171" s="3"/>
      <c r="AK171" s="3"/>
      <c r="AL171" s="3"/>
      <c r="AM171" s="3"/>
    </row>
    <row r="172" spans="26:39" x14ac:dyDescent="0.3">
      <c r="Z172" s="3"/>
      <c r="AA172" s="3"/>
      <c r="AB172" s="3"/>
      <c r="AC172" s="3"/>
      <c r="AD172" s="3"/>
      <c r="AE172" s="3"/>
      <c r="AH172" s="3"/>
      <c r="AI172" s="3"/>
      <c r="AJ172" s="3"/>
      <c r="AK172" s="3"/>
      <c r="AL172" s="3"/>
      <c r="AM172" s="3"/>
    </row>
    <row r="173" spans="26:39" x14ac:dyDescent="0.3">
      <c r="Z173" s="3"/>
      <c r="AA173" s="3"/>
      <c r="AB173" s="3"/>
      <c r="AC173" s="3"/>
      <c r="AD173" s="3"/>
      <c r="AE173" s="3"/>
      <c r="AH173" s="3"/>
      <c r="AI173" s="3"/>
      <c r="AJ173" s="3"/>
      <c r="AK173" s="3"/>
      <c r="AL173" s="3"/>
      <c r="AM173" s="3"/>
    </row>
    <row r="174" spans="26:39" x14ac:dyDescent="0.3">
      <c r="Z174" s="3"/>
      <c r="AA174" s="3"/>
      <c r="AB174" s="3"/>
      <c r="AC174" s="3"/>
      <c r="AD174" s="3"/>
      <c r="AE174" s="3"/>
      <c r="AH174" s="3"/>
      <c r="AI174" s="3"/>
      <c r="AJ174" s="3"/>
      <c r="AK174" s="3"/>
      <c r="AL174" s="3"/>
      <c r="AM174" s="3"/>
    </row>
    <row r="175" spans="26:39" x14ac:dyDescent="0.3">
      <c r="Z175" s="3"/>
      <c r="AA175" s="3"/>
      <c r="AB175" s="3"/>
      <c r="AC175" s="3"/>
      <c r="AD175" s="3"/>
      <c r="AE175" s="3"/>
      <c r="AH175" s="3"/>
      <c r="AI175" s="3"/>
      <c r="AJ175" s="3"/>
      <c r="AK175" s="3"/>
      <c r="AL175" s="3"/>
      <c r="AM175" s="3"/>
    </row>
    <row r="176" spans="26:39" x14ac:dyDescent="0.3">
      <c r="Z176" s="3"/>
      <c r="AA176" s="3"/>
      <c r="AB176" s="3"/>
      <c r="AC176" s="3"/>
      <c r="AD176" s="3"/>
      <c r="AE176" s="3"/>
      <c r="AH176" s="3"/>
      <c r="AI176" s="3"/>
      <c r="AJ176" s="3"/>
      <c r="AK176" s="3"/>
      <c r="AL176" s="3"/>
      <c r="AM176" s="3"/>
    </row>
    <row r="177" spans="26:31" x14ac:dyDescent="0.3">
      <c r="Z177" s="3"/>
      <c r="AA177" s="3"/>
      <c r="AB177" s="3"/>
      <c r="AC177" s="3"/>
      <c r="AD177" s="3"/>
      <c r="AE177" s="3"/>
    </row>
    <row r="178" spans="26:31" x14ac:dyDescent="0.3">
      <c r="Z178" s="3"/>
      <c r="AA178" s="3"/>
      <c r="AB178" s="3"/>
      <c r="AC178" s="3"/>
      <c r="AD178" s="3"/>
      <c r="AE178" s="3"/>
    </row>
    <row r="179" spans="26:31" x14ac:dyDescent="0.3">
      <c r="Z179" s="3"/>
      <c r="AA179" s="3"/>
      <c r="AB179" s="3"/>
      <c r="AC179" s="3"/>
      <c r="AD179" s="3"/>
      <c r="AE179" s="3"/>
    </row>
    <row r="180" spans="26:31" x14ac:dyDescent="0.3">
      <c r="Z180" s="3"/>
      <c r="AA180" s="3"/>
      <c r="AB180" s="3"/>
      <c r="AC180" s="3"/>
      <c r="AD180" s="3"/>
      <c r="AE180" s="3"/>
    </row>
    <row r="181" spans="26:31" x14ac:dyDescent="0.3">
      <c r="Z181" s="3"/>
      <c r="AA181" s="3"/>
      <c r="AB181" s="3"/>
      <c r="AC181" s="3"/>
      <c r="AD181" s="3"/>
      <c r="AE181" s="3"/>
    </row>
    <row r="182" spans="26:31" x14ac:dyDescent="0.3">
      <c r="Z182" s="3"/>
      <c r="AA182" s="3"/>
      <c r="AB182" s="3"/>
      <c r="AC182" s="3"/>
      <c r="AD182" s="3"/>
      <c r="AE182" s="3"/>
    </row>
    <row r="183" spans="26:31" x14ac:dyDescent="0.3">
      <c r="Z183" s="3"/>
      <c r="AA183" s="3"/>
      <c r="AB183" s="3"/>
      <c r="AC183" s="3"/>
      <c r="AD183" s="3"/>
      <c r="AE183" s="3"/>
    </row>
    <row r="184" spans="26:31" x14ac:dyDescent="0.3">
      <c r="Z184" s="3"/>
      <c r="AA184" s="3"/>
      <c r="AB184" s="3"/>
      <c r="AC184" s="3"/>
      <c r="AD184" s="3"/>
      <c r="AE184" s="3"/>
    </row>
    <row r="185" spans="26:31" x14ac:dyDescent="0.3">
      <c r="Z185" s="3"/>
      <c r="AA185" s="3"/>
      <c r="AB185" s="3"/>
      <c r="AC185" s="3"/>
      <c r="AD185" s="3"/>
      <c r="AE185" s="3"/>
    </row>
    <row r="186" spans="26:31" x14ac:dyDescent="0.3">
      <c r="Z186" s="3"/>
      <c r="AA186" s="3"/>
      <c r="AB186" s="3"/>
      <c r="AC186" s="3"/>
      <c r="AD186" s="3"/>
      <c r="AE186" s="3"/>
    </row>
    <row r="187" spans="26:31" x14ac:dyDescent="0.3">
      <c r="Z187" s="3"/>
      <c r="AA187" s="3"/>
      <c r="AB187" s="3"/>
      <c r="AC187" s="3"/>
      <c r="AD187" s="3"/>
      <c r="AE187" s="3"/>
    </row>
    <row r="188" spans="26:31" x14ac:dyDescent="0.3">
      <c r="Z188" s="3"/>
      <c r="AA188" s="3"/>
      <c r="AB188" s="3"/>
      <c r="AC188" s="3"/>
      <c r="AD188" s="3"/>
      <c r="AE188" s="3"/>
    </row>
    <row r="189" spans="26:31" x14ac:dyDescent="0.3">
      <c r="Z189" s="3"/>
      <c r="AA189" s="3"/>
      <c r="AB189" s="3"/>
      <c r="AC189" s="3"/>
      <c r="AD189" s="3"/>
      <c r="AE189" s="3"/>
    </row>
    <row r="190" spans="26:31" x14ac:dyDescent="0.3">
      <c r="Z190" s="3"/>
      <c r="AA190" s="3"/>
      <c r="AB190" s="3"/>
      <c r="AC190" s="3"/>
      <c r="AD190" s="3"/>
      <c r="AE190" s="3"/>
    </row>
    <row r="191" spans="26:31" x14ac:dyDescent="0.3">
      <c r="Z191" s="3"/>
      <c r="AA191" s="3"/>
      <c r="AB191" s="3"/>
      <c r="AC191" s="3"/>
      <c r="AD191" s="3"/>
      <c r="AE191" s="3"/>
    </row>
    <row r="192" spans="26:31" x14ac:dyDescent="0.3">
      <c r="Z192" s="3"/>
      <c r="AA192" s="3"/>
      <c r="AB192" s="3"/>
      <c r="AC192" s="3"/>
      <c r="AD192" s="3"/>
      <c r="AE192" s="3"/>
    </row>
    <row r="193" spans="26:31" x14ac:dyDescent="0.3">
      <c r="Z193" s="3"/>
      <c r="AA193" s="3"/>
      <c r="AB193" s="3"/>
      <c r="AC193" s="3"/>
      <c r="AD193" s="3"/>
      <c r="AE193" s="3"/>
    </row>
    <row r="194" spans="26:31" x14ac:dyDescent="0.3">
      <c r="Z194" s="3"/>
      <c r="AA194" s="3"/>
      <c r="AB194" s="3"/>
      <c r="AC194" s="3"/>
      <c r="AD194" s="3"/>
      <c r="AE194" s="3"/>
    </row>
    <row r="195" spans="26:31" x14ac:dyDescent="0.3">
      <c r="Z195" s="3"/>
      <c r="AA195" s="3"/>
      <c r="AB195" s="3"/>
      <c r="AC195" s="3"/>
      <c r="AD195" s="3"/>
      <c r="AE195" s="3"/>
    </row>
    <row r="196" spans="26:31" x14ac:dyDescent="0.3">
      <c r="Z196" s="3"/>
      <c r="AA196" s="3"/>
      <c r="AB196" s="3"/>
      <c r="AC196" s="3"/>
      <c r="AD196" s="3"/>
      <c r="AE196" s="3"/>
    </row>
    <row r="197" spans="26:31" x14ac:dyDescent="0.3">
      <c r="Z197" s="3"/>
      <c r="AA197" s="3"/>
      <c r="AB197" s="3"/>
      <c r="AC197" s="3"/>
      <c r="AD197" s="3"/>
      <c r="AE197" s="3"/>
    </row>
    <row r="198" spans="26:31" x14ac:dyDescent="0.3">
      <c r="Z198" s="3"/>
      <c r="AA198" s="3"/>
      <c r="AB198" s="3"/>
      <c r="AC198" s="3"/>
      <c r="AD198" s="3"/>
      <c r="AE198" s="3"/>
    </row>
    <row r="199" spans="26:31" x14ac:dyDescent="0.3">
      <c r="Z199" s="3"/>
      <c r="AA199" s="3"/>
      <c r="AB199" s="3"/>
      <c r="AC199" s="3"/>
      <c r="AD199" s="3"/>
      <c r="AE199" s="3"/>
    </row>
    <row r="200" spans="26:31" x14ac:dyDescent="0.3">
      <c r="Z200" s="3"/>
      <c r="AA200" s="3"/>
      <c r="AB200" s="3"/>
      <c r="AC200" s="3"/>
      <c r="AD200" s="3"/>
      <c r="AE200" s="3"/>
    </row>
    <row r="201" spans="26:31" x14ac:dyDescent="0.3">
      <c r="Z201" s="3"/>
      <c r="AA201" s="3"/>
      <c r="AB201" s="3"/>
      <c r="AC201" s="3"/>
      <c r="AD201" s="3"/>
      <c r="AE201" s="3"/>
    </row>
    <row r="202" spans="26:31" x14ac:dyDescent="0.3">
      <c r="Z202" s="3"/>
      <c r="AA202" s="3"/>
      <c r="AB202" s="3"/>
      <c r="AC202" s="3"/>
      <c r="AD202" s="3"/>
      <c r="AE202" s="3"/>
    </row>
    <row r="203" spans="26:31" x14ac:dyDescent="0.3">
      <c r="Z203" s="3"/>
      <c r="AA203" s="3"/>
      <c r="AB203" s="3"/>
      <c r="AC203" s="3"/>
      <c r="AD203" s="3"/>
      <c r="AE203" s="3"/>
    </row>
    <row r="204" spans="26:31" x14ac:dyDescent="0.3">
      <c r="Z204" s="3"/>
      <c r="AA204" s="3"/>
      <c r="AB204" s="3"/>
      <c r="AC204" s="3"/>
      <c r="AD204" s="3"/>
      <c r="AE204" s="3"/>
    </row>
    <row r="205" spans="26:31" x14ac:dyDescent="0.3">
      <c r="Z205" s="3"/>
      <c r="AA205" s="3"/>
      <c r="AB205" s="3"/>
      <c r="AC205" s="3"/>
      <c r="AD205" s="3"/>
      <c r="AE205" s="3"/>
    </row>
    <row r="206" spans="26:31" x14ac:dyDescent="0.3">
      <c r="Z206" s="3"/>
      <c r="AA206" s="3"/>
      <c r="AB206" s="3"/>
      <c r="AC206" s="3"/>
      <c r="AD206" s="3"/>
      <c r="AE206" s="3"/>
    </row>
    <row r="207" spans="26:31" x14ac:dyDescent="0.3">
      <c r="Z207" s="3"/>
      <c r="AA207" s="3"/>
      <c r="AB207" s="3"/>
      <c r="AC207" s="3"/>
      <c r="AD207" s="3"/>
      <c r="AE207" s="3"/>
    </row>
    <row r="208" spans="26:31" x14ac:dyDescent="0.3">
      <c r="Z208" s="3"/>
      <c r="AA208" s="3"/>
      <c r="AB208" s="3"/>
      <c r="AC208" s="3"/>
      <c r="AD208" s="3"/>
      <c r="AE208" s="3"/>
    </row>
    <row r="209" spans="26:31" x14ac:dyDescent="0.3">
      <c r="Z209" s="3"/>
      <c r="AA209" s="3"/>
      <c r="AB209" s="3"/>
      <c r="AC209" s="3"/>
      <c r="AD209" s="3"/>
      <c r="AE209" s="3"/>
    </row>
    <row r="210" spans="26:31" x14ac:dyDescent="0.3">
      <c r="Z210" s="3"/>
      <c r="AA210" s="3"/>
      <c r="AB210" s="3"/>
      <c r="AC210" s="3"/>
      <c r="AD210" s="3"/>
      <c r="AE210" s="3"/>
    </row>
    <row r="211" spans="26:31" x14ac:dyDescent="0.3">
      <c r="Z211" s="3"/>
      <c r="AA211" s="3"/>
      <c r="AB211" s="3"/>
      <c r="AC211" s="3"/>
      <c r="AD211" s="3"/>
      <c r="AE211" s="3"/>
    </row>
    <row r="212" spans="26:31" x14ac:dyDescent="0.3">
      <c r="Z212" s="3"/>
      <c r="AA212" s="3"/>
      <c r="AB212" s="3"/>
      <c r="AC212" s="3"/>
      <c r="AD212" s="3"/>
      <c r="AE212" s="3"/>
    </row>
    <row r="213" spans="26:31" x14ac:dyDescent="0.3">
      <c r="Z213" s="3"/>
      <c r="AA213" s="3"/>
      <c r="AB213" s="3"/>
      <c r="AC213" s="3"/>
      <c r="AD213" s="3"/>
      <c r="AE213" s="3"/>
    </row>
    <row r="214" spans="26:31" x14ac:dyDescent="0.3">
      <c r="Z214" s="3"/>
      <c r="AA214" s="3"/>
      <c r="AB214" s="3"/>
      <c r="AC214" s="3"/>
      <c r="AD214" s="3"/>
      <c r="AE214" s="3"/>
    </row>
    <row r="215" spans="26:31" x14ac:dyDescent="0.3">
      <c r="Z215" s="3"/>
      <c r="AA215" s="3"/>
      <c r="AB215" s="3"/>
      <c r="AC215" s="3"/>
      <c r="AD215" s="3"/>
      <c r="AE215" s="3"/>
    </row>
    <row r="216" spans="26:31" x14ac:dyDescent="0.3">
      <c r="Z216" s="3"/>
      <c r="AA216" s="3"/>
      <c r="AB216" s="3"/>
      <c r="AC216" s="3"/>
      <c r="AD216" s="3"/>
      <c r="AE216" s="3"/>
    </row>
    <row r="217" spans="26:31" x14ac:dyDescent="0.3">
      <c r="Z217" s="3"/>
      <c r="AA217" s="3"/>
      <c r="AB217" s="3"/>
      <c r="AC217" s="3"/>
      <c r="AD217" s="3"/>
      <c r="AE217" s="3"/>
    </row>
    <row r="218" spans="26:31" x14ac:dyDescent="0.3">
      <c r="Z218" s="3"/>
      <c r="AA218" s="3"/>
      <c r="AB218" s="3"/>
      <c r="AC218" s="3"/>
      <c r="AD218" s="3"/>
      <c r="AE218" s="3"/>
    </row>
    <row r="219" spans="26:31" x14ac:dyDescent="0.3">
      <c r="Z219" s="3"/>
      <c r="AA219" s="3"/>
      <c r="AB219" s="3"/>
      <c r="AC219" s="3"/>
      <c r="AD219" s="3"/>
      <c r="AE219" s="3"/>
    </row>
    <row r="220" spans="26:31" x14ac:dyDescent="0.3">
      <c r="Z220" s="3"/>
      <c r="AA220" s="3"/>
      <c r="AB220" s="3"/>
      <c r="AC220" s="3"/>
      <c r="AD220" s="3"/>
      <c r="AE220" s="3"/>
    </row>
    <row r="221" spans="26:31" x14ac:dyDescent="0.3">
      <c r="Z221" s="3"/>
      <c r="AA221" s="3"/>
      <c r="AB221" s="3"/>
      <c r="AC221" s="3"/>
      <c r="AD221" s="3"/>
      <c r="AE221" s="3"/>
    </row>
    <row r="222" spans="26:31" x14ac:dyDescent="0.3">
      <c r="Z222" s="3"/>
      <c r="AA222" s="3"/>
      <c r="AB222" s="3"/>
      <c r="AC222" s="3"/>
      <c r="AD222" s="3"/>
      <c r="AE222" s="3"/>
    </row>
    <row r="223" spans="26:31" x14ac:dyDescent="0.3">
      <c r="Z223" s="3"/>
      <c r="AA223" s="3"/>
      <c r="AB223" s="3"/>
      <c r="AC223" s="3"/>
      <c r="AD223" s="3"/>
      <c r="AE223" s="3"/>
    </row>
    <row r="224" spans="26:31" x14ac:dyDescent="0.3">
      <c r="Z224" s="3"/>
      <c r="AA224" s="3"/>
      <c r="AB224" s="3"/>
      <c r="AC224" s="3"/>
      <c r="AD224" s="3"/>
      <c r="AE224" s="3"/>
    </row>
    <row r="225" spans="26:31" x14ac:dyDescent="0.3">
      <c r="Z225" s="3"/>
      <c r="AA225" s="3"/>
      <c r="AB225" s="3"/>
      <c r="AC225" s="3"/>
      <c r="AD225" s="3"/>
      <c r="AE225" s="3"/>
    </row>
    <row r="226" spans="26:31" x14ac:dyDescent="0.3">
      <c r="Z226" s="3"/>
      <c r="AA226" s="3"/>
      <c r="AB226" s="3"/>
      <c r="AC226" s="3"/>
      <c r="AD226" s="3"/>
      <c r="AE226" s="3"/>
    </row>
    <row r="227" spans="26:31" x14ac:dyDescent="0.3">
      <c r="Z227" s="3"/>
      <c r="AA227" s="3"/>
      <c r="AB227" s="3"/>
      <c r="AC227" s="3"/>
      <c r="AD227" s="3"/>
      <c r="AE227" s="3"/>
    </row>
    <row r="228" spans="26:31" x14ac:dyDescent="0.3">
      <c r="Z228" s="3"/>
      <c r="AA228" s="3"/>
      <c r="AB228" s="3"/>
      <c r="AC228" s="3"/>
      <c r="AD228" s="3"/>
      <c r="AE228" s="3"/>
    </row>
    <row r="229" spans="26:31" x14ac:dyDescent="0.3">
      <c r="Z229" s="3"/>
      <c r="AA229" s="3"/>
      <c r="AB229" s="3"/>
      <c r="AC229" s="3"/>
      <c r="AD229" s="3"/>
      <c r="AE229" s="3"/>
    </row>
    <row r="230" spans="26:31" x14ac:dyDescent="0.3">
      <c r="Z230" s="3"/>
      <c r="AA230" s="3"/>
      <c r="AB230" s="3"/>
      <c r="AC230" s="3"/>
      <c r="AD230" s="3"/>
      <c r="AE230" s="3"/>
    </row>
    <row r="231" spans="26:31" x14ac:dyDescent="0.3">
      <c r="Z231" s="3"/>
      <c r="AA231" s="3"/>
      <c r="AB231" s="3"/>
      <c r="AC231" s="3"/>
      <c r="AD231" s="3"/>
      <c r="AE231" s="3"/>
    </row>
  </sheetData>
  <mergeCells count="94">
    <mergeCell ref="Q44:W44"/>
    <mergeCell ref="Q54:W54"/>
    <mergeCell ref="Q56:W56"/>
    <mergeCell ref="I50:O50"/>
    <mergeCell ref="I51:O51"/>
    <mergeCell ref="I53:O53"/>
    <mergeCell ref="A38:G38"/>
    <mergeCell ref="A46:G46"/>
    <mergeCell ref="A48:G48"/>
    <mergeCell ref="A18:G18"/>
    <mergeCell ref="I11:O11"/>
    <mergeCell ref="I22:O22"/>
    <mergeCell ref="I20:O20"/>
    <mergeCell ref="I34:O34"/>
    <mergeCell ref="I33:O33"/>
    <mergeCell ref="I42:O42"/>
    <mergeCell ref="A45:G45"/>
    <mergeCell ref="A36:G36"/>
    <mergeCell ref="A37:G37"/>
    <mergeCell ref="A30:G30"/>
    <mergeCell ref="AO38:AU38"/>
    <mergeCell ref="AO44:AU44"/>
    <mergeCell ref="AO45:AU45"/>
    <mergeCell ref="AO46:AU46"/>
    <mergeCell ref="AO56:AU56"/>
    <mergeCell ref="AO57:AU57"/>
    <mergeCell ref="AG62:AM62"/>
    <mergeCell ref="AO1:AS1"/>
    <mergeCell ref="AT1:AU1"/>
    <mergeCell ref="AO3:AU3"/>
    <mergeCell ref="AO4:AU4"/>
    <mergeCell ref="AO13:AU13"/>
    <mergeCell ref="AO22:AU22"/>
    <mergeCell ref="AO24:AU24"/>
    <mergeCell ref="AO35:AU35"/>
    <mergeCell ref="AO36:AU36"/>
    <mergeCell ref="AG43:AM43"/>
    <mergeCell ref="AG44:AM44"/>
    <mergeCell ref="AG47:AM47"/>
    <mergeCell ref="AG55:AM55"/>
    <mergeCell ref="AG59:AM59"/>
    <mergeCell ref="AG60:AM60"/>
    <mergeCell ref="AG21:AM21"/>
    <mergeCell ref="AG23:AM23"/>
    <mergeCell ref="AG24:AM24"/>
    <mergeCell ref="AG35:AM35"/>
    <mergeCell ref="AG36:AM36"/>
    <mergeCell ref="AG42:AM42"/>
    <mergeCell ref="AG1:AK1"/>
    <mergeCell ref="AL1:AM1"/>
    <mergeCell ref="AG3:AM3"/>
    <mergeCell ref="AG4:AM4"/>
    <mergeCell ref="AG11:AM11"/>
    <mergeCell ref="AG12:AM12"/>
    <mergeCell ref="Y41:AE41"/>
    <mergeCell ref="Y42:AE42"/>
    <mergeCell ref="Y43:AE43"/>
    <mergeCell ref="Y50:AE50"/>
    <mergeCell ref="Y51:AE51"/>
    <mergeCell ref="Y53:AE53"/>
    <mergeCell ref="Q53:W53"/>
    <mergeCell ref="Y1:AC1"/>
    <mergeCell ref="AD1:AE1"/>
    <mergeCell ref="Y3:AE3"/>
    <mergeCell ref="Y4:AE4"/>
    <mergeCell ref="Y13:AE13"/>
    <mergeCell ref="Y22:AE22"/>
    <mergeCell ref="Y24:AE24"/>
    <mergeCell ref="Y34:AE34"/>
    <mergeCell ref="Y35:AE35"/>
    <mergeCell ref="Q43:W43"/>
    <mergeCell ref="Q45:W45"/>
    <mergeCell ref="Q1:U1"/>
    <mergeCell ref="V1:W1"/>
    <mergeCell ref="Q3:W3"/>
    <mergeCell ref="Q4:W4"/>
    <mergeCell ref="Q21:W21"/>
    <mergeCell ref="I40:O40"/>
    <mergeCell ref="I41:O41"/>
    <mergeCell ref="Q12:W12"/>
    <mergeCell ref="Q23:W23"/>
    <mergeCell ref="Q36:W36"/>
    <mergeCell ref="Q37:W37"/>
    <mergeCell ref="I1:M1"/>
    <mergeCell ref="N1:O1"/>
    <mergeCell ref="I3:O3"/>
    <mergeCell ref="I4:O4"/>
    <mergeCell ref="A29:G29"/>
    <mergeCell ref="A1:E1"/>
    <mergeCell ref="F1:G1"/>
    <mergeCell ref="A3:G3"/>
    <mergeCell ref="A4:G4"/>
    <mergeCell ref="A10:G10"/>
    <mergeCell ref="A16:G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521C-EA64-426D-B133-283AAD41A9EE}">
  <dimension ref="A1:AU291"/>
  <sheetViews>
    <sheetView topLeftCell="D1" zoomScale="80" zoomScaleNormal="80" workbookViewId="0">
      <selection activeCell="H12" sqref="H12"/>
    </sheetView>
  </sheetViews>
  <sheetFormatPr defaultRowHeight="14.4" x14ac:dyDescent="0.3"/>
  <cols>
    <col min="1" max="1" width="43.5546875" style="59" bestFit="1" customWidth="1"/>
    <col min="2" max="3" width="10.44140625" style="2" bestFit="1" customWidth="1"/>
    <col min="4" max="4" width="9.88671875" style="2" bestFit="1" customWidth="1"/>
    <col min="5" max="5" width="10.88671875" style="2" bestFit="1" customWidth="1"/>
    <col min="6" max="7" width="11" style="2" bestFit="1" customWidth="1"/>
    <col min="8" max="8" width="8.88671875" style="2"/>
    <col min="9" max="9" width="45.5546875" style="2" bestFit="1" customWidth="1"/>
    <col min="10" max="15" width="11" style="2" bestFit="1" customWidth="1"/>
    <col min="16" max="16" width="8.88671875" style="2"/>
    <col min="17" max="17" width="49.33203125" style="2" bestFit="1" customWidth="1"/>
    <col min="18" max="23" width="11.5546875" style="2" bestFit="1" customWidth="1"/>
    <col min="24" max="24" width="8.88671875" style="2"/>
    <col min="25" max="25" width="51.44140625" style="2" bestFit="1" customWidth="1"/>
    <col min="26" max="30" width="10.77734375" style="3" bestFit="1" customWidth="1"/>
    <col min="31" max="31" width="8.88671875" style="3"/>
    <col min="32" max="32" width="8.88671875" style="2"/>
    <col min="33" max="33" width="46.5546875" style="2" bestFit="1" customWidth="1"/>
    <col min="34" max="35" width="9.88671875" style="3" bestFit="1" customWidth="1"/>
    <col min="36" max="39" width="10" style="3" bestFit="1" customWidth="1"/>
    <col min="40" max="40" width="8.88671875" style="2"/>
    <col min="41" max="41" width="60.109375" style="2" bestFit="1" customWidth="1"/>
    <col min="42" max="46" width="9.88671875" style="3" bestFit="1" customWidth="1"/>
    <col min="47" max="47" width="8.88671875" style="3"/>
    <col min="48" max="16384" width="8.88671875" style="2"/>
  </cols>
  <sheetData>
    <row r="1" spans="1:47" ht="40.799999999999997" customHeight="1" x14ac:dyDescent="0.3">
      <c r="A1" s="189" t="s">
        <v>117</v>
      </c>
      <c r="B1" s="189"/>
      <c r="C1" s="189"/>
      <c r="D1" s="189"/>
      <c r="E1" s="189"/>
      <c r="F1" s="190" t="e" vm="1">
        <v>#VALUE!</v>
      </c>
      <c r="G1" s="190"/>
      <c r="I1" s="189" t="s">
        <v>117</v>
      </c>
      <c r="J1" s="189"/>
      <c r="K1" s="189"/>
      <c r="L1" s="189"/>
      <c r="M1" s="189"/>
      <c r="N1" s="190" t="e" vm="2">
        <v>#VALUE!</v>
      </c>
      <c r="O1" s="190"/>
      <c r="Q1" s="189" t="s">
        <v>117</v>
      </c>
      <c r="R1" s="189"/>
      <c r="S1" s="189"/>
      <c r="T1" s="189"/>
      <c r="U1" s="189"/>
      <c r="V1" s="190" t="e" vm="3">
        <v>#VALUE!</v>
      </c>
      <c r="W1" s="190"/>
      <c r="Y1" s="189" t="s">
        <v>117</v>
      </c>
      <c r="Z1" s="189"/>
      <c r="AA1" s="189"/>
      <c r="AB1" s="189"/>
      <c r="AC1" s="189"/>
      <c r="AD1" s="190" t="e" vm="4">
        <v>#VALUE!</v>
      </c>
      <c r="AE1" s="190"/>
      <c r="AG1" s="189" t="s">
        <v>117</v>
      </c>
      <c r="AH1" s="189"/>
      <c r="AI1" s="189"/>
      <c r="AJ1" s="189"/>
      <c r="AK1" s="189"/>
      <c r="AL1" s="190" t="e" vm="5">
        <v>#VALUE!</v>
      </c>
      <c r="AM1" s="190"/>
      <c r="AO1" s="189" t="s">
        <v>117</v>
      </c>
      <c r="AP1" s="189"/>
      <c r="AQ1" s="189"/>
      <c r="AR1" s="189"/>
      <c r="AS1" s="189"/>
      <c r="AT1" s="190" t="e" vm="6">
        <v>#VALUE!</v>
      </c>
      <c r="AU1" s="190"/>
    </row>
    <row r="2" spans="1:47" x14ac:dyDescent="0.3">
      <c r="A2" s="54" t="s">
        <v>0</v>
      </c>
      <c r="B2" s="52">
        <v>2020</v>
      </c>
      <c r="C2" s="52">
        <v>2021</v>
      </c>
      <c r="D2" s="52">
        <v>2022</v>
      </c>
      <c r="E2" s="52">
        <v>2023</v>
      </c>
      <c r="F2" s="52">
        <v>2024</v>
      </c>
      <c r="G2" s="52">
        <v>2025</v>
      </c>
      <c r="I2" s="1" t="s">
        <v>0</v>
      </c>
      <c r="J2" s="52">
        <v>2020</v>
      </c>
      <c r="K2" s="52">
        <v>2021</v>
      </c>
      <c r="L2" s="52">
        <v>2022</v>
      </c>
      <c r="M2" s="52">
        <v>2023</v>
      </c>
      <c r="N2" s="52">
        <v>2024</v>
      </c>
      <c r="O2" s="52">
        <v>2025</v>
      </c>
      <c r="Q2" s="1" t="s">
        <v>0</v>
      </c>
      <c r="R2" s="52">
        <v>2020</v>
      </c>
      <c r="S2" s="52">
        <v>2021</v>
      </c>
      <c r="T2" s="52">
        <v>2022</v>
      </c>
      <c r="U2" s="52">
        <v>2023</v>
      </c>
      <c r="V2" s="52">
        <v>2024</v>
      </c>
      <c r="W2" s="52">
        <v>2025</v>
      </c>
      <c r="Y2" s="1" t="s">
        <v>0</v>
      </c>
      <c r="Z2" s="52">
        <v>2020</v>
      </c>
      <c r="AA2" s="52">
        <v>2021</v>
      </c>
      <c r="AB2" s="52">
        <v>2022</v>
      </c>
      <c r="AC2" s="52">
        <v>2023</v>
      </c>
      <c r="AD2" s="52">
        <v>2024</v>
      </c>
      <c r="AE2" s="52" t="s">
        <v>80</v>
      </c>
      <c r="AG2" s="1" t="s">
        <v>0</v>
      </c>
      <c r="AH2" s="52">
        <v>2020</v>
      </c>
      <c r="AI2" s="52">
        <v>2021</v>
      </c>
      <c r="AJ2" s="52">
        <v>2022</v>
      </c>
      <c r="AK2" s="52">
        <v>2023</v>
      </c>
      <c r="AL2" s="52">
        <v>2024</v>
      </c>
      <c r="AM2" s="52">
        <v>2025</v>
      </c>
      <c r="AO2" s="1" t="s">
        <v>0</v>
      </c>
      <c r="AP2" s="52">
        <v>2020</v>
      </c>
      <c r="AQ2" s="52">
        <v>2021</v>
      </c>
      <c r="AR2" s="52">
        <v>2022</v>
      </c>
      <c r="AS2" s="52">
        <v>2023</v>
      </c>
      <c r="AT2" s="52">
        <v>2024</v>
      </c>
      <c r="AU2" s="52" t="s">
        <v>80</v>
      </c>
    </row>
    <row r="3" spans="1:47" x14ac:dyDescent="0.3">
      <c r="A3" s="201" t="s">
        <v>119</v>
      </c>
      <c r="B3" s="201"/>
      <c r="C3" s="201"/>
      <c r="D3" s="201"/>
      <c r="E3" s="201"/>
      <c r="F3" s="201"/>
      <c r="G3" s="201"/>
      <c r="I3" s="201" t="s">
        <v>119</v>
      </c>
      <c r="J3" s="201"/>
      <c r="K3" s="201"/>
      <c r="L3" s="201"/>
      <c r="M3" s="201"/>
      <c r="N3" s="201"/>
      <c r="O3" s="201"/>
      <c r="Q3" s="201" t="s">
        <v>119</v>
      </c>
      <c r="R3" s="201"/>
      <c r="S3" s="201"/>
      <c r="T3" s="201"/>
      <c r="U3" s="201"/>
      <c r="V3" s="201"/>
      <c r="W3" s="201"/>
      <c r="Y3" s="201" t="s">
        <v>119</v>
      </c>
      <c r="Z3" s="201"/>
      <c r="AA3" s="201"/>
      <c r="AB3" s="201"/>
      <c r="AC3" s="201"/>
      <c r="AD3" s="201"/>
      <c r="AE3" s="201"/>
      <c r="AG3" s="201" t="s">
        <v>119</v>
      </c>
      <c r="AH3" s="201"/>
      <c r="AI3" s="201"/>
      <c r="AJ3" s="201"/>
      <c r="AK3" s="201"/>
      <c r="AL3" s="201"/>
      <c r="AM3" s="201"/>
      <c r="AO3" s="201" t="s">
        <v>119</v>
      </c>
      <c r="AP3" s="201"/>
      <c r="AQ3" s="201"/>
      <c r="AR3" s="201"/>
      <c r="AS3" s="201"/>
      <c r="AT3" s="201"/>
      <c r="AU3" s="201"/>
    </row>
    <row r="4" spans="1:47" x14ac:dyDescent="0.3">
      <c r="A4" s="55" t="s">
        <v>118</v>
      </c>
      <c r="B4" s="56">
        <v>75660</v>
      </c>
      <c r="C4" s="56">
        <v>70372</v>
      </c>
      <c r="D4" s="56">
        <v>88329.8</v>
      </c>
      <c r="E4" s="56">
        <v>117571.3</v>
      </c>
      <c r="F4" s="56">
        <v>134937.79999999999</v>
      </c>
      <c r="G4" s="56">
        <v>145115.20000000001</v>
      </c>
      <c r="I4" s="60" t="s">
        <v>118</v>
      </c>
      <c r="J4" s="56">
        <v>75381.929999999993</v>
      </c>
      <c r="K4" s="56">
        <v>74277.78</v>
      </c>
      <c r="L4" s="56">
        <v>90170.57</v>
      </c>
      <c r="M4" s="56">
        <v>121268.55</v>
      </c>
      <c r="N4" s="56">
        <v>138279.29999999999</v>
      </c>
      <c r="O4" s="56">
        <v>158749.75</v>
      </c>
      <c r="Q4" s="60" t="s">
        <v>118</v>
      </c>
      <c r="R4" s="56">
        <v>258594.36</v>
      </c>
      <c r="S4" s="56">
        <v>246972.17</v>
      </c>
      <c r="T4" s="56">
        <v>275235.23</v>
      </c>
      <c r="U4" s="56">
        <v>342874.59</v>
      </c>
      <c r="V4" s="56">
        <v>431212</v>
      </c>
      <c r="W4" s="56">
        <v>436821</v>
      </c>
      <c r="Y4" s="60" t="s">
        <v>118</v>
      </c>
      <c r="Z4" s="56">
        <v>18849.310000000001</v>
      </c>
      <c r="AA4" s="56">
        <v>19420.82</v>
      </c>
      <c r="AB4" s="56">
        <v>24355.31</v>
      </c>
      <c r="AC4" s="56">
        <v>31973.99</v>
      </c>
      <c r="AD4" s="56">
        <v>39144.74</v>
      </c>
      <c r="AE4" s="56"/>
      <c r="AG4" s="60" t="s">
        <v>118</v>
      </c>
      <c r="AH4" s="56">
        <v>14471.01</v>
      </c>
      <c r="AI4" s="56">
        <v>15296.89</v>
      </c>
      <c r="AJ4" s="56">
        <v>12789.22</v>
      </c>
      <c r="AK4" s="56">
        <v>15078.16</v>
      </c>
      <c r="AL4" s="56">
        <v>16769.73</v>
      </c>
      <c r="AM4" s="56">
        <v>17237.849999999999</v>
      </c>
      <c r="AO4" s="60" t="s">
        <v>118</v>
      </c>
      <c r="AP4" s="56">
        <v>60278.3</v>
      </c>
      <c r="AQ4" s="56">
        <v>56951.3</v>
      </c>
      <c r="AR4" s="56">
        <v>62936.7</v>
      </c>
      <c r="AS4" s="56">
        <v>77870.7</v>
      </c>
      <c r="AT4" s="56">
        <v>97779.4</v>
      </c>
      <c r="AU4" s="56"/>
    </row>
    <row r="5" spans="1:47" x14ac:dyDescent="0.3">
      <c r="A5" s="55" t="s">
        <v>120</v>
      </c>
      <c r="B5" s="56">
        <v>3334.4</v>
      </c>
      <c r="C5" s="56">
        <v>2936.3</v>
      </c>
      <c r="D5" s="56">
        <v>1744.7</v>
      </c>
      <c r="E5" s="56">
        <v>2140.6999999999998</v>
      </c>
      <c r="F5" s="56">
        <f>5994.8+3854.7</f>
        <v>9849.5</v>
      </c>
      <c r="G5" s="56">
        <f>6784.9+4750.4</f>
        <v>11535.3</v>
      </c>
      <c r="I5" s="60" t="s">
        <v>120</v>
      </c>
      <c r="J5" s="56">
        <v>1028.69</v>
      </c>
      <c r="K5" s="56">
        <v>1033.1099999999999</v>
      </c>
      <c r="L5" s="56">
        <v>934.51</v>
      </c>
      <c r="M5" s="56">
        <v>1206.49</v>
      </c>
      <c r="N5" s="56">
        <f>798.97+2176.42</f>
        <v>2975.3900000000003</v>
      </c>
      <c r="O5" s="56">
        <f>461.07+2181.05</f>
        <v>2642.1200000000003</v>
      </c>
      <c r="Q5" s="60" t="s">
        <v>154</v>
      </c>
      <c r="R5" s="56">
        <v>2473.61</v>
      </c>
      <c r="S5" s="56">
        <v>2822.58</v>
      </c>
      <c r="T5" s="56">
        <v>3218.39</v>
      </c>
      <c r="U5" s="56">
        <v>3092.38</v>
      </c>
      <c r="V5" s="56">
        <v>2804</v>
      </c>
      <c r="W5" s="56">
        <v>2874</v>
      </c>
      <c r="Y5" s="60" t="s">
        <v>120</v>
      </c>
      <c r="Z5" s="56">
        <v>51.83</v>
      </c>
      <c r="AA5" s="56">
        <v>47.22</v>
      </c>
      <c r="AB5" s="56">
        <v>32.869999999999997</v>
      </c>
      <c r="AC5" s="56">
        <v>138</v>
      </c>
      <c r="AD5" s="56">
        <v>105.82</v>
      </c>
      <c r="AE5" s="56"/>
      <c r="AG5" s="60" t="s">
        <v>120</v>
      </c>
      <c r="AH5" s="56">
        <v>61.88</v>
      </c>
      <c r="AI5" s="56">
        <v>70.45</v>
      </c>
      <c r="AJ5" s="56">
        <v>62.07</v>
      </c>
      <c r="AK5" s="56">
        <v>124.74</v>
      </c>
      <c r="AL5" s="56">
        <v>89.95</v>
      </c>
      <c r="AM5" s="56">
        <v>112.8</v>
      </c>
      <c r="AO5" s="60" t="s">
        <v>193</v>
      </c>
      <c r="AP5" s="56">
        <v>450.6</v>
      </c>
      <c r="AQ5" s="56">
        <v>418.6</v>
      </c>
      <c r="AR5" s="56">
        <v>837.3</v>
      </c>
      <c r="AS5" s="56">
        <v>830</v>
      </c>
      <c r="AT5" s="56">
        <v>912.3</v>
      </c>
      <c r="AU5" s="56"/>
    </row>
    <row r="6" spans="1:47" x14ac:dyDescent="0.3">
      <c r="A6" s="57" t="s">
        <v>121</v>
      </c>
      <c r="B6" s="58">
        <f>B4+B5</f>
        <v>78994.399999999994</v>
      </c>
      <c r="C6" s="58">
        <f t="shared" ref="C6:G6" si="0">C4+C5</f>
        <v>73308.3</v>
      </c>
      <c r="D6" s="58">
        <f t="shared" si="0"/>
        <v>90074.5</v>
      </c>
      <c r="E6" s="58">
        <f t="shared" si="0"/>
        <v>119712</v>
      </c>
      <c r="F6" s="58">
        <f t="shared" si="0"/>
        <v>144787.29999999999</v>
      </c>
      <c r="G6" s="58">
        <f t="shared" si="0"/>
        <v>156650.5</v>
      </c>
      <c r="I6" s="61" t="s">
        <v>121</v>
      </c>
      <c r="J6" s="58">
        <f>SUM(J4:J5)</f>
        <v>76410.62</v>
      </c>
      <c r="K6" s="58">
        <f t="shared" ref="K6:O6" si="1">SUM(K4:K5)</f>
        <v>75310.89</v>
      </c>
      <c r="L6" s="58">
        <f t="shared" si="1"/>
        <v>91105.08</v>
      </c>
      <c r="M6" s="58">
        <f t="shared" si="1"/>
        <v>122475.04000000001</v>
      </c>
      <c r="N6" s="58">
        <f t="shared" si="1"/>
        <v>141254.69</v>
      </c>
      <c r="O6" s="58">
        <f t="shared" si="1"/>
        <v>161391.87</v>
      </c>
      <c r="Q6" s="61" t="s">
        <v>155</v>
      </c>
      <c r="R6" s="58">
        <f>SUM(R4:R5)</f>
        <v>261067.96999999997</v>
      </c>
      <c r="S6" s="58">
        <f t="shared" ref="S6:W6" si="2">SUM(S4:S5)</f>
        <v>249794.75</v>
      </c>
      <c r="T6" s="58">
        <f t="shared" si="2"/>
        <v>278453.62</v>
      </c>
      <c r="U6" s="58">
        <f t="shared" si="2"/>
        <v>345966.97000000003</v>
      </c>
      <c r="V6" s="58">
        <f t="shared" si="2"/>
        <v>434016</v>
      </c>
      <c r="W6" s="58">
        <f t="shared" si="2"/>
        <v>439695</v>
      </c>
      <c r="Y6" s="61" t="s">
        <v>121</v>
      </c>
      <c r="Z6" s="58">
        <f>Z4+Z5</f>
        <v>18901.140000000003</v>
      </c>
      <c r="AA6" s="58">
        <f t="shared" ref="AA6:AE6" si="3">AA4+AA5</f>
        <v>19468.04</v>
      </c>
      <c r="AB6" s="58">
        <f t="shared" si="3"/>
        <v>24388.18</v>
      </c>
      <c r="AC6" s="58">
        <f t="shared" si="3"/>
        <v>32111.99</v>
      </c>
      <c r="AD6" s="58">
        <f t="shared" si="3"/>
        <v>39250.559999999998</v>
      </c>
      <c r="AE6" s="58">
        <f t="shared" si="3"/>
        <v>0</v>
      </c>
      <c r="AG6" s="61" t="s">
        <v>121</v>
      </c>
      <c r="AH6" s="58">
        <f>SUM(AH4:AH5)</f>
        <v>14532.89</v>
      </c>
      <c r="AI6" s="58">
        <f t="shared" ref="AI6:AM6" si="4">SUM(AI4:AI5)</f>
        <v>15367.34</v>
      </c>
      <c r="AJ6" s="58">
        <f t="shared" si="4"/>
        <v>12851.289999999999</v>
      </c>
      <c r="AK6" s="58">
        <f t="shared" si="4"/>
        <v>15202.9</v>
      </c>
      <c r="AL6" s="58">
        <f t="shared" si="4"/>
        <v>16859.68</v>
      </c>
      <c r="AM6" s="58">
        <f t="shared" si="4"/>
        <v>17350.649999999998</v>
      </c>
      <c r="AO6" s="61" t="s">
        <v>155</v>
      </c>
      <c r="AP6" s="58">
        <f>SUM(AP4:AP5)</f>
        <v>60728.9</v>
      </c>
      <c r="AQ6" s="58">
        <f t="shared" ref="AQ6:AU6" si="5">SUM(AQ4:AQ5)</f>
        <v>57369.9</v>
      </c>
      <c r="AR6" s="58">
        <f t="shared" si="5"/>
        <v>63774</v>
      </c>
      <c r="AS6" s="58">
        <f t="shared" si="5"/>
        <v>78700.7</v>
      </c>
      <c r="AT6" s="58">
        <f t="shared" si="5"/>
        <v>98691.7</v>
      </c>
      <c r="AU6" s="58">
        <f t="shared" si="5"/>
        <v>0</v>
      </c>
    </row>
    <row r="7" spans="1:47" x14ac:dyDescent="0.3">
      <c r="A7" s="201" t="s">
        <v>122</v>
      </c>
      <c r="B7" s="201"/>
      <c r="C7" s="201"/>
      <c r="D7" s="201"/>
      <c r="E7" s="201"/>
      <c r="F7" s="201"/>
      <c r="G7" s="201"/>
      <c r="I7" s="201" t="s">
        <v>122</v>
      </c>
      <c r="J7" s="201"/>
      <c r="K7" s="201"/>
      <c r="L7" s="201"/>
      <c r="M7" s="201"/>
      <c r="N7" s="201"/>
      <c r="O7" s="201"/>
      <c r="Q7" s="60" t="s">
        <v>156</v>
      </c>
      <c r="R7" s="56">
        <v>2973.15</v>
      </c>
      <c r="S7" s="56">
        <v>2643.19</v>
      </c>
      <c r="T7" s="56">
        <v>3053.63</v>
      </c>
      <c r="U7" s="56">
        <v>4633.18</v>
      </c>
      <c r="V7" s="56">
        <v>5692</v>
      </c>
      <c r="W7" s="56">
        <v>6244</v>
      </c>
      <c r="Y7" s="201" t="s">
        <v>122</v>
      </c>
      <c r="Z7" s="201"/>
      <c r="AA7" s="201"/>
      <c r="AB7" s="201"/>
      <c r="AC7" s="201"/>
      <c r="AD7" s="201"/>
      <c r="AE7" s="201"/>
      <c r="AG7" s="201" t="s">
        <v>122</v>
      </c>
      <c r="AH7" s="201"/>
      <c r="AI7" s="201"/>
      <c r="AJ7" s="201"/>
      <c r="AK7" s="201"/>
      <c r="AL7" s="201"/>
      <c r="AM7" s="201"/>
      <c r="AO7" s="60" t="s">
        <v>120</v>
      </c>
      <c r="AP7" s="56">
        <v>224.6</v>
      </c>
      <c r="AQ7" s="56">
        <v>229.3</v>
      </c>
      <c r="AR7" s="56">
        <v>257.7</v>
      </c>
      <c r="AS7" s="56">
        <v>257</v>
      </c>
      <c r="AT7" s="56">
        <v>187.6</v>
      </c>
      <c r="AU7" s="56"/>
    </row>
    <row r="8" spans="1:47" x14ac:dyDescent="0.3">
      <c r="A8" s="55" t="s">
        <v>123</v>
      </c>
      <c r="B8" s="56">
        <v>34634.800000000003</v>
      </c>
      <c r="C8" s="56">
        <v>33296.400000000001</v>
      </c>
      <c r="D8" s="56">
        <v>39739.599999999999</v>
      </c>
      <c r="E8" s="56">
        <v>46669.599999999999</v>
      </c>
      <c r="F8" s="56">
        <v>45939.7</v>
      </c>
      <c r="G8" s="56">
        <v>52927.1</v>
      </c>
      <c r="I8" s="60" t="s">
        <v>141</v>
      </c>
      <c r="J8" s="56">
        <v>32321.8</v>
      </c>
      <c r="K8" s="56">
        <v>32797.56</v>
      </c>
      <c r="L8" s="56">
        <v>46265.48</v>
      </c>
      <c r="M8" s="56">
        <v>68477.97</v>
      </c>
      <c r="N8" s="56">
        <v>77848.820000000007</v>
      </c>
      <c r="O8" s="56">
        <v>88111.05</v>
      </c>
      <c r="Q8" s="61" t="s">
        <v>121</v>
      </c>
      <c r="R8" s="58">
        <f>R6+R7</f>
        <v>264041.12</v>
      </c>
      <c r="S8" s="58">
        <f t="shared" ref="S8:W8" si="6">S6+S7</f>
        <v>252437.94</v>
      </c>
      <c r="T8" s="58">
        <f t="shared" si="6"/>
        <v>281507.25</v>
      </c>
      <c r="U8" s="58">
        <f t="shared" si="6"/>
        <v>350600.15</v>
      </c>
      <c r="V8" s="58">
        <f t="shared" si="6"/>
        <v>439708</v>
      </c>
      <c r="W8" s="58">
        <f t="shared" si="6"/>
        <v>445939</v>
      </c>
      <c r="Y8" s="60" t="s">
        <v>141</v>
      </c>
      <c r="Z8" s="56">
        <v>12050.84</v>
      </c>
      <c r="AA8" s="56">
        <v>12700.73</v>
      </c>
      <c r="AB8" s="56">
        <v>15938.65</v>
      </c>
      <c r="AC8" s="56">
        <v>20096.240000000002</v>
      </c>
      <c r="AD8" s="56">
        <v>23717.91</v>
      </c>
      <c r="AE8" s="56"/>
      <c r="AG8" s="60" t="s">
        <v>141</v>
      </c>
      <c r="AH8" s="56">
        <v>6567.39</v>
      </c>
      <c r="AI8" s="56">
        <v>6645.5</v>
      </c>
      <c r="AJ8" s="56">
        <v>8882.49</v>
      </c>
      <c r="AK8" s="56">
        <v>10585.52</v>
      </c>
      <c r="AL8" s="56">
        <v>11481.61</v>
      </c>
      <c r="AM8" s="56">
        <v>11697.3</v>
      </c>
      <c r="AO8" s="61" t="s">
        <v>121</v>
      </c>
      <c r="AP8" s="58">
        <f>SUM(AP6:AP7)</f>
        <v>60953.5</v>
      </c>
      <c r="AQ8" s="58">
        <f t="shared" ref="AQ8:AU8" si="7">SUM(AQ6:AQ7)</f>
        <v>57599.200000000004</v>
      </c>
      <c r="AR8" s="58">
        <f t="shared" si="7"/>
        <v>64031.7</v>
      </c>
      <c r="AS8" s="58">
        <f t="shared" si="7"/>
        <v>78957.7</v>
      </c>
      <c r="AT8" s="58">
        <f t="shared" si="7"/>
        <v>98879.3</v>
      </c>
      <c r="AU8" s="58">
        <f t="shared" si="7"/>
        <v>0</v>
      </c>
    </row>
    <row r="9" spans="1:47" x14ac:dyDescent="0.3">
      <c r="A9" s="55" t="s">
        <v>124</v>
      </c>
      <c r="B9" s="56">
        <v>18767.2</v>
      </c>
      <c r="C9" s="56">
        <v>17254.099999999999</v>
      </c>
      <c r="D9" s="56">
        <v>26397.5</v>
      </c>
      <c r="E9" s="56">
        <v>39985.1</v>
      </c>
      <c r="F9" s="56">
        <v>55109.9</v>
      </c>
      <c r="G9" s="56">
        <v>56434</v>
      </c>
      <c r="I9" s="60" t="s">
        <v>124</v>
      </c>
      <c r="J9" s="56">
        <v>5273.5</v>
      </c>
      <c r="K9" s="56">
        <v>5473.64</v>
      </c>
      <c r="L9" s="56">
        <v>6399.37</v>
      </c>
      <c r="M9" s="56">
        <v>7541.9</v>
      </c>
      <c r="N9" s="56">
        <v>7221.25</v>
      </c>
      <c r="O9" s="56">
        <v>7643.85</v>
      </c>
      <c r="Q9" s="201" t="s">
        <v>122</v>
      </c>
      <c r="R9" s="201"/>
      <c r="S9" s="201"/>
      <c r="T9" s="201"/>
      <c r="U9" s="201"/>
      <c r="V9" s="201"/>
      <c r="W9" s="201"/>
      <c r="Y9" s="60" t="s">
        <v>180</v>
      </c>
      <c r="Z9" s="56">
        <v>259.2</v>
      </c>
      <c r="AA9" s="56">
        <v>224.92</v>
      </c>
      <c r="AB9" s="56">
        <v>579.04</v>
      </c>
      <c r="AC9" s="56">
        <v>890.95</v>
      </c>
      <c r="AD9" s="56">
        <v>1011.69</v>
      </c>
      <c r="AE9" s="56"/>
      <c r="AG9" s="60" t="s">
        <v>124</v>
      </c>
      <c r="AH9" s="56">
        <v>54.25</v>
      </c>
      <c r="AI9" s="56">
        <v>41.77</v>
      </c>
      <c r="AJ9" s="56">
        <v>63.92</v>
      </c>
      <c r="AK9" s="56">
        <v>77.77</v>
      </c>
      <c r="AL9" s="56">
        <v>216.31</v>
      </c>
      <c r="AM9" s="56">
        <v>119.62</v>
      </c>
      <c r="AO9" s="201" t="s">
        <v>122</v>
      </c>
      <c r="AP9" s="201"/>
      <c r="AQ9" s="201"/>
      <c r="AR9" s="201"/>
      <c r="AS9" s="201"/>
      <c r="AT9" s="201"/>
      <c r="AU9" s="201"/>
    </row>
    <row r="10" spans="1:47" ht="28.8" x14ac:dyDescent="0.3">
      <c r="A10" s="55" t="s">
        <v>125</v>
      </c>
      <c r="B10" s="56">
        <v>-238.7</v>
      </c>
      <c r="C10" s="56">
        <v>273.60000000000002</v>
      </c>
      <c r="D10" s="56">
        <v>-93.1</v>
      </c>
      <c r="E10" s="56">
        <v>-403.9</v>
      </c>
      <c r="F10" s="56">
        <v>-442.9</v>
      </c>
      <c r="G10" s="56">
        <v>-890.3</v>
      </c>
      <c r="I10" s="55" t="s">
        <v>142</v>
      </c>
      <c r="J10" s="56">
        <v>826.62</v>
      </c>
      <c r="K10" s="56">
        <v>135.59</v>
      </c>
      <c r="L10" s="56">
        <v>-861.66</v>
      </c>
      <c r="M10" s="56">
        <v>-2032.31</v>
      </c>
      <c r="N10" s="56">
        <v>-1455.32</v>
      </c>
      <c r="O10" s="56">
        <v>-12.18</v>
      </c>
      <c r="Q10" s="201" t="s">
        <v>141</v>
      </c>
      <c r="R10" s="201"/>
      <c r="S10" s="201"/>
      <c r="T10" s="201"/>
      <c r="U10" s="201"/>
      <c r="V10" s="201"/>
      <c r="W10" s="201"/>
      <c r="Y10" s="55" t="s">
        <v>181</v>
      </c>
      <c r="Z10" s="56">
        <v>6.73</v>
      </c>
      <c r="AA10" s="56">
        <v>-0.19</v>
      </c>
      <c r="AB10" s="56">
        <v>-260.39999999999998</v>
      </c>
      <c r="AC10" s="56">
        <v>-140.93</v>
      </c>
      <c r="AD10" s="56">
        <v>-324.35000000000002</v>
      </c>
      <c r="AE10" s="56"/>
      <c r="AG10" s="55" t="s">
        <v>188</v>
      </c>
      <c r="AH10" s="56">
        <v>-219.14</v>
      </c>
      <c r="AI10" s="56">
        <v>0.13</v>
      </c>
      <c r="AJ10" s="56">
        <v>-269.63</v>
      </c>
      <c r="AK10" s="56">
        <v>-310</v>
      </c>
      <c r="AL10" s="56">
        <v>-300.33</v>
      </c>
      <c r="AM10" s="56">
        <v>-219.5</v>
      </c>
      <c r="AO10" s="60" t="s">
        <v>141</v>
      </c>
      <c r="AP10" s="56">
        <v>34285</v>
      </c>
      <c r="AQ10" s="56">
        <v>32675.8</v>
      </c>
      <c r="AR10" s="56">
        <v>36804.9</v>
      </c>
      <c r="AS10" s="56">
        <v>45175.5</v>
      </c>
      <c r="AT10" s="56">
        <v>53899.7</v>
      </c>
      <c r="AU10" s="56"/>
    </row>
    <row r="11" spans="1:47" x14ac:dyDescent="0.3">
      <c r="A11" s="55" t="s">
        <v>126</v>
      </c>
      <c r="B11" s="56">
        <v>3416.2</v>
      </c>
      <c r="C11" s="56">
        <v>3431.6</v>
      </c>
      <c r="D11" s="56">
        <v>4051.4</v>
      </c>
      <c r="E11" s="56">
        <v>4634.6000000000004</v>
      </c>
      <c r="F11" s="56">
        <v>5478.4</v>
      </c>
      <c r="G11" s="56">
        <v>6137</v>
      </c>
      <c r="I11" s="60" t="s">
        <v>143</v>
      </c>
      <c r="J11" s="56">
        <v>8214.82</v>
      </c>
      <c r="K11" s="56">
        <v>7813.26</v>
      </c>
      <c r="L11" s="56">
        <v>8386.74</v>
      </c>
      <c r="M11" s="56">
        <v>9677.9500000000007</v>
      </c>
      <c r="N11" s="56">
        <v>10624.33</v>
      </c>
      <c r="O11" s="56">
        <v>11126.17</v>
      </c>
      <c r="Q11" s="60" t="s">
        <v>141</v>
      </c>
      <c r="R11" s="56">
        <v>152968.74</v>
      </c>
      <c r="S11" s="56">
        <v>141392.43</v>
      </c>
      <c r="T11" s="56">
        <v>159598.06</v>
      </c>
      <c r="U11" s="56">
        <v>208218.05</v>
      </c>
      <c r="V11" s="56">
        <v>249278</v>
      </c>
      <c r="W11" s="56">
        <v>241148</v>
      </c>
      <c r="Y11" s="60" t="s">
        <v>143</v>
      </c>
      <c r="Z11" s="56">
        <v>1539.35</v>
      </c>
      <c r="AA11" s="56">
        <v>1689.37</v>
      </c>
      <c r="AB11" s="56">
        <v>2124.0300000000002</v>
      </c>
      <c r="AC11" s="56">
        <v>2890.25</v>
      </c>
      <c r="AD11" s="56">
        <v>3385.19</v>
      </c>
      <c r="AE11" s="56"/>
      <c r="AG11" s="60" t="s">
        <v>126</v>
      </c>
      <c r="AH11" s="56">
        <v>1118.93</v>
      </c>
      <c r="AI11" s="56">
        <v>1122.49</v>
      </c>
      <c r="AJ11" s="56">
        <v>906.36</v>
      </c>
      <c r="AK11" s="56">
        <v>1002.62</v>
      </c>
      <c r="AL11" s="56">
        <v>1166.6300000000001</v>
      </c>
      <c r="AM11" s="56">
        <v>1296.31</v>
      </c>
      <c r="AO11" s="60" t="s">
        <v>124</v>
      </c>
      <c r="AP11" s="56">
        <v>710</v>
      </c>
      <c r="AQ11" s="56">
        <v>103.3</v>
      </c>
      <c r="AR11" s="56">
        <v>182.8</v>
      </c>
      <c r="AS11" s="56">
        <v>465.4</v>
      </c>
      <c r="AT11" s="56">
        <v>468.2</v>
      </c>
      <c r="AU11" s="56"/>
    </row>
    <row r="12" spans="1:47" x14ac:dyDescent="0.3">
      <c r="A12" s="55" t="s">
        <v>127</v>
      </c>
      <c r="B12" s="56">
        <v>134.19999999999999</v>
      </c>
      <c r="C12" s="56">
        <v>101.8</v>
      </c>
      <c r="D12" s="56">
        <v>126.6</v>
      </c>
      <c r="E12" s="56">
        <v>187</v>
      </c>
      <c r="F12" s="56">
        <v>193.2</v>
      </c>
      <c r="G12" s="56">
        <v>193.1</v>
      </c>
      <c r="I12" s="60" t="s">
        <v>144</v>
      </c>
      <c r="J12" s="56">
        <v>6021.15</v>
      </c>
      <c r="K12" s="56">
        <v>6102.22</v>
      </c>
      <c r="L12" s="56">
        <v>5018.05</v>
      </c>
      <c r="M12" s="56">
        <v>5829.7</v>
      </c>
      <c r="N12" s="56">
        <v>7488.21</v>
      </c>
      <c r="O12" s="56">
        <v>9083.39</v>
      </c>
      <c r="Q12" s="60" t="s">
        <v>157</v>
      </c>
      <c r="R12" s="56">
        <v>-297.27</v>
      </c>
      <c r="S12" s="56">
        <v>-35.159999999999997</v>
      </c>
      <c r="T12" s="56">
        <v>1322.5</v>
      </c>
      <c r="U12" s="56">
        <v>726.26</v>
      </c>
      <c r="V12" s="56">
        <v>0</v>
      </c>
      <c r="W12" s="56">
        <v>0</v>
      </c>
      <c r="Y12" s="60" t="s">
        <v>127</v>
      </c>
      <c r="Z12" s="56">
        <v>854.54</v>
      </c>
      <c r="AA12" s="56">
        <v>881.49</v>
      </c>
      <c r="AB12" s="56">
        <v>940.22</v>
      </c>
      <c r="AC12" s="56">
        <v>1367.89</v>
      </c>
      <c r="AD12" s="56">
        <v>1927.72</v>
      </c>
      <c r="AE12" s="56"/>
      <c r="AG12" s="60" t="s">
        <v>129</v>
      </c>
      <c r="AH12" s="56">
        <f>1622.86+3880.66</f>
        <v>5503.5199999999995</v>
      </c>
      <c r="AI12" s="56">
        <f>2346.75+3559.83</f>
        <v>5906.58</v>
      </c>
      <c r="AJ12" s="56">
        <v>1806.15</v>
      </c>
      <c r="AK12" s="56">
        <v>2133.7199999999998</v>
      </c>
      <c r="AL12" s="56">
        <v>2388.42</v>
      </c>
      <c r="AM12" s="56">
        <v>2546.09</v>
      </c>
      <c r="AO12" s="60" t="s">
        <v>194</v>
      </c>
      <c r="AP12" s="56">
        <v>-26.2</v>
      </c>
      <c r="AQ12" s="56">
        <v>-181.2</v>
      </c>
      <c r="AR12" s="56">
        <v>-251.4</v>
      </c>
      <c r="AS12" s="56">
        <v>-323.5</v>
      </c>
      <c r="AT12" s="56">
        <v>46.8</v>
      </c>
      <c r="AU12" s="56"/>
    </row>
    <row r="13" spans="1:47" x14ac:dyDescent="0.3">
      <c r="A13" s="55" t="s">
        <v>128</v>
      </c>
      <c r="B13" s="56">
        <v>3528.4</v>
      </c>
      <c r="C13" s="56">
        <v>3034.1</v>
      </c>
      <c r="D13" s="56">
        <v>2789</v>
      </c>
      <c r="E13" s="56">
        <v>2825.7</v>
      </c>
      <c r="F13" s="56">
        <v>3022.3</v>
      </c>
      <c r="G13" s="56">
        <v>3159.3</v>
      </c>
      <c r="I13" s="60" t="s">
        <v>195</v>
      </c>
      <c r="J13" s="56">
        <v>3366.68</v>
      </c>
      <c r="K13" s="56">
        <v>3378.11</v>
      </c>
      <c r="L13" s="56">
        <v>3507.5</v>
      </c>
      <c r="M13" s="56">
        <v>4356.8100000000004</v>
      </c>
      <c r="N13" s="56">
        <v>4723.78</v>
      </c>
      <c r="O13" s="56">
        <v>6073.65</v>
      </c>
      <c r="Q13" s="60" t="s">
        <v>158</v>
      </c>
      <c r="R13" s="56">
        <v>12228.35</v>
      </c>
      <c r="S13" s="56">
        <v>12250.09</v>
      </c>
      <c r="T13" s="56">
        <v>18374.77</v>
      </c>
      <c r="U13" s="56">
        <v>22306.95</v>
      </c>
      <c r="V13" s="56">
        <v>25043</v>
      </c>
      <c r="W13" s="56">
        <v>27802</v>
      </c>
      <c r="Y13" s="60" t="s">
        <v>161</v>
      </c>
      <c r="Z13" s="56">
        <v>556</v>
      </c>
      <c r="AA13" s="56">
        <v>564.82000000000005</v>
      </c>
      <c r="AB13" s="56">
        <v>742.86</v>
      </c>
      <c r="AC13" s="56">
        <v>858.86</v>
      </c>
      <c r="AD13" s="56">
        <v>975.12</v>
      </c>
      <c r="AE13" s="56"/>
      <c r="AG13" s="61" t="s">
        <v>131</v>
      </c>
      <c r="AH13" s="58">
        <f>SUM(AH8:AH12)</f>
        <v>13024.95</v>
      </c>
      <c r="AI13" s="58">
        <f t="shared" ref="AI13:AM13" si="8">SUM(AI8:AI12)</f>
        <v>13716.470000000001</v>
      </c>
      <c r="AJ13" s="58">
        <f t="shared" si="8"/>
        <v>11389.29</v>
      </c>
      <c r="AK13" s="58">
        <f t="shared" si="8"/>
        <v>13489.630000000001</v>
      </c>
      <c r="AL13" s="58">
        <f t="shared" si="8"/>
        <v>14952.640000000001</v>
      </c>
      <c r="AM13" s="58">
        <f t="shared" si="8"/>
        <v>15439.82</v>
      </c>
      <c r="AO13" s="60" t="s">
        <v>143</v>
      </c>
      <c r="AP13" s="56">
        <v>14372.6</v>
      </c>
      <c r="AQ13" s="56">
        <v>14099.6</v>
      </c>
      <c r="AR13" s="56">
        <v>15374.6</v>
      </c>
      <c r="AS13" s="56">
        <v>17931.400000000001</v>
      </c>
      <c r="AT13" s="56">
        <v>23538.5</v>
      </c>
      <c r="AU13" s="56"/>
    </row>
    <row r="14" spans="1:47" ht="28.8" x14ac:dyDescent="0.3">
      <c r="A14" s="55" t="s">
        <v>129</v>
      </c>
      <c r="B14" s="56">
        <v>11889.6</v>
      </c>
      <c r="C14" s="56">
        <v>10837.5</v>
      </c>
      <c r="D14" s="56">
        <v>12672.7</v>
      </c>
      <c r="E14" s="56">
        <v>15805.5</v>
      </c>
      <c r="F14" s="56">
        <v>18635.2</v>
      </c>
      <c r="G14" s="56">
        <v>19824</v>
      </c>
      <c r="I14" s="60" t="s">
        <v>129</v>
      </c>
      <c r="J14" s="56">
        <v>15871.2</v>
      </c>
      <c r="K14" s="56">
        <v>14541.92</v>
      </c>
      <c r="L14" s="56">
        <v>15297.79</v>
      </c>
      <c r="M14" s="56">
        <v>17317.75</v>
      </c>
      <c r="N14" s="56">
        <f>32.92+19914.34</f>
        <v>19947.259999999998</v>
      </c>
      <c r="O14" s="56">
        <f>30.84+21792.9</f>
        <v>21823.74</v>
      </c>
      <c r="Q14" s="55" t="s">
        <v>159</v>
      </c>
      <c r="R14" s="56">
        <v>2231.19</v>
      </c>
      <c r="S14" s="56">
        <v>4684.16</v>
      </c>
      <c r="T14" s="56">
        <v>1590.49</v>
      </c>
      <c r="U14" s="56">
        <v>-4781.62</v>
      </c>
      <c r="V14" s="56">
        <v>-1566</v>
      </c>
      <c r="W14" s="56">
        <v>2836</v>
      </c>
      <c r="Y14" s="60" t="s">
        <v>129</v>
      </c>
      <c r="Z14" s="56">
        <v>2720.14</v>
      </c>
      <c r="AA14" s="56">
        <v>2568.16</v>
      </c>
      <c r="AB14" s="56">
        <v>3219.36</v>
      </c>
      <c r="AC14" s="56">
        <v>4170.1000000000004</v>
      </c>
      <c r="AD14" s="56">
        <v>5810.89</v>
      </c>
      <c r="AE14" s="56"/>
      <c r="AG14" s="61" t="s">
        <v>189</v>
      </c>
      <c r="AH14" s="58">
        <f>AH6-AH13</f>
        <v>1507.9399999999987</v>
      </c>
      <c r="AI14" s="58">
        <f t="shared" ref="AI14:AM14" si="9">AI6-AI13</f>
        <v>1650.869999999999</v>
      </c>
      <c r="AJ14" s="58">
        <f t="shared" si="9"/>
        <v>1461.9999999999982</v>
      </c>
      <c r="AK14" s="58">
        <f t="shared" si="9"/>
        <v>1713.2699999999986</v>
      </c>
      <c r="AL14" s="58">
        <f t="shared" si="9"/>
        <v>1907.0399999999991</v>
      </c>
      <c r="AM14" s="58">
        <f t="shared" si="9"/>
        <v>1910.8299999999981</v>
      </c>
      <c r="AO14" s="60" t="s">
        <v>195</v>
      </c>
      <c r="AP14" s="56">
        <v>2721</v>
      </c>
      <c r="AQ14" s="56">
        <v>2926</v>
      </c>
      <c r="AR14" s="56">
        <v>2958.2</v>
      </c>
      <c r="AS14" s="56">
        <v>3135.8</v>
      </c>
      <c r="AT14" s="56">
        <v>3810.5</v>
      </c>
      <c r="AU14" s="56"/>
    </row>
    <row r="15" spans="1:47" x14ac:dyDescent="0.3">
      <c r="A15" s="55" t="s">
        <v>130</v>
      </c>
      <c r="B15" s="56">
        <v>-121.7</v>
      </c>
      <c r="C15" s="56">
        <v>-72.8</v>
      </c>
      <c r="D15" s="56">
        <v>-144.5</v>
      </c>
      <c r="E15" s="56">
        <v>-137.30000000000001</v>
      </c>
      <c r="F15" s="56">
        <v>-188.8</v>
      </c>
      <c r="G15" s="56">
        <v>-316.89999999999998</v>
      </c>
      <c r="I15" s="60" t="s">
        <v>145</v>
      </c>
      <c r="J15" s="56">
        <v>317.58</v>
      </c>
      <c r="K15" s="56">
        <v>160.74</v>
      </c>
      <c r="L15" s="56">
        <v>0</v>
      </c>
      <c r="M15" s="56">
        <v>0</v>
      </c>
      <c r="N15" s="56">
        <v>0</v>
      </c>
      <c r="O15" s="56">
        <v>0</v>
      </c>
      <c r="Q15" s="60" t="s">
        <v>143</v>
      </c>
      <c r="R15" s="56">
        <v>30438.6</v>
      </c>
      <c r="S15" s="56">
        <v>27648.48</v>
      </c>
      <c r="T15" s="56">
        <v>30808.52</v>
      </c>
      <c r="U15" s="56">
        <v>33654.699999999997</v>
      </c>
      <c r="V15" s="56">
        <v>41990</v>
      </c>
      <c r="W15" s="56">
        <v>47767</v>
      </c>
      <c r="Y15" s="61" t="s">
        <v>131</v>
      </c>
      <c r="Z15" s="58">
        <f>SUM(Z8:Z14)</f>
        <v>17986.8</v>
      </c>
      <c r="AA15" s="58">
        <f t="shared" ref="AA15:AE15" si="10">SUM(AA8:AA14)</f>
        <v>18629.299999999996</v>
      </c>
      <c r="AB15" s="58">
        <f t="shared" si="10"/>
        <v>23283.760000000002</v>
      </c>
      <c r="AC15" s="58">
        <f t="shared" si="10"/>
        <v>30133.360000000001</v>
      </c>
      <c r="AD15" s="58">
        <f t="shared" si="10"/>
        <v>36504.17</v>
      </c>
      <c r="AE15" s="58">
        <f t="shared" si="10"/>
        <v>0</v>
      </c>
      <c r="AG15" s="60" t="s">
        <v>127</v>
      </c>
      <c r="AH15" s="56">
        <v>96.59</v>
      </c>
      <c r="AI15" s="56">
        <v>142.19</v>
      </c>
      <c r="AJ15" s="56">
        <v>60.93</v>
      </c>
      <c r="AK15" s="56">
        <v>73.84</v>
      </c>
      <c r="AL15" s="56">
        <v>116</v>
      </c>
      <c r="AM15" s="56">
        <v>153.03</v>
      </c>
      <c r="AO15" s="60" t="s">
        <v>144</v>
      </c>
      <c r="AP15" s="56">
        <v>592.79999999999995</v>
      </c>
      <c r="AQ15" s="56">
        <v>511.5</v>
      </c>
      <c r="AR15" s="56">
        <v>542.6</v>
      </c>
      <c r="AS15" s="56">
        <v>780.9</v>
      </c>
      <c r="AT15" s="56">
        <v>1811.2</v>
      </c>
      <c r="AU15" s="56"/>
    </row>
    <row r="16" spans="1:47" ht="28.8" x14ac:dyDescent="0.3">
      <c r="A16" s="57" t="s">
        <v>131</v>
      </c>
      <c r="B16" s="58">
        <f>SUM(B8:B15)</f>
        <v>72010</v>
      </c>
      <c r="C16" s="58">
        <f t="shared" ref="C16:G16" si="11">SUM(C8:C15)</f>
        <v>68156.3</v>
      </c>
      <c r="D16" s="58">
        <f t="shared" si="11"/>
        <v>85539.199999999997</v>
      </c>
      <c r="E16" s="58">
        <f t="shared" si="11"/>
        <v>109566.3</v>
      </c>
      <c r="F16" s="58">
        <f t="shared" si="11"/>
        <v>127747</v>
      </c>
      <c r="G16" s="58">
        <f t="shared" si="11"/>
        <v>137467.30000000002</v>
      </c>
      <c r="I16" s="61" t="s">
        <v>131</v>
      </c>
      <c r="J16" s="58">
        <f>SUM(J8:J14)-J15</f>
        <v>71578.19</v>
      </c>
      <c r="K16" s="58">
        <f t="shared" ref="K16:O16" si="12">SUM(K8:K14)-K15</f>
        <v>70081.56</v>
      </c>
      <c r="L16" s="58">
        <f t="shared" si="12"/>
        <v>84013.270000000019</v>
      </c>
      <c r="M16" s="58">
        <f t="shared" si="12"/>
        <v>111169.76999999999</v>
      </c>
      <c r="N16" s="58">
        <f t="shared" si="12"/>
        <v>126398.33</v>
      </c>
      <c r="O16" s="58">
        <f t="shared" si="12"/>
        <v>143849.67000000001</v>
      </c>
      <c r="Q16" s="60" t="s">
        <v>144</v>
      </c>
      <c r="R16" s="56">
        <v>7243.33</v>
      </c>
      <c r="S16" s="56">
        <v>8097.17</v>
      </c>
      <c r="T16" s="56">
        <v>9311.86</v>
      </c>
      <c r="U16" s="56">
        <v>10225.48</v>
      </c>
      <c r="V16" s="56">
        <v>7594</v>
      </c>
      <c r="W16" s="56">
        <v>5083</v>
      </c>
      <c r="Y16" s="57" t="s">
        <v>182</v>
      </c>
      <c r="Z16" s="58">
        <f>Z6-Z15</f>
        <v>914.34000000000378</v>
      </c>
      <c r="AA16" s="58">
        <f t="shared" ref="AA16:AE16" si="13">AA6-AA15</f>
        <v>838.74000000000524</v>
      </c>
      <c r="AB16" s="58">
        <f t="shared" si="13"/>
        <v>1104.4199999999983</v>
      </c>
      <c r="AC16" s="58">
        <f t="shared" si="13"/>
        <v>1978.630000000001</v>
      </c>
      <c r="AD16" s="58">
        <f t="shared" si="13"/>
        <v>2746.3899999999994</v>
      </c>
      <c r="AE16" s="58">
        <f t="shared" si="13"/>
        <v>0</v>
      </c>
      <c r="AG16" s="60" t="s">
        <v>128</v>
      </c>
      <c r="AH16" s="56">
        <v>417.58</v>
      </c>
      <c r="AI16" s="56">
        <v>433.65</v>
      </c>
      <c r="AJ16" s="56">
        <v>439.52</v>
      </c>
      <c r="AK16" s="56">
        <v>502.12</v>
      </c>
      <c r="AL16" s="56">
        <v>560.41999999999996</v>
      </c>
      <c r="AM16" s="56">
        <v>582.34</v>
      </c>
      <c r="AO16" s="60" t="s">
        <v>129</v>
      </c>
      <c r="AP16" s="56">
        <v>6733.5</v>
      </c>
      <c r="AQ16" s="56">
        <v>6313.5</v>
      </c>
      <c r="AR16" s="56">
        <v>6963.7</v>
      </c>
      <c r="AS16" s="56">
        <v>9244.2000000000007</v>
      </c>
      <c r="AT16" s="56">
        <v>11451.9</v>
      </c>
      <c r="AU16" s="56"/>
    </row>
    <row r="17" spans="1:47" ht="28.8" x14ac:dyDescent="0.3">
      <c r="A17" s="55" t="s">
        <v>132</v>
      </c>
      <c r="B17" s="56">
        <v>117.5</v>
      </c>
      <c r="C17" s="56">
        <v>158.80000000000001</v>
      </c>
      <c r="D17" s="56">
        <v>146.4</v>
      </c>
      <c r="E17" s="56">
        <v>155.80000000000001</v>
      </c>
      <c r="F17" s="56">
        <v>0</v>
      </c>
      <c r="G17" s="56">
        <v>0</v>
      </c>
      <c r="I17" s="57" t="s">
        <v>146</v>
      </c>
      <c r="J17" s="58">
        <f t="shared" ref="J17:O17" si="14">J6-J16</f>
        <v>4832.429999999993</v>
      </c>
      <c r="K17" s="58">
        <f t="shared" si="14"/>
        <v>5229.3300000000017</v>
      </c>
      <c r="L17" s="58">
        <f t="shared" si="14"/>
        <v>7091.8099999999831</v>
      </c>
      <c r="M17" s="58">
        <f t="shared" si="14"/>
        <v>11305.270000000019</v>
      </c>
      <c r="N17" s="58">
        <f t="shared" si="14"/>
        <v>14856.36</v>
      </c>
      <c r="O17" s="58">
        <f t="shared" si="14"/>
        <v>17542.199999999983</v>
      </c>
      <c r="Q17" s="60" t="s">
        <v>160</v>
      </c>
      <c r="R17" s="56">
        <v>1738.74</v>
      </c>
      <c r="S17" s="56">
        <v>-1732.15</v>
      </c>
      <c r="T17" s="56">
        <v>78.680000000000007</v>
      </c>
      <c r="U17" s="56">
        <v>-103.88</v>
      </c>
      <c r="V17" s="56">
        <v>15</v>
      </c>
      <c r="W17" s="56">
        <v>-922</v>
      </c>
      <c r="Y17" s="60" t="s">
        <v>183</v>
      </c>
      <c r="Z17" s="56">
        <v>-8.59</v>
      </c>
      <c r="AA17" s="56">
        <v>-7.75</v>
      </c>
      <c r="AB17" s="56">
        <v>2.4900000000000002</v>
      </c>
      <c r="AC17" s="56">
        <v>-40.729999999999997</v>
      </c>
      <c r="AD17" s="56">
        <v>-43.47</v>
      </c>
      <c r="AE17" s="56"/>
      <c r="AG17" s="61" t="s">
        <v>190</v>
      </c>
      <c r="AH17" s="58">
        <f>SUM(AH15:AH16)</f>
        <v>514.16999999999996</v>
      </c>
      <c r="AI17" s="58">
        <f t="shared" ref="AI17:AM17" si="15">SUM(AI15:AI16)</f>
        <v>575.83999999999992</v>
      </c>
      <c r="AJ17" s="58">
        <f t="shared" si="15"/>
        <v>500.45</v>
      </c>
      <c r="AK17" s="58">
        <f t="shared" si="15"/>
        <v>575.96</v>
      </c>
      <c r="AL17" s="58">
        <f t="shared" si="15"/>
        <v>676.42</v>
      </c>
      <c r="AM17" s="58">
        <f t="shared" si="15"/>
        <v>735.37</v>
      </c>
      <c r="AO17" s="61" t="s">
        <v>131</v>
      </c>
      <c r="AP17" s="58">
        <f>SUM(AP10:AP16)</f>
        <v>59388.700000000004</v>
      </c>
      <c r="AQ17" s="58">
        <f t="shared" ref="AQ17:AU17" si="16">SUM(AQ10:AQ16)</f>
        <v>56448.5</v>
      </c>
      <c r="AR17" s="58">
        <f t="shared" si="16"/>
        <v>62575.399999999994</v>
      </c>
      <c r="AS17" s="58">
        <f t="shared" si="16"/>
        <v>76409.7</v>
      </c>
      <c r="AT17" s="58">
        <f t="shared" si="16"/>
        <v>95026.799999999988</v>
      </c>
      <c r="AU17" s="58">
        <f t="shared" si="16"/>
        <v>0</v>
      </c>
    </row>
    <row r="18" spans="1:47" ht="28.8" x14ac:dyDescent="0.3">
      <c r="A18" s="55" t="s">
        <v>133</v>
      </c>
      <c r="B18" s="56">
        <v>0.9</v>
      </c>
      <c r="C18" s="56">
        <v>10.199999999999999</v>
      </c>
      <c r="D18" s="56">
        <v>15.5</v>
      </c>
      <c r="E18" s="56">
        <v>21.6</v>
      </c>
      <c r="F18" s="56">
        <v>0</v>
      </c>
      <c r="G18" s="56">
        <v>0</v>
      </c>
      <c r="I18" s="60" t="s">
        <v>147</v>
      </c>
      <c r="J18" s="56">
        <v>-1171.28</v>
      </c>
      <c r="K18" s="56">
        <v>-1158.26</v>
      </c>
      <c r="L18" s="56">
        <v>414.17</v>
      </c>
      <c r="M18" s="56">
        <v>1249.52</v>
      </c>
      <c r="N18" s="56">
        <v>0</v>
      </c>
      <c r="O18" s="56">
        <v>0</v>
      </c>
      <c r="Q18" s="60" t="s">
        <v>161</v>
      </c>
      <c r="R18" s="56">
        <v>21425.43</v>
      </c>
      <c r="S18" s="56">
        <v>23546.71</v>
      </c>
      <c r="T18" s="56">
        <v>24835.69</v>
      </c>
      <c r="U18" s="56">
        <v>24860.36</v>
      </c>
      <c r="V18" s="56">
        <v>27239</v>
      </c>
      <c r="W18" s="56">
        <v>23256</v>
      </c>
      <c r="Y18" s="61" t="s">
        <v>184</v>
      </c>
      <c r="Z18" s="58">
        <f>Z16+Z17</f>
        <v>905.75000000000375</v>
      </c>
      <c r="AA18" s="58">
        <f t="shared" ref="AA18:AE18" si="17">AA16+AA17</f>
        <v>830.99000000000524</v>
      </c>
      <c r="AB18" s="58">
        <f t="shared" si="17"/>
        <v>1106.9099999999983</v>
      </c>
      <c r="AC18" s="58">
        <f t="shared" si="17"/>
        <v>1937.900000000001</v>
      </c>
      <c r="AD18" s="58">
        <f t="shared" si="17"/>
        <v>2702.9199999999996</v>
      </c>
      <c r="AE18" s="58">
        <f t="shared" si="17"/>
        <v>0</v>
      </c>
      <c r="AG18" s="60" t="s">
        <v>208</v>
      </c>
      <c r="AH18" s="56">
        <v>-0.19</v>
      </c>
      <c r="AI18" s="56">
        <v>-0.64</v>
      </c>
      <c r="AJ18" s="56">
        <v>-0.94</v>
      </c>
      <c r="AK18" s="56">
        <v>0.28000000000000003</v>
      </c>
      <c r="AL18" s="56">
        <v>0.55000000000000004</v>
      </c>
      <c r="AM18" s="56">
        <v>0.5</v>
      </c>
      <c r="AO18" s="57" t="s">
        <v>196</v>
      </c>
      <c r="AP18" s="58">
        <f>AP8-AP17</f>
        <v>1564.7999999999956</v>
      </c>
      <c r="AQ18" s="58">
        <f t="shared" ref="AQ18:AU18" si="18">AQ8-AQ17</f>
        <v>1150.7000000000044</v>
      </c>
      <c r="AR18" s="58">
        <f t="shared" si="18"/>
        <v>1456.3000000000029</v>
      </c>
      <c r="AS18" s="58">
        <f t="shared" si="18"/>
        <v>2548</v>
      </c>
      <c r="AT18" s="58">
        <f t="shared" si="18"/>
        <v>3852.5000000000146</v>
      </c>
      <c r="AU18" s="58">
        <f t="shared" si="18"/>
        <v>0</v>
      </c>
    </row>
    <row r="19" spans="1:47" x14ac:dyDescent="0.3">
      <c r="A19" s="57" t="s">
        <v>140</v>
      </c>
      <c r="B19" s="58">
        <f>(B6-B16)+B17+B18</f>
        <v>7102.7999999999938</v>
      </c>
      <c r="C19" s="58">
        <f t="shared" ref="C19:G19" si="19">(C6-C16)+C17+C18</f>
        <v>5321</v>
      </c>
      <c r="D19" s="58">
        <f t="shared" si="19"/>
        <v>4697.2000000000025</v>
      </c>
      <c r="E19" s="58">
        <f t="shared" si="19"/>
        <v>10323.099999999997</v>
      </c>
      <c r="F19" s="58">
        <f t="shared" si="19"/>
        <v>17040.299999999988</v>
      </c>
      <c r="G19" s="58">
        <f t="shared" si="19"/>
        <v>19183.199999999983</v>
      </c>
      <c r="I19" s="60" t="s">
        <v>148</v>
      </c>
      <c r="J19" s="56">
        <v>1027.28</v>
      </c>
      <c r="K19" s="56">
        <v>1276.6600000000001</v>
      </c>
      <c r="L19" s="56">
        <v>1855.79</v>
      </c>
      <c r="M19" s="56">
        <v>1505.44</v>
      </c>
      <c r="N19" s="56">
        <v>1121.43</v>
      </c>
      <c r="O19" s="56">
        <v>1537.42</v>
      </c>
      <c r="Q19" s="60" t="s">
        <v>162</v>
      </c>
      <c r="R19" s="56">
        <v>4188.49</v>
      </c>
      <c r="S19" s="56">
        <v>5226.63</v>
      </c>
      <c r="T19" s="56">
        <v>9209.5</v>
      </c>
      <c r="U19" s="56">
        <v>10661.96</v>
      </c>
      <c r="V19" s="56">
        <v>10959</v>
      </c>
      <c r="W19" s="56">
        <v>10716</v>
      </c>
      <c r="Y19" s="60" t="s">
        <v>165</v>
      </c>
      <c r="Z19" s="56">
        <v>-40.33</v>
      </c>
      <c r="AA19" s="56">
        <v>-9.36</v>
      </c>
      <c r="AB19" s="56">
        <v>-40.119999999999997</v>
      </c>
      <c r="AC19" s="56">
        <v>-1.87</v>
      </c>
      <c r="AD19" s="56">
        <v>0</v>
      </c>
      <c r="AE19" s="56"/>
      <c r="AG19" s="61" t="s">
        <v>184</v>
      </c>
      <c r="AH19" s="58">
        <f>AH14-AH17+AH18</f>
        <v>993.57999999999868</v>
      </c>
      <c r="AI19" s="58">
        <f t="shared" ref="AI19:AM19" si="20">AI14-AI17+AI18</f>
        <v>1074.389999999999</v>
      </c>
      <c r="AJ19" s="58">
        <f t="shared" si="20"/>
        <v>960.60999999999808</v>
      </c>
      <c r="AK19" s="58">
        <f t="shared" si="20"/>
        <v>1137.5899999999986</v>
      </c>
      <c r="AL19" s="58">
        <f t="shared" si="20"/>
        <v>1231.1699999999989</v>
      </c>
      <c r="AM19" s="58">
        <f t="shared" si="20"/>
        <v>1175.9599999999982</v>
      </c>
      <c r="AO19" s="60" t="s">
        <v>197</v>
      </c>
      <c r="AP19" s="56">
        <v>0</v>
      </c>
      <c r="AQ19" s="56">
        <v>-62.3</v>
      </c>
      <c r="AR19" s="56">
        <v>48.1</v>
      </c>
      <c r="AS19" s="56">
        <v>99.5</v>
      </c>
      <c r="AT19" s="56">
        <v>-249.9</v>
      </c>
      <c r="AU19" s="56"/>
    </row>
    <row r="20" spans="1:47" x14ac:dyDescent="0.3">
      <c r="A20" s="202" t="s">
        <v>135</v>
      </c>
      <c r="B20" s="202"/>
      <c r="C20" s="202"/>
      <c r="D20" s="202"/>
      <c r="E20" s="202"/>
      <c r="F20" s="202"/>
      <c r="G20" s="202"/>
      <c r="I20" s="61" t="s">
        <v>134</v>
      </c>
      <c r="J20" s="58">
        <f>SUM(J17:J19)</f>
        <v>4688.429999999993</v>
      </c>
      <c r="K20" s="58">
        <f t="shared" ref="K20:O20" si="21">SUM(K17:K19)</f>
        <v>5347.7300000000014</v>
      </c>
      <c r="L20" s="58">
        <f t="shared" si="21"/>
        <v>9361.7699999999822</v>
      </c>
      <c r="M20" s="58">
        <f t="shared" si="21"/>
        <v>14060.23000000002</v>
      </c>
      <c r="N20" s="58">
        <f t="shared" si="21"/>
        <v>15977.79</v>
      </c>
      <c r="O20" s="58">
        <f t="shared" si="21"/>
        <v>19079.619999999981</v>
      </c>
      <c r="Q20" s="60" t="s">
        <v>129</v>
      </c>
      <c r="R20" s="56">
        <v>57087.46</v>
      </c>
      <c r="S20" s="56">
        <v>40921.97</v>
      </c>
      <c r="T20" s="56">
        <f>47133.85+14.45</f>
        <v>47148.299999999996</v>
      </c>
      <c r="U20" s="56">
        <f>61785.96+13.75</f>
        <v>61799.71</v>
      </c>
      <c r="V20" s="56">
        <f>77198+48</f>
        <v>77246</v>
      </c>
      <c r="W20" s="56">
        <f>85399-84</f>
        <v>85315</v>
      </c>
      <c r="Y20" s="61" t="s">
        <v>134</v>
      </c>
      <c r="Z20" s="58">
        <f>SUM(Z18:Z19)</f>
        <v>865.42000000000371</v>
      </c>
      <c r="AA20" s="58">
        <f t="shared" ref="AA20:AE20" si="22">SUM(AA18:AA19)</f>
        <v>821.63000000000523</v>
      </c>
      <c r="AB20" s="58">
        <f t="shared" si="22"/>
        <v>1066.7899999999984</v>
      </c>
      <c r="AC20" s="58">
        <f t="shared" si="22"/>
        <v>1936.0300000000011</v>
      </c>
      <c r="AD20" s="58">
        <f t="shared" si="22"/>
        <v>2702.9199999999996</v>
      </c>
      <c r="AE20" s="58">
        <f t="shared" si="22"/>
        <v>0</v>
      </c>
      <c r="AG20" s="60" t="s">
        <v>165</v>
      </c>
      <c r="AH20" s="56">
        <v>-21.7</v>
      </c>
      <c r="AI20" s="56">
        <v>0</v>
      </c>
      <c r="AJ20" s="56">
        <v>0</v>
      </c>
      <c r="AK20" s="56">
        <v>0</v>
      </c>
      <c r="AL20" s="56">
        <v>0</v>
      </c>
      <c r="AM20" s="56">
        <v>0</v>
      </c>
      <c r="AO20" s="60" t="s">
        <v>198</v>
      </c>
      <c r="AP20" s="56">
        <v>57.5</v>
      </c>
      <c r="AQ20" s="56">
        <v>84.9</v>
      </c>
      <c r="AR20" s="56">
        <v>16</v>
      </c>
      <c r="AS20" s="56">
        <v>-43.7</v>
      </c>
      <c r="AT20" s="56">
        <v>237.6</v>
      </c>
      <c r="AU20" s="56"/>
    </row>
    <row r="21" spans="1:47" x14ac:dyDescent="0.3">
      <c r="A21" s="55" t="s">
        <v>136</v>
      </c>
      <c r="B21" s="56">
        <v>1376.5</v>
      </c>
      <c r="C21" s="56">
        <v>1156.2</v>
      </c>
      <c r="D21" s="56">
        <v>1431</v>
      </c>
      <c r="E21" s="56">
        <v>2249.6</v>
      </c>
      <c r="F21" s="56">
        <v>3631.1</v>
      </c>
      <c r="G21" s="56">
        <v>3841.8</v>
      </c>
      <c r="I21" s="198" t="s">
        <v>135</v>
      </c>
      <c r="J21" s="199"/>
      <c r="K21" s="199"/>
      <c r="L21" s="199"/>
      <c r="M21" s="199"/>
      <c r="N21" s="199"/>
      <c r="O21" s="200"/>
      <c r="Q21" s="60" t="s">
        <v>163</v>
      </c>
      <c r="R21" s="56">
        <v>-17503.400000000001</v>
      </c>
      <c r="S21" s="56">
        <v>-12849.13</v>
      </c>
      <c r="T21" s="56">
        <v>-14397.29</v>
      </c>
      <c r="U21" s="56">
        <v>-18434.84</v>
      </c>
      <c r="V21" s="56">
        <v>-26758</v>
      </c>
      <c r="W21" s="56">
        <v>-31105</v>
      </c>
      <c r="Y21" s="201" t="s">
        <v>135</v>
      </c>
      <c r="Z21" s="201"/>
      <c r="AA21" s="201"/>
      <c r="AB21" s="201"/>
      <c r="AC21" s="201"/>
      <c r="AD21" s="201"/>
      <c r="AE21" s="201"/>
      <c r="AG21" s="61" t="s">
        <v>134</v>
      </c>
      <c r="AH21" s="58">
        <f>AH19+AH20</f>
        <v>971.87999999999863</v>
      </c>
      <c r="AI21" s="58">
        <f t="shared" ref="AI21:AM21" si="23">AI19+AI20</f>
        <v>1074.389999999999</v>
      </c>
      <c r="AJ21" s="58">
        <f t="shared" si="23"/>
        <v>960.60999999999808</v>
      </c>
      <c r="AK21" s="58">
        <f t="shared" si="23"/>
        <v>1137.5899999999986</v>
      </c>
      <c r="AL21" s="58">
        <f t="shared" si="23"/>
        <v>1231.1699999999989</v>
      </c>
      <c r="AM21" s="58">
        <f t="shared" si="23"/>
        <v>1175.9599999999982</v>
      </c>
      <c r="AO21" s="61" t="s">
        <v>199</v>
      </c>
      <c r="AP21" s="58">
        <f>AP18+AP19+AP20</f>
        <v>1622.2999999999956</v>
      </c>
      <c r="AQ21" s="58">
        <f t="shared" ref="AQ21" si="24">AQ18+AQ19+AQ20</f>
        <v>1173.3000000000045</v>
      </c>
      <c r="AR21" s="58">
        <f>AR18-AR19+AR20</f>
        <v>1424.200000000003</v>
      </c>
      <c r="AS21" s="58">
        <f t="shared" ref="AS21:AU21" si="25">AS18-AS19+AS20</f>
        <v>2404.8000000000002</v>
      </c>
      <c r="AT21" s="58">
        <f>AT18+AT19+AT20</f>
        <v>3840.2000000000144</v>
      </c>
      <c r="AU21" s="58">
        <f t="shared" si="25"/>
        <v>0</v>
      </c>
    </row>
    <row r="22" spans="1:47" x14ac:dyDescent="0.3">
      <c r="A22" s="55" t="s">
        <v>137</v>
      </c>
      <c r="B22" s="56">
        <v>48.7</v>
      </c>
      <c r="C22" s="56">
        <v>-224.3</v>
      </c>
      <c r="D22" s="56">
        <v>-613.29999999999995</v>
      </c>
      <c r="E22" s="56">
        <v>-137.5</v>
      </c>
      <c r="F22" s="56">
        <v>199.9</v>
      </c>
      <c r="G22" s="56">
        <v>1386.2</v>
      </c>
      <c r="I22" s="60" t="s">
        <v>136</v>
      </c>
      <c r="J22" s="56">
        <v>2314.16</v>
      </c>
      <c r="K22" s="56">
        <v>2014.89</v>
      </c>
      <c r="L22" s="56">
        <v>-1868.1</v>
      </c>
      <c r="M22" s="56">
        <v>-2742.04</v>
      </c>
      <c r="N22" s="56">
        <v>-3597.39</v>
      </c>
      <c r="O22" s="56">
        <v>-4851.93</v>
      </c>
      <c r="Q22" s="61" t="s">
        <v>131</v>
      </c>
      <c r="R22" s="58">
        <f>SUM(R11:R21)</f>
        <v>271749.65999999997</v>
      </c>
      <c r="S22" s="58">
        <f t="shared" ref="S22:W22" si="26">SUM(S11:S21)</f>
        <v>249151.2</v>
      </c>
      <c r="T22" s="58">
        <f t="shared" si="26"/>
        <v>287881.07999999996</v>
      </c>
      <c r="U22" s="58">
        <f t="shared" si="26"/>
        <v>349133.13</v>
      </c>
      <c r="V22" s="58">
        <f t="shared" si="26"/>
        <v>411040</v>
      </c>
      <c r="W22" s="58">
        <f t="shared" si="26"/>
        <v>411896</v>
      </c>
      <c r="Y22" s="60" t="s">
        <v>136</v>
      </c>
      <c r="Z22" s="56">
        <v>294.64999999999998</v>
      </c>
      <c r="AA22" s="56">
        <v>249.76</v>
      </c>
      <c r="AB22" s="56">
        <v>364.55</v>
      </c>
      <c r="AC22" s="56">
        <v>703.46</v>
      </c>
      <c r="AD22" s="56">
        <v>1012.63</v>
      </c>
      <c r="AE22" s="56"/>
      <c r="AG22" s="201" t="s">
        <v>135</v>
      </c>
      <c r="AH22" s="201"/>
      <c r="AI22" s="201"/>
      <c r="AJ22" s="201"/>
      <c r="AK22" s="201"/>
      <c r="AL22" s="201"/>
      <c r="AM22" s="201"/>
      <c r="AO22" s="201" t="s">
        <v>200</v>
      </c>
      <c r="AP22" s="201"/>
      <c r="AQ22" s="201"/>
      <c r="AR22" s="201"/>
      <c r="AS22" s="201"/>
      <c r="AT22" s="201"/>
      <c r="AU22" s="201"/>
    </row>
    <row r="23" spans="1:47" x14ac:dyDescent="0.3">
      <c r="A23" s="57" t="s">
        <v>138</v>
      </c>
      <c r="B23" s="58">
        <f>SUM(B21:B22)</f>
        <v>1425.2</v>
      </c>
      <c r="C23" s="58">
        <f t="shared" ref="C23:G23" si="27">SUM(C21:C22)</f>
        <v>931.90000000000009</v>
      </c>
      <c r="D23" s="58">
        <f t="shared" si="27"/>
        <v>817.7</v>
      </c>
      <c r="E23" s="58">
        <f t="shared" si="27"/>
        <v>2112.1</v>
      </c>
      <c r="F23" s="58">
        <f t="shared" si="27"/>
        <v>3831</v>
      </c>
      <c r="G23" s="58">
        <f t="shared" si="27"/>
        <v>5228</v>
      </c>
      <c r="I23" s="60" t="s">
        <v>137</v>
      </c>
      <c r="J23" s="56">
        <v>-338.55</v>
      </c>
      <c r="K23" s="56">
        <v>-369.08</v>
      </c>
      <c r="L23" s="56">
        <v>-240.66</v>
      </c>
      <c r="M23" s="56">
        <v>56.29</v>
      </c>
      <c r="N23" s="56">
        <v>-110.58</v>
      </c>
      <c r="O23" s="56">
        <v>-154.52000000000001</v>
      </c>
      <c r="Q23" s="61" t="s">
        <v>164</v>
      </c>
      <c r="R23" s="58">
        <f>R8-R22</f>
        <v>-7708.539999999979</v>
      </c>
      <c r="S23" s="58">
        <f t="shared" ref="S23:W23" si="28">S8-S22</f>
        <v>3286.7399999999907</v>
      </c>
      <c r="T23" s="58">
        <f t="shared" si="28"/>
        <v>-6373.8299999999581</v>
      </c>
      <c r="U23" s="58">
        <f t="shared" si="28"/>
        <v>1467.0200000000186</v>
      </c>
      <c r="V23" s="58">
        <f t="shared" si="28"/>
        <v>28668</v>
      </c>
      <c r="W23" s="58">
        <f t="shared" si="28"/>
        <v>34043</v>
      </c>
      <c r="Y23" s="60" t="s">
        <v>137</v>
      </c>
      <c r="Z23" s="56">
        <v>-76.03</v>
      </c>
      <c r="AA23" s="56">
        <v>-35.630000000000003</v>
      </c>
      <c r="AB23" s="56">
        <v>-28.64</v>
      </c>
      <c r="AC23" s="56">
        <v>-76.89</v>
      </c>
      <c r="AD23" s="56">
        <v>-88.25</v>
      </c>
      <c r="AE23" s="56"/>
      <c r="AG23" s="60" t="s">
        <v>191</v>
      </c>
      <c r="AH23" s="56">
        <v>288.02</v>
      </c>
      <c r="AI23" s="56">
        <v>291.24</v>
      </c>
      <c r="AJ23" s="56">
        <v>265.86</v>
      </c>
      <c r="AK23" s="56">
        <v>327.99</v>
      </c>
      <c r="AL23" s="56">
        <v>393.98</v>
      </c>
      <c r="AM23" s="56">
        <v>394.41</v>
      </c>
      <c r="AO23" s="60" t="s">
        <v>136</v>
      </c>
      <c r="AP23" s="56">
        <v>775.5</v>
      </c>
      <c r="AQ23" s="56">
        <v>606.6</v>
      </c>
      <c r="AR23" s="56">
        <v>731.5</v>
      </c>
      <c r="AS23" s="56">
        <v>940.2</v>
      </c>
      <c r="AT23" s="56">
        <v>1262.7</v>
      </c>
      <c r="AU23" s="56"/>
    </row>
    <row r="24" spans="1:47" x14ac:dyDescent="0.3">
      <c r="A24" s="57" t="s">
        <v>139</v>
      </c>
      <c r="B24" s="58">
        <f>B19-B23</f>
        <v>5677.599999999994</v>
      </c>
      <c r="C24" s="58">
        <f t="shared" ref="C24:G24" si="29">C19-C23</f>
        <v>4389.1000000000004</v>
      </c>
      <c r="D24" s="58">
        <f t="shared" si="29"/>
        <v>3879.5000000000027</v>
      </c>
      <c r="E24" s="58">
        <f t="shared" si="29"/>
        <v>8210.9999999999964</v>
      </c>
      <c r="F24" s="58">
        <f t="shared" si="29"/>
        <v>13209.299999999988</v>
      </c>
      <c r="G24" s="58">
        <f t="shared" si="29"/>
        <v>13955.199999999983</v>
      </c>
      <c r="I24" s="61" t="s">
        <v>138</v>
      </c>
      <c r="J24" s="58">
        <f t="shared" ref="J24:O24" si="30">SUM(J22:J23)</f>
        <v>1975.61</v>
      </c>
      <c r="K24" s="58">
        <f t="shared" si="30"/>
        <v>1645.8100000000002</v>
      </c>
      <c r="L24" s="58">
        <f t="shared" si="30"/>
        <v>-2108.7599999999998</v>
      </c>
      <c r="M24" s="58">
        <f t="shared" si="30"/>
        <v>-2685.75</v>
      </c>
      <c r="N24" s="58">
        <f t="shared" si="30"/>
        <v>-3707.97</v>
      </c>
      <c r="O24" s="58">
        <f t="shared" si="30"/>
        <v>-5006.4500000000007</v>
      </c>
      <c r="Q24" s="201" t="s">
        <v>165</v>
      </c>
      <c r="R24" s="201"/>
      <c r="S24" s="201"/>
      <c r="T24" s="201"/>
      <c r="U24" s="201"/>
      <c r="V24" s="201"/>
      <c r="W24" s="201"/>
      <c r="Y24" s="61" t="s">
        <v>138</v>
      </c>
      <c r="Z24" s="58">
        <f>SUM(Z22:Z23)</f>
        <v>218.61999999999998</v>
      </c>
      <c r="AA24" s="58">
        <f t="shared" ref="AA24:AE24" si="31">SUM(AA22:AA23)</f>
        <v>214.13</v>
      </c>
      <c r="AB24" s="58">
        <f t="shared" si="31"/>
        <v>335.91</v>
      </c>
      <c r="AC24" s="58">
        <f t="shared" si="31"/>
        <v>626.57000000000005</v>
      </c>
      <c r="AD24" s="58">
        <f t="shared" si="31"/>
        <v>924.38</v>
      </c>
      <c r="AE24" s="58">
        <f t="shared" si="31"/>
        <v>0</v>
      </c>
      <c r="AG24" s="60" t="s">
        <v>137</v>
      </c>
      <c r="AH24" s="56">
        <v>-78.62</v>
      </c>
      <c r="AI24" s="56">
        <v>-19.95</v>
      </c>
      <c r="AJ24" s="56">
        <v>0.44</v>
      </c>
      <c r="AK24" s="56">
        <v>-13.17</v>
      </c>
      <c r="AL24" s="56">
        <v>-45.63</v>
      </c>
      <c r="AM24" s="56">
        <v>-18.95</v>
      </c>
      <c r="AO24" s="60" t="s">
        <v>201</v>
      </c>
      <c r="AP24" s="56">
        <v>-87.4</v>
      </c>
      <c r="AQ24" s="56">
        <v>-676</v>
      </c>
      <c r="AR24" s="56">
        <v>-124.6</v>
      </c>
      <c r="AS24" s="56">
        <v>-205</v>
      </c>
      <c r="AT24" s="56">
        <v>-442.1</v>
      </c>
      <c r="AU24" s="56"/>
    </row>
    <row r="25" spans="1:47" x14ac:dyDescent="0.3">
      <c r="B25" s="3"/>
      <c r="C25" s="3"/>
      <c r="D25" s="3"/>
      <c r="E25" s="3"/>
      <c r="F25" s="3"/>
      <c r="G25" s="3"/>
      <c r="I25" s="61" t="s">
        <v>149</v>
      </c>
      <c r="J25" s="58">
        <f>J20-J24</f>
        <v>2712.8199999999933</v>
      </c>
      <c r="K25" s="58">
        <f>K20-K24</f>
        <v>3701.920000000001</v>
      </c>
      <c r="L25" s="58">
        <f>L20+L24</f>
        <v>7253.009999999982</v>
      </c>
      <c r="M25" s="58">
        <f>M20+M24</f>
        <v>11374.48000000002</v>
      </c>
      <c r="N25" s="58">
        <f t="shared" ref="N25:O25" si="32">N20+N24</f>
        <v>12269.820000000002</v>
      </c>
      <c r="O25" s="58">
        <f t="shared" si="32"/>
        <v>14073.16999999998</v>
      </c>
      <c r="Q25" s="60" t="s">
        <v>166</v>
      </c>
      <c r="R25" s="56">
        <v>0</v>
      </c>
      <c r="S25" s="56">
        <v>84.81</v>
      </c>
      <c r="T25" s="56">
        <v>0</v>
      </c>
      <c r="U25" s="56">
        <v>-1495.07</v>
      </c>
      <c r="V25" s="56">
        <v>-700</v>
      </c>
      <c r="W25" s="56">
        <v>-287</v>
      </c>
      <c r="Y25" s="61" t="s">
        <v>185</v>
      </c>
      <c r="Z25" s="58">
        <f>Z20-Z24</f>
        <v>646.80000000000371</v>
      </c>
      <c r="AA25" s="58">
        <f t="shared" ref="AA25:AE25" si="33">AA20-AA24</f>
        <v>607.50000000000523</v>
      </c>
      <c r="AB25" s="58">
        <f t="shared" si="33"/>
        <v>730.87999999999829</v>
      </c>
      <c r="AC25" s="58">
        <f t="shared" si="33"/>
        <v>1309.4600000000009</v>
      </c>
      <c r="AD25" s="58">
        <f t="shared" si="33"/>
        <v>1778.5399999999995</v>
      </c>
      <c r="AE25" s="58">
        <f t="shared" si="33"/>
        <v>0</v>
      </c>
      <c r="AG25" s="61" t="s">
        <v>138</v>
      </c>
      <c r="AH25" s="58">
        <f>SUM(AH23:AH24)</f>
        <v>209.39999999999998</v>
      </c>
      <c r="AI25" s="58">
        <f t="shared" ref="AI25:AM25" si="34">SUM(AI23:AI24)</f>
        <v>271.29000000000002</v>
      </c>
      <c r="AJ25" s="58">
        <f t="shared" si="34"/>
        <v>266.3</v>
      </c>
      <c r="AK25" s="58">
        <f t="shared" si="34"/>
        <v>314.82</v>
      </c>
      <c r="AL25" s="58">
        <f t="shared" si="34"/>
        <v>348.35</v>
      </c>
      <c r="AM25" s="58">
        <f t="shared" si="34"/>
        <v>375.46000000000004</v>
      </c>
      <c r="AO25" s="61" t="s">
        <v>138</v>
      </c>
      <c r="AP25" s="58">
        <f>SUM(AP23:AP24)</f>
        <v>688.1</v>
      </c>
      <c r="AQ25" s="58">
        <f t="shared" ref="AQ25:AU25" si="35">SUM(AQ23:AQ24)</f>
        <v>-69.399999999999977</v>
      </c>
      <c r="AR25" s="58">
        <f t="shared" si="35"/>
        <v>606.9</v>
      </c>
      <c r="AS25" s="58">
        <f t="shared" si="35"/>
        <v>735.2</v>
      </c>
      <c r="AT25" s="58">
        <f t="shared" si="35"/>
        <v>820.6</v>
      </c>
      <c r="AU25" s="58">
        <f t="shared" si="35"/>
        <v>0</v>
      </c>
    </row>
    <row r="26" spans="1:47" x14ac:dyDescent="0.3">
      <c r="B26" s="3">
        <f>B19+B12</f>
        <v>7236.9999999999936</v>
      </c>
      <c r="C26" s="3"/>
      <c r="D26" s="3"/>
      <c r="E26" s="3"/>
      <c r="F26" s="3"/>
      <c r="G26" s="3">
        <f>G19+G12</f>
        <v>19376.299999999981</v>
      </c>
      <c r="I26" s="60" t="s">
        <v>150</v>
      </c>
      <c r="J26" s="56">
        <v>-3033.82</v>
      </c>
      <c r="K26" s="56">
        <v>-2189.5300000000002</v>
      </c>
      <c r="L26" s="56">
        <v>0</v>
      </c>
      <c r="M26" s="56">
        <v>0</v>
      </c>
      <c r="N26" s="56">
        <v>0</v>
      </c>
      <c r="O26" s="56">
        <v>0</v>
      </c>
      <c r="Q26" s="60" t="s">
        <v>167</v>
      </c>
      <c r="R26" s="56">
        <v>436.14</v>
      </c>
      <c r="S26" s="56">
        <v>459.9</v>
      </c>
      <c r="T26" s="56">
        <v>9.83</v>
      </c>
      <c r="U26" s="56">
        <v>1.45</v>
      </c>
      <c r="V26" s="56">
        <v>0</v>
      </c>
      <c r="W26" s="56">
        <v>0</v>
      </c>
      <c r="Y26" s="60" t="s">
        <v>186</v>
      </c>
      <c r="Z26" s="56">
        <v>-22.18</v>
      </c>
      <c r="AA26" s="56">
        <v>-13.24</v>
      </c>
      <c r="AB26" s="56">
        <v>25.94</v>
      </c>
      <c r="AC26" s="56">
        <v>19.21</v>
      </c>
      <c r="AD26" s="56">
        <v>-92.17</v>
      </c>
      <c r="AE26" s="56"/>
      <c r="AG26" s="61" t="s">
        <v>192</v>
      </c>
      <c r="AH26" s="58">
        <f>AH21-AH25</f>
        <v>762.47999999999865</v>
      </c>
      <c r="AI26" s="58">
        <f t="shared" ref="AI26:AM26" si="36">AI21-AI25</f>
        <v>803.099999999999</v>
      </c>
      <c r="AJ26" s="58">
        <f t="shared" si="36"/>
        <v>694.30999999999813</v>
      </c>
      <c r="AK26" s="58">
        <f t="shared" si="36"/>
        <v>822.76999999999862</v>
      </c>
      <c r="AL26" s="58">
        <f t="shared" si="36"/>
        <v>882.81999999999891</v>
      </c>
      <c r="AM26" s="58">
        <f t="shared" si="36"/>
        <v>800.49999999999818</v>
      </c>
      <c r="AO26" s="61" t="s">
        <v>202</v>
      </c>
      <c r="AP26" s="58">
        <f>AP21-AP25</f>
        <v>934.19999999999561</v>
      </c>
      <c r="AQ26" s="58">
        <f t="shared" ref="AQ26:AU26" si="37">AQ21-AQ25</f>
        <v>1242.7000000000044</v>
      </c>
      <c r="AR26" s="58">
        <f t="shared" si="37"/>
        <v>817.30000000000302</v>
      </c>
      <c r="AS26" s="58">
        <f t="shared" si="37"/>
        <v>1669.6000000000001</v>
      </c>
      <c r="AT26" s="58">
        <f t="shared" si="37"/>
        <v>3019.6000000000145</v>
      </c>
      <c r="AU26" s="58">
        <f t="shared" si="37"/>
        <v>0</v>
      </c>
    </row>
    <row r="27" spans="1:47" x14ac:dyDescent="0.3">
      <c r="B27" s="3"/>
      <c r="C27" s="3"/>
      <c r="D27" s="3"/>
      <c r="E27" s="3"/>
      <c r="F27" s="3"/>
      <c r="G27" s="3"/>
      <c r="I27" s="60" t="s">
        <v>151</v>
      </c>
      <c r="J27" s="56">
        <v>0</v>
      </c>
      <c r="K27" s="56">
        <v>0</v>
      </c>
      <c r="L27" s="56">
        <v>0</v>
      </c>
      <c r="M27" s="56">
        <v>0</v>
      </c>
      <c r="N27" s="56">
        <v>0</v>
      </c>
      <c r="O27" s="56">
        <v>0</v>
      </c>
      <c r="Q27" s="60" t="s">
        <v>168</v>
      </c>
      <c r="R27" s="56">
        <v>0</v>
      </c>
      <c r="S27" s="56">
        <v>14994.3</v>
      </c>
      <c r="T27" s="56">
        <v>0</v>
      </c>
      <c r="U27" s="56">
        <v>0</v>
      </c>
      <c r="V27" s="56">
        <v>0</v>
      </c>
      <c r="W27" s="56">
        <v>0</v>
      </c>
      <c r="Y27" s="61" t="s">
        <v>187</v>
      </c>
      <c r="Z27" s="58">
        <f>SUM(Z25:Z26)</f>
        <v>624.62000000000376</v>
      </c>
      <c r="AA27" s="58">
        <f t="shared" ref="AA27:AE27" si="38">SUM(AA25:AA26)</f>
        <v>594.26000000000522</v>
      </c>
      <c r="AB27" s="58">
        <f t="shared" si="38"/>
        <v>756.81999999999834</v>
      </c>
      <c r="AC27" s="58">
        <f t="shared" si="38"/>
        <v>1328.670000000001</v>
      </c>
      <c r="AD27" s="58">
        <f t="shared" si="38"/>
        <v>1686.3699999999994</v>
      </c>
      <c r="AE27" s="58">
        <f t="shared" si="38"/>
        <v>0</v>
      </c>
      <c r="AO27" s="201" t="s">
        <v>203</v>
      </c>
      <c r="AP27" s="201"/>
      <c r="AQ27" s="201"/>
      <c r="AR27" s="201"/>
      <c r="AS27" s="201"/>
      <c r="AT27" s="201"/>
      <c r="AU27" s="201"/>
    </row>
    <row r="28" spans="1:47" x14ac:dyDescent="0.3">
      <c r="B28" s="3"/>
      <c r="C28" s="3"/>
      <c r="D28" s="3"/>
      <c r="E28" s="3"/>
      <c r="F28" s="3"/>
      <c r="G28" s="3"/>
      <c r="I28" s="61" t="s">
        <v>152</v>
      </c>
      <c r="J28" s="58">
        <f t="shared" ref="J28:O28" si="39">SUM(J26:J27)</f>
        <v>-3033.82</v>
      </c>
      <c r="K28" s="58">
        <f t="shared" si="39"/>
        <v>-2189.5300000000002</v>
      </c>
      <c r="L28" s="58">
        <f t="shared" si="39"/>
        <v>0</v>
      </c>
      <c r="M28" s="58">
        <f t="shared" si="39"/>
        <v>0</v>
      </c>
      <c r="N28" s="58">
        <f t="shared" si="39"/>
        <v>0</v>
      </c>
      <c r="O28" s="58">
        <f t="shared" si="39"/>
        <v>0</v>
      </c>
      <c r="Q28" s="60" t="s">
        <v>169</v>
      </c>
      <c r="R28" s="56">
        <v>-73.040000000000006</v>
      </c>
      <c r="S28" s="56">
        <v>114</v>
      </c>
      <c r="T28" s="56">
        <v>0</v>
      </c>
      <c r="U28" s="56">
        <v>229.96</v>
      </c>
      <c r="V28" s="56">
        <v>0</v>
      </c>
      <c r="W28" s="56">
        <v>0</v>
      </c>
      <c r="AG28" s="2" t="s">
        <v>476</v>
      </c>
      <c r="AH28" s="3">
        <f>IF(AH10&gt;=0,AH8+AH9-AH10,AH8+AH9+AH10)</f>
        <v>6402.5</v>
      </c>
      <c r="AI28" s="3">
        <f t="shared" ref="AI28:AM28" si="40">IF(AI10&gt;=0,AI8+AI9-AI10,AI8+AI9+AI10)</f>
        <v>6687.14</v>
      </c>
      <c r="AJ28" s="3">
        <f t="shared" si="40"/>
        <v>8676.7800000000007</v>
      </c>
      <c r="AK28" s="3">
        <f t="shared" si="40"/>
        <v>10353.290000000001</v>
      </c>
      <c r="AL28" s="3">
        <f t="shared" si="40"/>
        <v>11397.59</v>
      </c>
      <c r="AM28" s="3">
        <f t="shared" si="40"/>
        <v>11597.42</v>
      </c>
      <c r="AO28" s="60" t="s">
        <v>118</v>
      </c>
      <c r="AP28" s="56">
        <v>3943.9</v>
      </c>
      <c r="AQ28" s="56">
        <v>4138.2</v>
      </c>
      <c r="AR28" s="56">
        <v>3973.5</v>
      </c>
      <c r="AS28" s="56">
        <v>0</v>
      </c>
      <c r="AT28" s="56">
        <v>0</v>
      </c>
      <c r="AU28" s="56"/>
    </row>
    <row r="29" spans="1:47" ht="28.8" x14ac:dyDescent="0.3">
      <c r="B29" s="3"/>
      <c r="C29" s="3"/>
      <c r="D29" s="3"/>
      <c r="E29" s="3"/>
      <c r="F29" s="3"/>
      <c r="G29" s="3"/>
      <c r="I29" s="57" t="s">
        <v>153</v>
      </c>
      <c r="J29" s="58">
        <f t="shared" ref="J29:O29" si="41">J25+J28</f>
        <v>-321.00000000000682</v>
      </c>
      <c r="K29" s="58">
        <f t="shared" si="41"/>
        <v>1512.3900000000008</v>
      </c>
      <c r="L29" s="58">
        <f t="shared" si="41"/>
        <v>7253.009999999982</v>
      </c>
      <c r="M29" s="58">
        <f t="shared" si="41"/>
        <v>11374.48000000002</v>
      </c>
      <c r="N29" s="58">
        <f t="shared" si="41"/>
        <v>12269.820000000002</v>
      </c>
      <c r="O29" s="58">
        <f t="shared" si="41"/>
        <v>14073.16999999998</v>
      </c>
      <c r="Q29" s="60" t="s">
        <v>170</v>
      </c>
      <c r="R29" s="56">
        <v>1418.64</v>
      </c>
      <c r="S29" s="56">
        <v>-1182.4100000000001</v>
      </c>
      <c r="T29" s="56">
        <v>0</v>
      </c>
      <c r="U29" s="56">
        <v>0</v>
      </c>
      <c r="V29" s="56">
        <v>939</v>
      </c>
      <c r="W29" s="56">
        <v>550</v>
      </c>
      <c r="Y29" s="2" t="s">
        <v>476</v>
      </c>
      <c r="Z29" s="3">
        <f>IF(Z10&gt;=0,Z8+Z9-Z10,Z8+Z9+Z10)</f>
        <v>12303.310000000001</v>
      </c>
      <c r="AA29" s="3">
        <f t="shared" ref="AA29:AD29" si="42">IF(AA10&gt;=0,AA8+AA9-AA10,AA8+AA9+AA10)</f>
        <v>12925.46</v>
      </c>
      <c r="AB29" s="3">
        <f t="shared" si="42"/>
        <v>16257.289999999999</v>
      </c>
      <c r="AC29" s="3">
        <f t="shared" si="42"/>
        <v>20846.260000000002</v>
      </c>
      <c r="AD29" s="3">
        <f t="shared" si="42"/>
        <v>24405.25</v>
      </c>
      <c r="AG29" s="2" t="s">
        <v>498</v>
      </c>
      <c r="AH29" s="3">
        <f>AH14-AH16</f>
        <v>1090.3599999999988</v>
      </c>
      <c r="AI29" s="3">
        <f t="shared" ref="AI29:AM29" si="43">AI14-AI16</f>
        <v>1217.2199999999989</v>
      </c>
      <c r="AJ29" s="3">
        <f t="shared" si="43"/>
        <v>1022.4799999999982</v>
      </c>
      <c r="AK29" s="3">
        <f t="shared" si="43"/>
        <v>1211.1499999999987</v>
      </c>
      <c r="AL29" s="3">
        <f t="shared" si="43"/>
        <v>1346.619999999999</v>
      </c>
      <c r="AM29" s="3">
        <f t="shared" si="43"/>
        <v>1328.489999999998</v>
      </c>
      <c r="AO29" s="60" t="s">
        <v>120</v>
      </c>
      <c r="AP29" s="56">
        <v>6.4</v>
      </c>
      <c r="AQ29" s="56">
        <v>27.5</v>
      </c>
      <c r="AR29" s="56">
        <v>20.7</v>
      </c>
      <c r="AS29" s="56">
        <v>0</v>
      </c>
      <c r="AT29" s="56">
        <v>0</v>
      </c>
      <c r="AU29" s="56"/>
    </row>
    <row r="30" spans="1:47" x14ac:dyDescent="0.3">
      <c r="B30" s="3"/>
      <c r="C30" s="3"/>
      <c r="D30" s="3"/>
      <c r="E30" s="3"/>
      <c r="F30" s="3"/>
      <c r="G30" s="3"/>
      <c r="J30" s="3"/>
      <c r="K30" s="3"/>
      <c r="L30" s="3"/>
      <c r="M30" s="3"/>
      <c r="N30" s="3"/>
      <c r="O30" s="3"/>
      <c r="Q30" s="60" t="s">
        <v>171</v>
      </c>
      <c r="R30" s="56">
        <v>777</v>
      </c>
      <c r="S30" s="56">
        <v>-663</v>
      </c>
      <c r="T30" s="56">
        <v>0</v>
      </c>
      <c r="U30" s="56">
        <v>-61.03</v>
      </c>
      <c r="V30" s="56">
        <v>0</v>
      </c>
      <c r="W30" s="56">
        <v>0</v>
      </c>
      <c r="Y30" s="2" t="s">
        <v>498</v>
      </c>
      <c r="Z30" s="3">
        <f>Z16+Z12</f>
        <v>1768.8800000000037</v>
      </c>
      <c r="AA30" s="3">
        <f t="shared" ref="AA30:AD30" si="44">AA16+AA12</f>
        <v>1720.2300000000052</v>
      </c>
      <c r="AB30" s="3">
        <f t="shared" si="44"/>
        <v>2044.6399999999983</v>
      </c>
      <c r="AC30" s="3">
        <f t="shared" si="44"/>
        <v>3346.5200000000013</v>
      </c>
      <c r="AD30" s="3">
        <f t="shared" si="44"/>
        <v>4674.1099999999997</v>
      </c>
      <c r="AO30" s="60" t="s">
        <v>131</v>
      </c>
      <c r="AP30" s="56">
        <v>3459.7</v>
      </c>
      <c r="AQ30" s="56">
        <v>3726.1</v>
      </c>
      <c r="AR30" s="56">
        <v>3509.6</v>
      </c>
      <c r="AS30" s="56">
        <v>0</v>
      </c>
      <c r="AT30" s="56">
        <v>0</v>
      </c>
      <c r="AU30" s="56"/>
    </row>
    <row r="31" spans="1:47" x14ac:dyDescent="0.3">
      <c r="B31" s="3"/>
      <c r="C31" s="3"/>
      <c r="D31" s="3"/>
      <c r="E31" s="3"/>
      <c r="F31" s="3"/>
      <c r="G31" s="3"/>
      <c r="J31" s="3">
        <f>J17+J12</f>
        <v>10853.579999999993</v>
      </c>
      <c r="K31" s="3"/>
      <c r="L31" s="3"/>
      <c r="M31" s="3"/>
      <c r="N31" s="3"/>
      <c r="O31" s="3">
        <f>O17+O12</f>
        <v>26625.589999999982</v>
      </c>
      <c r="Q31" s="60" t="s">
        <v>172</v>
      </c>
      <c r="R31" s="56">
        <v>-65.62</v>
      </c>
      <c r="S31" s="56">
        <v>-46.58</v>
      </c>
      <c r="T31" s="56">
        <v>-21.47</v>
      </c>
      <c r="U31" s="56">
        <v>0</v>
      </c>
      <c r="V31" s="56">
        <v>0</v>
      </c>
      <c r="W31" s="56">
        <v>0</v>
      </c>
      <c r="AO31" s="61" t="s">
        <v>204</v>
      </c>
      <c r="AP31" s="58">
        <f>(AP28+AP29)-AP30</f>
        <v>490.60000000000036</v>
      </c>
      <c r="AQ31" s="58">
        <f t="shared" ref="AQ31:AU31" si="45">(AQ28+AQ29)-AQ30</f>
        <v>439.59999999999991</v>
      </c>
      <c r="AR31" s="58">
        <f t="shared" si="45"/>
        <v>484.59999999999991</v>
      </c>
      <c r="AS31" s="58">
        <f t="shared" si="45"/>
        <v>0</v>
      </c>
      <c r="AT31" s="58">
        <f t="shared" si="45"/>
        <v>0</v>
      </c>
      <c r="AU31" s="58">
        <f t="shared" si="45"/>
        <v>0</v>
      </c>
    </row>
    <row r="32" spans="1:47" x14ac:dyDescent="0.3">
      <c r="B32" s="3"/>
      <c r="C32" s="3"/>
      <c r="D32" s="3"/>
      <c r="E32" s="3"/>
      <c r="F32" s="3"/>
      <c r="G32" s="3"/>
      <c r="J32" s="3"/>
      <c r="K32" s="3"/>
      <c r="L32" s="3"/>
      <c r="M32" s="3"/>
      <c r="N32" s="3"/>
      <c r="O32" s="3"/>
      <c r="Q32" s="60" t="s">
        <v>173</v>
      </c>
      <c r="R32" s="56">
        <v>353.2</v>
      </c>
      <c r="S32" s="56">
        <v>0</v>
      </c>
      <c r="T32" s="56">
        <v>-86.26</v>
      </c>
      <c r="U32" s="56">
        <v>-214.39</v>
      </c>
      <c r="V32" s="56">
        <v>0</v>
      </c>
      <c r="W32" s="56">
        <v>0</v>
      </c>
      <c r="AO32" s="60" t="s">
        <v>205</v>
      </c>
      <c r="AP32" s="56">
        <v>130.30000000000001</v>
      </c>
      <c r="AQ32" s="56">
        <v>112.9</v>
      </c>
      <c r="AR32" s="56">
        <v>120.4</v>
      </c>
      <c r="AS32" s="56">
        <v>0</v>
      </c>
      <c r="AT32" s="56"/>
      <c r="AU32" s="56"/>
    </row>
    <row r="33" spans="2:47" x14ac:dyDescent="0.3">
      <c r="B33" s="3"/>
      <c r="C33" s="3"/>
      <c r="D33" s="3"/>
      <c r="E33" s="3"/>
      <c r="F33" s="3"/>
      <c r="G33" s="3"/>
      <c r="J33" s="3"/>
      <c r="K33" s="3"/>
      <c r="L33" s="3"/>
      <c r="M33" s="3"/>
      <c r="N33" s="3"/>
      <c r="O33" s="3"/>
      <c r="Q33" s="60" t="s">
        <v>174</v>
      </c>
      <c r="R33" s="56">
        <v>25.12</v>
      </c>
      <c r="S33" s="56">
        <v>0</v>
      </c>
      <c r="T33" s="56">
        <f>301.34+428.66-2.52</f>
        <v>727.48</v>
      </c>
      <c r="U33" s="56">
        <f>9-60.45</f>
        <v>-51.45</v>
      </c>
      <c r="V33" s="56">
        <v>0</v>
      </c>
      <c r="W33" s="56">
        <v>0</v>
      </c>
      <c r="AO33" s="61" t="s">
        <v>206</v>
      </c>
      <c r="AP33" s="58">
        <f>AP31-AP32</f>
        <v>360.30000000000035</v>
      </c>
      <c r="AQ33" s="58">
        <f t="shared" ref="AQ33:AU33" si="46">AQ31-AQ32</f>
        <v>326.69999999999993</v>
      </c>
      <c r="AR33" s="58">
        <f t="shared" si="46"/>
        <v>364.19999999999993</v>
      </c>
      <c r="AS33" s="58">
        <f t="shared" si="46"/>
        <v>0</v>
      </c>
      <c r="AT33" s="58">
        <f t="shared" si="46"/>
        <v>0</v>
      </c>
      <c r="AU33" s="58">
        <f t="shared" si="46"/>
        <v>0</v>
      </c>
    </row>
    <row r="34" spans="2:47" x14ac:dyDescent="0.3">
      <c r="B34" s="3"/>
      <c r="C34" s="3"/>
      <c r="D34" s="3"/>
      <c r="E34" s="3"/>
      <c r="F34" s="3"/>
      <c r="G34" s="3"/>
      <c r="J34" s="3"/>
      <c r="K34" s="3"/>
      <c r="L34" s="3"/>
      <c r="M34" s="3"/>
      <c r="N34" s="3"/>
      <c r="O34" s="3"/>
      <c r="Q34" s="61" t="s">
        <v>177</v>
      </c>
      <c r="R34" s="58">
        <f>SUM(R25:R33)</f>
        <v>2871.4399999999996</v>
      </c>
      <c r="S34" s="58">
        <f t="shared" ref="S34:W34" si="47">SUM(S25:S33)</f>
        <v>13761.019999999999</v>
      </c>
      <c r="T34" s="58">
        <f t="shared" si="47"/>
        <v>629.58000000000004</v>
      </c>
      <c r="U34" s="58">
        <f t="shared" si="47"/>
        <v>-1590.53</v>
      </c>
      <c r="V34" s="58">
        <f t="shared" si="47"/>
        <v>239</v>
      </c>
      <c r="W34" s="58">
        <f t="shared" si="47"/>
        <v>263</v>
      </c>
      <c r="AO34" s="61" t="s">
        <v>207</v>
      </c>
      <c r="AP34" s="58">
        <f>AP26+AP33</f>
        <v>1294.4999999999959</v>
      </c>
      <c r="AQ34" s="58">
        <f t="shared" ref="AQ34:AU34" si="48">AQ26+AQ33</f>
        <v>1569.4000000000042</v>
      </c>
      <c r="AR34" s="58">
        <f t="shared" si="48"/>
        <v>1181.500000000003</v>
      </c>
      <c r="AS34" s="58">
        <f t="shared" si="48"/>
        <v>1669.6000000000001</v>
      </c>
      <c r="AT34" s="58">
        <f t="shared" si="48"/>
        <v>3019.6000000000145</v>
      </c>
      <c r="AU34" s="58">
        <f t="shared" si="48"/>
        <v>0</v>
      </c>
    </row>
    <row r="35" spans="2:47" x14ac:dyDescent="0.3">
      <c r="B35" s="3"/>
      <c r="C35" s="3"/>
      <c r="D35" s="3"/>
      <c r="E35" s="3"/>
      <c r="F35" s="3"/>
      <c r="G35" s="3"/>
      <c r="J35" s="3"/>
      <c r="K35" s="3"/>
      <c r="L35" s="3"/>
      <c r="M35" s="3"/>
      <c r="N35" s="3"/>
      <c r="O35" s="3"/>
      <c r="Q35" s="61" t="s">
        <v>140</v>
      </c>
      <c r="R35" s="58">
        <f>R23-R34</f>
        <v>-10579.979999999978</v>
      </c>
      <c r="S35" s="58">
        <f t="shared" ref="S35:W35" si="49">S23-S34</f>
        <v>-10474.280000000008</v>
      </c>
      <c r="T35" s="58">
        <f t="shared" si="49"/>
        <v>-7003.409999999958</v>
      </c>
      <c r="U35" s="58">
        <f t="shared" si="49"/>
        <v>3057.5500000000184</v>
      </c>
      <c r="V35" s="58">
        <f t="shared" si="49"/>
        <v>28429</v>
      </c>
      <c r="W35" s="58">
        <f t="shared" si="49"/>
        <v>33780</v>
      </c>
    </row>
    <row r="36" spans="2:47" x14ac:dyDescent="0.3">
      <c r="B36" s="3"/>
      <c r="C36" s="3"/>
      <c r="D36" s="3"/>
      <c r="E36" s="3"/>
      <c r="F36" s="3"/>
      <c r="G36" s="3"/>
      <c r="J36" s="3"/>
      <c r="K36" s="3"/>
      <c r="L36" s="3"/>
      <c r="M36" s="3"/>
      <c r="N36" s="3"/>
      <c r="O36" s="3"/>
      <c r="Q36" s="201" t="s">
        <v>135</v>
      </c>
      <c r="R36" s="201"/>
      <c r="S36" s="201"/>
      <c r="T36" s="201"/>
      <c r="U36" s="201"/>
      <c r="V36" s="201"/>
      <c r="W36" s="201"/>
      <c r="AO36" s="2" t="s">
        <v>476</v>
      </c>
      <c r="AP36" s="3">
        <f>IF(AP12&gt;=0,AP10+AP11-AP12,AP10+AP11+AP12)</f>
        <v>34968.800000000003</v>
      </c>
      <c r="AQ36" s="3">
        <f t="shared" ref="AQ36:AT36" si="50">IF(AQ12&gt;=0,AQ10+AQ11-AQ12,AQ10+AQ11+AQ12)</f>
        <v>32597.899999999998</v>
      </c>
      <c r="AR36" s="3">
        <f t="shared" si="50"/>
        <v>36736.300000000003</v>
      </c>
      <c r="AS36" s="3">
        <f t="shared" si="50"/>
        <v>45317.4</v>
      </c>
      <c r="AT36" s="3">
        <f t="shared" si="50"/>
        <v>54321.099999999991</v>
      </c>
    </row>
    <row r="37" spans="2:47" x14ac:dyDescent="0.3">
      <c r="B37" s="3"/>
      <c r="C37" s="3"/>
      <c r="D37" s="3"/>
      <c r="E37" s="3"/>
      <c r="F37" s="3"/>
      <c r="G37" s="3"/>
      <c r="J37" s="3"/>
      <c r="K37" s="3"/>
      <c r="L37" s="3"/>
      <c r="M37" s="3"/>
      <c r="N37" s="3"/>
      <c r="O37" s="3"/>
      <c r="Q37" s="60" t="s">
        <v>175</v>
      </c>
      <c r="R37" s="56">
        <v>0</v>
      </c>
      <c r="S37" s="56">
        <v>0</v>
      </c>
      <c r="T37" s="56">
        <v>2669.98</v>
      </c>
      <c r="U37" s="56">
        <v>3258.35</v>
      </c>
      <c r="V37" s="56">
        <v>4937</v>
      </c>
      <c r="W37" s="56">
        <v>5023</v>
      </c>
      <c r="AO37" s="2" t="s">
        <v>498</v>
      </c>
      <c r="AP37" s="3">
        <f>AP18+AP15</f>
        <v>2157.5999999999958</v>
      </c>
      <c r="AQ37" s="3">
        <f t="shared" ref="AQ37:AT37" si="51">AQ18+AQ15</f>
        <v>1662.2000000000044</v>
      </c>
      <c r="AR37" s="3">
        <f t="shared" si="51"/>
        <v>1998.9000000000028</v>
      </c>
      <c r="AS37" s="3">
        <f t="shared" si="51"/>
        <v>3328.9</v>
      </c>
      <c r="AT37" s="3">
        <f t="shared" si="51"/>
        <v>5663.7000000000144</v>
      </c>
    </row>
    <row r="38" spans="2:47" x14ac:dyDescent="0.3">
      <c r="B38" s="3"/>
      <c r="C38" s="3"/>
      <c r="D38" s="3"/>
      <c r="E38" s="3"/>
      <c r="F38" s="3"/>
      <c r="G38" s="3"/>
      <c r="J38" s="3"/>
      <c r="K38" s="3"/>
      <c r="L38" s="3"/>
      <c r="M38" s="3"/>
      <c r="N38" s="3"/>
      <c r="O38" s="3"/>
      <c r="Q38" s="60" t="s">
        <v>137</v>
      </c>
      <c r="R38" s="56">
        <v>0</v>
      </c>
      <c r="S38" s="56">
        <v>0</v>
      </c>
      <c r="T38" s="56">
        <v>1561.31</v>
      </c>
      <c r="U38" s="56">
        <v>-2554.29</v>
      </c>
      <c r="V38" s="56">
        <v>-8961</v>
      </c>
      <c r="W38" s="56">
        <v>5479</v>
      </c>
    </row>
    <row r="39" spans="2:47" x14ac:dyDescent="0.3">
      <c r="B39" s="3"/>
      <c r="C39" s="3"/>
      <c r="D39" s="3"/>
      <c r="E39" s="3"/>
      <c r="F39" s="3"/>
      <c r="G39" s="3"/>
      <c r="J39" s="3"/>
      <c r="K39" s="3"/>
      <c r="L39" s="3"/>
      <c r="M39" s="3"/>
      <c r="N39" s="3"/>
      <c r="O39" s="3"/>
      <c r="Q39" s="61" t="s">
        <v>138</v>
      </c>
      <c r="R39" s="58">
        <f>SUM(R37:R38)</f>
        <v>0</v>
      </c>
      <c r="S39" s="58">
        <f t="shared" ref="S39:W39" si="52">SUM(S37:S38)</f>
        <v>0</v>
      </c>
      <c r="T39" s="58">
        <f t="shared" si="52"/>
        <v>4231.29</v>
      </c>
      <c r="U39" s="58">
        <f t="shared" si="52"/>
        <v>704.06</v>
      </c>
      <c r="V39" s="58">
        <f t="shared" si="52"/>
        <v>-4024</v>
      </c>
      <c r="W39" s="58">
        <f t="shared" si="52"/>
        <v>10502</v>
      </c>
    </row>
    <row r="40" spans="2:47" x14ac:dyDescent="0.3">
      <c r="B40" s="3"/>
      <c r="C40" s="3"/>
      <c r="D40" s="3"/>
      <c r="E40" s="3"/>
      <c r="F40" s="3"/>
      <c r="G40" s="3"/>
      <c r="J40" s="3"/>
      <c r="K40" s="3"/>
      <c r="L40" s="3"/>
      <c r="M40" s="3"/>
      <c r="N40" s="3"/>
      <c r="O40" s="3"/>
      <c r="Q40" s="61" t="s">
        <v>176</v>
      </c>
      <c r="R40" s="58">
        <f>R35-R39</f>
        <v>-10579.979999999978</v>
      </c>
      <c r="S40" s="58">
        <f t="shared" ref="S40" si="53">S35-S39</f>
        <v>-10474.280000000008</v>
      </c>
      <c r="T40" s="58">
        <f>T35-T39</f>
        <v>-11234.699999999957</v>
      </c>
      <c r="U40" s="58">
        <f t="shared" ref="U40:W40" si="54">U35-U39</f>
        <v>2353.4900000000184</v>
      </c>
      <c r="V40" s="58">
        <f t="shared" si="54"/>
        <v>32453</v>
      </c>
      <c r="W40" s="58">
        <f t="shared" si="54"/>
        <v>23278</v>
      </c>
    </row>
    <row r="41" spans="2:47" x14ac:dyDescent="0.3">
      <c r="B41" s="3"/>
      <c r="C41" s="3"/>
      <c r="D41" s="3"/>
      <c r="E41" s="3"/>
      <c r="F41" s="3"/>
      <c r="G41" s="3"/>
      <c r="J41" s="3"/>
      <c r="K41" s="3"/>
      <c r="L41" s="3"/>
      <c r="M41" s="3"/>
      <c r="N41" s="3"/>
      <c r="O41" s="3"/>
      <c r="Q41" s="60" t="s">
        <v>178</v>
      </c>
      <c r="R41" s="56">
        <v>0</v>
      </c>
      <c r="S41" s="56">
        <v>0</v>
      </c>
      <c r="T41" s="56">
        <v>-74.06</v>
      </c>
      <c r="U41" s="56">
        <v>336.38</v>
      </c>
      <c r="V41" s="56">
        <v>-646</v>
      </c>
      <c r="W41" s="56">
        <v>4871</v>
      </c>
    </row>
    <row r="42" spans="2:47" x14ac:dyDescent="0.3">
      <c r="B42" s="3"/>
      <c r="C42" s="3"/>
      <c r="D42" s="3"/>
      <c r="E42" s="3"/>
      <c r="F42" s="3"/>
      <c r="G42" s="3"/>
      <c r="J42" s="3"/>
      <c r="K42" s="3"/>
      <c r="L42" s="3"/>
      <c r="M42" s="3"/>
      <c r="N42" s="3"/>
      <c r="O42" s="3"/>
      <c r="Q42" s="61" t="s">
        <v>179</v>
      </c>
      <c r="R42" s="58">
        <f>R40+R41</f>
        <v>-10579.979999999978</v>
      </c>
      <c r="S42" s="58">
        <f t="shared" ref="S42:W42" si="55">S40+S41</f>
        <v>-10474.280000000008</v>
      </c>
      <c r="T42" s="58">
        <f t="shared" si="55"/>
        <v>-11308.759999999957</v>
      </c>
      <c r="U42" s="58">
        <f t="shared" si="55"/>
        <v>2689.8700000000185</v>
      </c>
      <c r="V42" s="58">
        <f t="shared" si="55"/>
        <v>31807</v>
      </c>
      <c r="W42" s="58">
        <f t="shared" si="55"/>
        <v>28149</v>
      </c>
    </row>
    <row r="43" spans="2:47" x14ac:dyDescent="0.3">
      <c r="B43" s="3"/>
      <c r="C43" s="3"/>
      <c r="D43" s="3"/>
      <c r="E43" s="3"/>
      <c r="F43" s="3"/>
      <c r="G43" s="3"/>
      <c r="J43" s="3"/>
      <c r="K43" s="3"/>
      <c r="L43" s="3"/>
      <c r="M43" s="3"/>
      <c r="N43" s="3"/>
      <c r="O43" s="3"/>
      <c r="R43" s="3"/>
      <c r="S43" s="3"/>
      <c r="T43" s="3"/>
      <c r="U43" s="3"/>
      <c r="V43" s="3"/>
      <c r="W43" s="3"/>
    </row>
    <row r="44" spans="2:47" x14ac:dyDescent="0.3">
      <c r="B44" s="3"/>
      <c r="C44" s="3"/>
      <c r="D44" s="3"/>
      <c r="E44" s="3"/>
      <c r="F44" s="3"/>
      <c r="G44" s="3"/>
      <c r="J44" s="3"/>
      <c r="K44" s="3"/>
      <c r="L44" s="3"/>
      <c r="M44" s="3"/>
      <c r="N44" s="3"/>
      <c r="O44" s="3"/>
      <c r="Q44" s="2" t="s">
        <v>476</v>
      </c>
      <c r="R44" s="3">
        <f>IF(R14&gt;=0,R11+R13-R14,R11+R13+R14)</f>
        <v>162965.9</v>
      </c>
      <c r="S44" s="3">
        <f t="shared" ref="S44:W44" si="56">IF(S14&gt;=0,S11+S13-S14,S11+S13+S14)</f>
        <v>148958.35999999999</v>
      </c>
      <c r="T44" s="3">
        <f t="shared" si="56"/>
        <v>176382.34</v>
      </c>
      <c r="U44" s="3">
        <f t="shared" si="56"/>
        <v>225743.38</v>
      </c>
      <c r="V44" s="3">
        <f t="shared" si="56"/>
        <v>272755</v>
      </c>
      <c r="W44" s="3">
        <f t="shared" si="56"/>
        <v>266114</v>
      </c>
    </row>
    <row r="45" spans="2:47" x14ac:dyDescent="0.3">
      <c r="B45" s="3"/>
      <c r="C45" s="3"/>
      <c r="D45" s="3"/>
      <c r="E45" s="3"/>
      <c r="F45" s="3"/>
      <c r="G45" s="3"/>
      <c r="J45" s="3"/>
      <c r="K45" s="3"/>
      <c r="L45" s="3"/>
      <c r="M45" s="3"/>
      <c r="N45" s="3"/>
      <c r="O45" s="3"/>
      <c r="Q45" s="2" t="s">
        <v>498</v>
      </c>
      <c r="R45" s="3">
        <f>R23+R16</f>
        <v>-465.20999999997912</v>
      </c>
      <c r="S45" s="3">
        <f t="shared" ref="S45:W45" si="57">S23+S16</f>
        <v>11383.909999999991</v>
      </c>
      <c r="T45" s="3">
        <f t="shared" si="57"/>
        <v>2938.0300000000425</v>
      </c>
      <c r="U45" s="3">
        <f t="shared" si="57"/>
        <v>11692.500000000018</v>
      </c>
      <c r="V45" s="3">
        <f t="shared" si="57"/>
        <v>36262</v>
      </c>
      <c r="W45" s="3">
        <f t="shared" si="57"/>
        <v>39126</v>
      </c>
    </row>
    <row r="46" spans="2:47" x14ac:dyDescent="0.3">
      <c r="B46" s="3"/>
      <c r="C46" s="3"/>
      <c r="D46" s="3"/>
      <c r="E46" s="3"/>
      <c r="F46" s="3"/>
      <c r="G46" s="3"/>
      <c r="J46" s="3"/>
      <c r="K46" s="3"/>
      <c r="L46" s="3"/>
      <c r="M46" s="3"/>
      <c r="N46" s="3"/>
      <c r="O46" s="3"/>
      <c r="Q46" s="2" t="s">
        <v>516</v>
      </c>
      <c r="R46" s="162">
        <f>R45/R4</f>
        <v>-1.7989951520983641E-3</v>
      </c>
      <c r="S46" s="162">
        <f t="shared" ref="S46:W46" si="58">S45/S4</f>
        <v>4.60938979480967E-2</v>
      </c>
      <c r="T46" s="162">
        <f t="shared" si="58"/>
        <v>1.0674614583314944E-2</v>
      </c>
      <c r="U46" s="162">
        <f t="shared" si="58"/>
        <v>3.4101389665533444E-2</v>
      </c>
      <c r="V46" s="162">
        <f t="shared" si="58"/>
        <v>8.4093207053607039E-2</v>
      </c>
      <c r="W46" s="162">
        <f t="shared" si="58"/>
        <v>8.9569869580445993E-2</v>
      </c>
    </row>
    <row r="47" spans="2:47" x14ac:dyDescent="0.3">
      <c r="B47" s="3"/>
      <c r="C47" s="3"/>
      <c r="D47" s="3"/>
      <c r="E47" s="3"/>
      <c r="F47" s="3"/>
      <c r="G47" s="3"/>
      <c r="J47" s="3"/>
      <c r="K47" s="3"/>
      <c r="L47" s="3"/>
      <c r="M47" s="3"/>
      <c r="N47" s="3"/>
      <c r="O47" s="3"/>
      <c r="R47" s="3"/>
      <c r="S47" s="3"/>
      <c r="T47" s="3"/>
      <c r="U47" s="3"/>
      <c r="V47" s="3"/>
      <c r="W47" s="3"/>
    </row>
    <row r="48" spans="2:47" x14ac:dyDescent="0.3">
      <c r="B48" s="3"/>
      <c r="C48" s="3"/>
      <c r="D48" s="3"/>
      <c r="E48" s="3"/>
      <c r="F48" s="3"/>
      <c r="G48" s="3"/>
      <c r="J48" s="3"/>
      <c r="K48" s="3"/>
      <c r="L48" s="3"/>
      <c r="M48" s="3"/>
      <c r="N48" s="3"/>
      <c r="O48" s="3"/>
      <c r="R48" s="3"/>
      <c r="S48" s="3"/>
      <c r="T48" s="3"/>
      <c r="U48" s="3"/>
      <c r="V48" s="3"/>
      <c r="W48" s="3"/>
    </row>
    <row r="49" spans="2:23" x14ac:dyDescent="0.3">
      <c r="B49" s="3"/>
      <c r="C49" s="3"/>
      <c r="D49" s="3"/>
      <c r="E49" s="3"/>
      <c r="F49" s="3"/>
      <c r="G49" s="3"/>
      <c r="J49" s="3"/>
      <c r="K49" s="3"/>
      <c r="L49" s="3"/>
      <c r="M49" s="3"/>
      <c r="N49" s="3"/>
      <c r="O49" s="3"/>
      <c r="R49" s="3"/>
      <c r="S49" s="3"/>
      <c r="T49" s="3"/>
      <c r="U49" s="3"/>
      <c r="V49" s="3"/>
      <c r="W49" s="3"/>
    </row>
    <row r="50" spans="2:23" x14ac:dyDescent="0.3">
      <c r="B50" s="3"/>
      <c r="C50" s="3"/>
      <c r="D50" s="3"/>
      <c r="E50" s="3"/>
      <c r="F50" s="3"/>
      <c r="G50" s="3"/>
      <c r="J50" s="3"/>
      <c r="K50" s="3"/>
      <c r="L50" s="3"/>
      <c r="M50" s="3"/>
      <c r="N50" s="3"/>
      <c r="O50" s="3"/>
      <c r="R50" s="3"/>
      <c r="S50" s="3"/>
      <c r="T50" s="3"/>
      <c r="U50" s="3"/>
      <c r="V50" s="3"/>
      <c r="W50" s="3"/>
    </row>
    <row r="51" spans="2:23" x14ac:dyDescent="0.3">
      <c r="B51" s="3"/>
      <c r="C51" s="3"/>
      <c r="D51" s="3"/>
      <c r="E51" s="3"/>
      <c r="F51" s="3"/>
      <c r="G51" s="3"/>
      <c r="J51" s="3"/>
      <c r="K51" s="3"/>
      <c r="L51" s="3"/>
      <c r="M51" s="3"/>
      <c r="N51" s="3"/>
      <c r="O51" s="3"/>
      <c r="R51" s="3"/>
      <c r="S51" s="3"/>
      <c r="T51" s="3"/>
      <c r="U51" s="3"/>
      <c r="V51" s="3"/>
      <c r="W51" s="3"/>
    </row>
    <row r="52" spans="2:23" x14ac:dyDescent="0.3">
      <c r="B52" s="3"/>
      <c r="C52" s="3"/>
      <c r="D52" s="3"/>
      <c r="E52" s="3"/>
      <c r="F52" s="3"/>
      <c r="G52" s="3"/>
      <c r="J52" s="3"/>
      <c r="K52" s="3"/>
      <c r="L52" s="3"/>
      <c r="M52" s="3"/>
      <c r="N52" s="3"/>
      <c r="O52" s="3"/>
      <c r="R52" s="3"/>
      <c r="S52" s="3"/>
      <c r="T52" s="3"/>
      <c r="U52" s="3"/>
      <c r="V52" s="3"/>
      <c r="W52" s="3"/>
    </row>
    <row r="53" spans="2:23" x14ac:dyDescent="0.3">
      <c r="B53" s="3"/>
      <c r="C53" s="3"/>
      <c r="D53" s="3"/>
      <c r="E53" s="3"/>
      <c r="F53" s="3"/>
      <c r="G53" s="3"/>
      <c r="J53" s="3"/>
      <c r="K53" s="3"/>
      <c r="L53" s="3"/>
      <c r="M53" s="3"/>
      <c r="N53" s="3"/>
      <c r="O53" s="3"/>
      <c r="R53" s="3"/>
      <c r="S53" s="3"/>
      <c r="T53" s="3"/>
      <c r="U53" s="3"/>
      <c r="V53" s="3"/>
      <c r="W53" s="3"/>
    </row>
    <row r="54" spans="2:23" x14ac:dyDescent="0.3">
      <c r="B54" s="3"/>
      <c r="C54" s="3"/>
      <c r="D54" s="3"/>
      <c r="E54" s="3"/>
      <c r="F54" s="3"/>
      <c r="G54" s="3"/>
      <c r="J54" s="3"/>
      <c r="K54" s="3"/>
      <c r="L54" s="3"/>
      <c r="M54" s="3"/>
      <c r="N54" s="3"/>
      <c r="O54" s="3"/>
      <c r="R54" s="3"/>
      <c r="S54" s="3"/>
      <c r="T54" s="3"/>
      <c r="U54" s="3"/>
      <c r="V54" s="3"/>
      <c r="W54" s="3"/>
    </row>
    <row r="55" spans="2:23" x14ac:dyDescent="0.3">
      <c r="B55" s="3"/>
      <c r="C55" s="3"/>
      <c r="D55" s="3"/>
      <c r="E55" s="3"/>
      <c r="F55" s="3"/>
      <c r="G55" s="3"/>
      <c r="J55" s="3"/>
      <c r="K55" s="3"/>
      <c r="L55" s="3"/>
      <c r="M55" s="3"/>
      <c r="N55" s="3"/>
      <c r="O55" s="3"/>
      <c r="R55" s="3"/>
      <c r="S55" s="3"/>
      <c r="T55" s="3"/>
      <c r="U55" s="3"/>
      <c r="V55" s="3"/>
      <c r="W55" s="3"/>
    </row>
    <row r="56" spans="2:23" x14ac:dyDescent="0.3">
      <c r="B56" s="3"/>
      <c r="C56" s="3"/>
      <c r="D56" s="3"/>
      <c r="E56" s="3"/>
      <c r="F56" s="3"/>
      <c r="G56" s="3"/>
      <c r="J56" s="3"/>
      <c r="K56" s="3"/>
      <c r="L56" s="3"/>
      <c r="M56" s="3"/>
      <c r="N56" s="3"/>
      <c r="O56" s="3"/>
      <c r="R56" s="3"/>
      <c r="S56" s="3"/>
      <c r="T56" s="3"/>
      <c r="U56" s="3"/>
      <c r="V56" s="3"/>
      <c r="W56" s="3"/>
    </row>
    <row r="57" spans="2:23" x14ac:dyDescent="0.3">
      <c r="B57" s="3"/>
      <c r="C57" s="3"/>
      <c r="D57" s="3"/>
      <c r="E57" s="3"/>
      <c r="F57" s="3"/>
      <c r="G57" s="3"/>
      <c r="J57" s="3"/>
      <c r="K57" s="3"/>
      <c r="L57" s="3"/>
      <c r="M57" s="3"/>
      <c r="N57" s="3"/>
      <c r="O57" s="3"/>
      <c r="R57" s="3"/>
      <c r="S57" s="3"/>
      <c r="T57" s="3"/>
      <c r="U57" s="3"/>
      <c r="V57" s="3"/>
      <c r="W57" s="3"/>
    </row>
    <row r="58" spans="2:23" x14ac:dyDescent="0.3">
      <c r="B58" s="3"/>
      <c r="C58" s="3"/>
      <c r="D58" s="3"/>
      <c r="E58" s="3"/>
      <c r="F58" s="3"/>
      <c r="G58" s="3"/>
      <c r="J58" s="3"/>
      <c r="K58" s="3"/>
      <c r="L58" s="3"/>
      <c r="M58" s="3"/>
      <c r="N58" s="3"/>
      <c r="O58" s="3"/>
      <c r="R58" s="3"/>
      <c r="S58" s="3"/>
      <c r="T58" s="3"/>
      <c r="U58" s="3"/>
      <c r="V58" s="3"/>
      <c r="W58" s="3"/>
    </row>
    <row r="59" spans="2:23" x14ac:dyDescent="0.3">
      <c r="B59" s="3"/>
      <c r="C59" s="3"/>
      <c r="D59" s="3"/>
      <c r="E59" s="3"/>
      <c r="F59" s="3"/>
      <c r="G59" s="3"/>
      <c r="J59" s="3"/>
      <c r="K59" s="3"/>
      <c r="L59" s="3"/>
      <c r="M59" s="3"/>
      <c r="N59" s="3"/>
      <c r="O59" s="3"/>
      <c r="R59" s="3"/>
      <c r="S59" s="3"/>
      <c r="T59" s="3"/>
      <c r="U59" s="3"/>
      <c r="V59" s="3"/>
      <c r="W59" s="3"/>
    </row>
    <row r="60" spans="2:23" x14ac:dyDescent="0.3">
      <c r="B60" s="3"/>
      <c r="C60" s="3"/>
      <c r="D60" s="3"/>
      <c r="E60" s="3"/>
      <c r="F60" s="3"/>
      <c r="G60" s="3"/>
      <c r="J60" s="3"/>
      <c r="K60" s="3"/>
      <c r="L60" s="3"/>
      <c r="M60" s="3"/>
      <c r="N60" s="3"/>
      <c r="O60" s="3"/>
      <c r="R60" s="3"/>
      <c r="S60" s="3"/>
      <c r="T60" s="3"/>
      <c r="U60" s="3"/>
      <c r="V60" s="3"/>
      <c r="W60" s="3"/>
    </row>
    <row r="61" spans="2:23" x14ac:dyDescent="0.3">
      <c r="B61" s="3"/>
      <c r="C61" s="3"/>
      <c r="D61" s="3"/>
      <c r="E61" s="3"/>
      <c r="F61" s="3"/>
      <c r="G61" s="3"/>
      <c r="J61" s="3"/>
      <c r="K61" s="3"/>
      <c r="L61" s="3"/>
      <c r="M61" s="3"/>
      <c r="N61" s="3"/>
      <c r="O61" s="3"/>
      <c r="R61" s="3"/>
      <c r="S61" s="3"/>
      <c r="T61" s="3"/>
      <c r="U61" s="3"/>
      <c r="V61" s="3"/>
      <c r="W61" s="3"/>
    </row>
    <row r="62" spans="2:23" x14ac:dyDescent="0.3">
      <c r="B62" s="3"/>
      <c r="C62" s="3"/>
      <c r="D62" s="3"/>
      <c r="E62" s="3"/>
      <c r="F62" s="3"/>
      <c r="G62" s="3"/>
      <c r="J62" s="3"/>
      <c r="K62" s="3"/>
      <c r="L62" s="3"/>
      <c r="M62" s="3"/>
      <c r="N62" s="3"/>
      <c r="O62" s="3"/>
      <c r="R62" s="3"/>
      <c r="S62" s="3"/>
      <c r="T62" s="3"/>
      <c r="U62" s="3"/>
      <c r="V62" s="3"/>
      <c r="W62" s="3"/>
    </row>
    <row r="63" spans="2:23" x14ac:dyDescent="0.3">
      <c r="B63" s="3"/>
      <c r="C63" s="3"/>
      <c r="D63" s="3"/>
      <c r="E63" s="3"/>
      <c r="F63" s="3"/>
      <c r="G63" s="3"/>
      <c r="J63" s="3"/>
      <c r="K63" s="3"/>
      <c r="L63" s="3"/>
      <c r="M63" s="3"/>
      <c r="N63" s="3"/>
      <c r="O63" s="3"/>
      <c r="R63" s="3"/>
      <c r="S63" s="3"/>
      <c r="T63" s="3"/>
      <c r="U63" s="3"/>
      <c r="V63" s="3"/>
      <c r="W63" s="3"/>
    </row>
    <row r="64" spans="2:23" x14ac:dyDescent="0.3">
      <c r="B64" s="3"/>
      <c r="C64" s="3"/>
      <c r="D64" s="3"/>
      <c r="E64" s="3"/>
      <c r="F64" s="3"/>
      <c r="G64" s="3"/>
      <c r="J64" s="3"/>
      <c r="K64" s="3"/>
      <c r="L64" s="3"/>
      <c r="M64" s="3"/>
      <c r="N64" s="3"/>
      <c r="O64" s="3"/>
      <c r="R64" s="3"/>
      <c r="S64" s="3"/>
      <c r="T64" s="3"/>
      <c r="U64" s="3"/>
      <c r="V64" s="3"/>
      <c r="W64" s="3"/>
    </row>
    <row r="65" spans="2:23" x14ac:dyDescent="0.3">
      <c r="B65" s="3"/>
      <c r="C65" s="3"/>
      <c r="D65" s="3"/>
      <c r="E65" s="3"/>
      <c r="F65" s="3"/>
      <c r="G65" s="3"/>
      <c r="J65" s="3"/>
      <c r="K65" s="3"/>
      <c r="L65" s="3"/>
      <c r="M65" s="3"/>
      <c r="N65" s="3"/>
      <c r="O65" s="3"/>
      <c r="R65" s="3"/>
      <c r="S65" s="3"/>
      <c r="T65" s="3"/>
      <c r="U65" s="3"/>
      <c r="V65" s="3"/>
      <c r="W65" s="3"/>
    </row>
    <row r="66" spans="2:23" x14ac:dyDescent="0.3">
      <c r="B66" s="3"/>
      <c r="C66" s="3"/>
      <c r="D66" s="3"/>
      <c r="E66" s="3"/>
      <c r="F66" s="3"/>
      <c r="G66" s="3"/>
      <c r="J66" s="3"/>
      <c r="K66" s="3"/>
      <c r="L66" s="3"/>
      <c r="M66" s="3"/>
      <c r="N66" s="3"/>
      <c r="O66" s="3"/>
      <c r="R66" s="3"/>
      <c r="S66" s="3"/>
      <c r="T66" s="3"/>
      <c r="U66" s="3"/>
      <c r="V66" s="3"/>
      <c r="W66" s="3"/>
    </row>
    <row r="67" spans="2:23" x14ac:dyDescent="0.3">
      <c r="B67" s="3"/>
      <c r="C67" s="3"/>
      <c r="D67" s="3"/>
      <c r="E67" s="3"/>
      <c r="F67" s="3"/>
      <c r="G67" s="3"/>
      <c r="J67" s="3"/>
      <c r="K67" s="3"/>
      <c r="L67" s="3"/>
      <c r="M67" s="3"/>
      <c r="N67" s="3"/>
      <c r="O67" s="3"/>
      <c r="R67" s="3"/>
      <c r="S67" s="3"/>
      <c r="T67" s="3"/>
      <c r="U67" s="3"/>
      <c r="V67" s="3"/>
      <c r="W67" s="3"/>
    </row>
    <row r="68" spans="2:23" x14ac:dyDescent="0.3">
      <c r="B68" s="3"/>
      <c r="C68" s="3"/>
      <c r="D68" s="3"/>
      <c r="E68" s="3"/>
      <c r="F68" s="3"/>
      <c r="G68" s="3"/>
      <c r="J68" s="3"/>
      <c r="K68" s="3"/>
      <c r="L68" s="3"/>
      <c r="M68" s="3"/>
      <c r="N68" s="3"/>
      <c r="O68" s="3"/>
      <c r="R68" s="3"/>
      <c r="S68" s="3"/>
      <c r="T68" s="3"/>
      <c r="U68" s="3"/>
      <c r="V68" s="3"/>
      <c r="W68" s="3"/>
    </row>
    <row r="69" spans="2:23" x14ac:dyDescent="0.3">
      <c r="B69" s="3"/>
      <c r="C69" s="3"/>
      <c r="D69" s="3"/>
      <c r="E69" s="3"/>
      <c r="F69" s="3"/>
      <c r="G69" s="3"/>
      <c r="J69" s="3"/>
      <c r="K69" s="3"/>
      <c r="L69" s="3"/>
      <c r="M69" s="3"/>
      <c r="N69" s="3"/>
      <c r="O69" s="3"/>
      <c r="R69" s="3"/>
      <c r="S69" s="3"/>
      <c r="T69" s="3"/>
      <c r="U69" s="3"/>
      <c r="V69" s="3"/>
      <c r="W69" s="3"/>
    </row>
    <row r="70" spans="2:23" x14ac:dyDescent="0.3">
      <c r="B70" s="3"/>
      <c r="C70" s="3"/>
      <c r="D70" s="3"/>
      <c r="E70" s="3"/>
      <c r="F70" s="3"/>
      <c r="G70" s="3"/>
      <c r="J70" s="3"/>
      <c r="K70" s="3"/>
      <c r="L70" s="3"/>
      <c r="M70" s="3"/>
      <c r="N70" s="3"/>
      <c r="O70" s="3"/>
      <c r="R70" s="3"/>
      <c r="S70" s="3"/>
      <c r="T70" s="3"/>
      <c r="U70" s="3"/>
      <c r="V70" s="3"/>
      <c r="W70" s="3"/>
    </row>
    <row r="71" spans="2:23" x14ac:dyDescent="0.3">
      <c r="B71" s="3"/>
      <c r="C71" s="3"/>
      <c r="D71" s="3"/>
      <c r="E71" s="3"/>
      <c r="F71" s="3"/>
      <c r="G71" s="3"/>
      <c r="J71" s="3"/>
      <c r="K71" s="3"/>
      <c r="L71" s="3"/>
      <c r="M71" s="3"/>
      <c r="N71" s="3"/>
      <c r="O71" s="3"/>
      <c r="R71" s="3"/>
      <c r="S71" s="3"/>
      <c r="T71" s="3"/>
      <c r="U71" s="3"/>
      <c r="V71" s="3"/>
      <c r="W71" s="3"/>
    </row>
    <row r="72" spans="2:23" x14ac:dyDescent="0.3">
      <c r="B72" s="3"/>
      <c r="C72" s="3"/>
      <c r="D72" s="3"/>
      <c r="E72" s="3"/>
      <c r="F72" s="3"/>
      <c r="G72" s="3"/>
      <c r="J72" s="3"/>
      <c r="K72" s="3"/>
      <c r="L72" s="3"/>
      <c r="M72" s="3"/>
      <c r="N72" s="3"/>
      <c r="O72" s="3"/>
      <c r="R72" s="3"/>
      <c r="S72" s="3"/>
      <c r="T72" s="3"/>
      <c r="U72" s="3"/>
      <c r="V72" s="3"/>
      <c r="W72" s="3"/>
    </row>
    <row r="73" spans="2:23" x14ac:dyDescent="0.3">
      <c r="B73" s="3"/>
      <c r="C73" s="3"/>
      <c r="D73" s="3"/>
      <c r="E73" s="3"/>
      <c r="F73" s="3"/>
      <c r="G73" s="3"/>
      <c r="J73" s="3"/>
      <c r="K73" s="3"/>
      <c r="L73" s="3"/>
      <c r="M73" s="3"/>
      <c r="N73" s="3"/>
      <c r="O73" s="3"/>
      <c r="R73" s="3"/>
      <c r="S73" s="3"/>
      <c r="T73" s="3"/>
      <c r="U73" s="3"/>
      <c r="V73" s="3"/>
      <c r="W73" s="3"/>
    </row>
    <row r="74" spans="2:23" x14ac:dyDescent="0.3">
      <c r="B74" s="3"/>
      <c r="C74" s="3"/>
      <c r="D74" s="3"/>
      <c r="E74" s="3"/>
      <c r="F74" s="3"/>
      <c r="G74" s="3"/>
      <c r="J74" s="3"/>
      <c r="K74" s="3"/>
      <c r="L74" s="3"/>
      <c r="M74" s="3"/>
      <c r="N74" s="3"/>
      <c r="O74" s="3"/>
      <c r="R74" s="3"/>
      <c r="S74" s="3"/>
      <c r="T74" s="3"/>
      <c r="U74" s="3"/>
      <c r="V74" s="3"/>
      <c r="W74" s="3"/>
    </row>
    <row r="75" spans="2:23" x14ac:dyDescent="0.3">
      <c r="B75" s="3"/>
      <c r="C75" s="3"/>
      <c r="D75" s="3"/>
      <c r="E75" s="3"/>
      <c r="F75" s="3"/>
      <c r="G75" s="3"/>
      <c r="J75" s="3"/>
      <c r="K75" s="3"/>
      <c r="L75" s="3"/>
      <c r="M75" s="3"/>
      <c r="N75" s="3"/>
      <c r="O75" s="3"/>
      <c r="R75" s="3"/>
      <c r="S75" s="3"/>
      <c r="T75" s="3"/>
      <c r="U75" s="3"/>
      <c r="V75" s="3"/>
      <c r="W75" s="3"/>
    </row>
    <row r="76" spans="2:23" x14ac:dyDescent="0.3">
      <c r="B76" s="3"/>
      <c r="C76" s="3"/>
      <c r="D76" s="3"/>
      <c r="E76" s="3"/>
      <c r="F76" s="3"/>
      <c r="G76" s="3"/>
      <c r="J76" s="3"/>
      <c r="K76" s="3"/>
      <c r="L76" s="3"/>
      <c r="M76" s="3"/>
      <c r="N76" s="3"/>
      <c r="O76" s="3"/>
      <c r="R76" s="3"/>
      <c r="S76" s="3"/>
      <c r="T76" s="3"/>
      <c r="U76" s="3"/>
      <c r="V76" s="3"/>
      <c r="W76" s="3"/>
    </row>
    <row r="77" spans="2:23" x14ac:dyDescent="0.3">
      <c r="B77" s="3"/>
      <c r="C77" s="3"/>
      <c r="D77" s="3"/>
      <c r="E77" s="3"/>
      <c r="F77" s="3"/>
      <c r="G77" s="3"/>
      <c r="J77" s="3"/>
      <c r="K77" s="3"/>
      <c r="L77" s="3"/>
      <c r="M77" s="3"/>
      <c r="N77" s="3"/>
      <c r="O77" s="3"/>
      <c r="R77" s="3"/>
      <c r="S77" s="3"/>
      <c r="T77" s="3"/>
      <c r="U77" s="3"/>
      <c r="V77" s="3"/>
      <c r="W77" s="3"/>
    </row>
    <row r="78" spans="2:23" x14ac:dyDescent="0.3">
      <c r="B78" s="3"/>
      <c r="C78" s="3"/>
      <c r="D78" s="3"/>
      <c r="E78" s="3"/>
      <c r="F78" s="3"/>
      <c r="G78" s="3"/>
      <c r="J78" s="3"/>
      <c r="K78" s="3"/>
      <c r="L78" s="3"/>
      <c r="M78" s="3"/>
      <c r="N78" s="3"/>
      <c r="O78" s="3"/>
      <c r="R78" s="3"/>
      <c r="S78" s="3"/>
      <c r="T78" s="3"/>
      <c r="U78" s="3"/>
      <c r="V78" s="3"/>
      <c r="W78" s="3"/>
    </row>
    <row r="79" spans="2:23" x14ac:dyDescent="0.3">
      <c r="B79" s="3"/>
      <c r="C79" s="3"/>
      <c r="D79" s="3"/>
      <c r="E79" s="3"/>
      <c r="F79" s="3"/>
      <c r="G79" s="3"/>
      <c r="J79" s="3"/>
      <c r="K79" s="3"/>
      <c r="L79" s="3"/>
      <c r="M79" s="3"/>
      <c r="N79" s="3"/>
      <c r="O79" s="3"/>
      <c r="R79" s="3"/>
      <c r="S79" s="3"/>
      <c r="T79" s="3"/>
      <c r="U79" s="3"/>
      <c r="V79" s="3"/>
      <c r="W79" s="3"/>
    </row>
    <row r="80" spans="2:23" x14ac:dyDescent="0.3">
      <c r="B80" s="3"/>
      <c r="C80" s="3"/>
      <c r="D80" s="3"/>
      <c r="E80" s="3"/>
      <c r="F80" s="3"/>
      <c r="G80" s="3"/>
      <c r="J80" s="3"/>
      <c r="K80" s="3"/>
      <c r="L80" s="3"/>
      <c r="M80" s="3"/>
      <c r="N80" s="3"/>
      <c r="O80" s="3"/>
      <c r="R80" s="3"/>
      <c r="S80" s="3"/>
      <c r="T80" s="3"/>
      <c r="U80" s="3"/>
      <c r="V80" s="3"/>
      <c r="W80" s="3"/>
    </row>
    <row r="81" spans="2:23" x14ac:dyDescent="0.3">
      <c r="B81" s="3"/>
      <c r="C81" s="3"/>
      <c r="D81" s="3"/>
      <c r="E81" s="3"/>
      <c r="F81" s="3"/>
      <c r="G81" s="3"/>
      <c r="J81" s="3"/>
      <c r="K81" s="3"/>
      <c r="L81" s="3"/>
      <c r="M81" s="3"/>
      <c r="N81" s="3"/>
      <c r="O81" s="3"/>
      <c r="R81" s="3"/>
      <c r="S81" s="3"/>
      <c r="T81" s="3"/>
      <c r="U81" s="3"/>
      <c r="V81" s="3"/>
      <c r="W81" s="3"/>
    </row>
    <row r="82" spans="2:23" x14ac:dyDescent="0.3">
      <c r="B82" s="3"/>
      <c r="C82" s="3"/>
      <c r="D82" s="3"/>
      <c r="E82" s="3"/>
      <c r="F82" s="3"/>
      <c r="G82" s="3"/>
      <c r="J82" s="3"/>
      <c r="K82" s="3"/>
      <c r="L82" s="3"/>
      <c r="M82" s="3"/>
      <c r="N82" s="3"/>
      <c r="O82" s="3"/>
      <c r="R82" s="3"/>
      <c r="S82" s="3"/>
      <c r="T82" s="3"/>
      <c r="U82" s="3"/>
      <c r="V82" s="3"/>
      <c r="W82" s="3"/>
    </row>
    <row r="83" spans="2:23" x14ac:dyDescent="0.3">
      <c r="B83" s="3"/>
      <c r="C83" s="3"/>
      <c r="D83" s="3"/>
      <c r="E83" s="3"/>
      <c r="F83" s="3"/>
      <c r="G83" s="3"/>
      <c r="J83" s="3"/>
      <c r="K83" s="3"/>
      <c r="L83" s="3"/>
      <c r="M83" s="3"/>
      <c r="N83" s="3"/>
      <c r="O83" s="3"/>
      <c r="R83" s="3"/>
      <c r="S83" s="3"/>
      <c r="T83" s="3"/>
      <c r="U83" s="3"/>
      <c r="V83" s="3"/>
      <c r="W83" s="3"/>
    </row>
    <row r="84" spans="2:23" x14ac:dyDescent="0.3">
      <c r="B84" s="3"/>
      <c r="C84" s="3"/>
      <c r="D84" s="3"/>
      <c r="E84" s="3"/>
      <c r="F84" s="3"/>
      <c r="G84" s="3"/>
      <c r="J84" s="3"/>
      <c r="K84" s="3"/>
      <c r="L84" s="3"/>
      <c r="M84" s="3"/>
      <c r="N84" s="3"/>
      <c r="O84" s="3"/>
      <c r="R84" s="3"/>
      <c r="S84" s="3"/>
      <c r="T84" s="3"/>
      <c r="U84" s="3"/>
      <c r="V84" s="3"/>
      <c r="W84" s="3"/>
    </row>
    <row r="85" spans="2:23" x14ac:dyDescent="0.3">
      <c r="B85" s="3"/>
      <c r="C85" s="3"/>
      <c r="D85" s="3"/>
      <c r="E85" s="3"/>
      <c r="F85" s="3"/>
      <c r="G85" s="3"/>
      <c r="J85" s="3"/>
      <c r="K85" s="3"/>
      <c r="L85" s="3"/>
      <c r="M85" s="3"/>
      <c r="N85" s="3"/>
      <c r="O85" s="3"/>
      <c r="R85" s="3"/>
      <c r="S85" s="3"/>
      <c r="T85" s="3"/>
      <c r="U85" s="3"/>
      <c r="V85" s="3"/>
      <c r="W85" s="3"/>
    </row>
    <row r="86" spans="2:23" x14ac:dyDescent="0.3">
      <c r="B86" s="3"/>
      <c r="C86" s="3"/>
      <c r="D86" s="3"/>
      <c r="E86" s="3"/>
      <c r="F86" s="3"/>
      <c r="G86" s="3"/>
      <c r="J86" s="3"/>
      <c r="K86" s="3"/>
      <c r="L86" s="3"/>
      <c r="M86" s="3"/>
      <c r="N86" s="3"/>
      <c r="O86" s="3"/>
      <c r="R86" s="3"/>
      <c r="S86" s="3"/>
      <c r="T86" s="3"/>
      <c r="U86" s="3"/>
      <c r="V86" s="3"/>
      <c r="W86" s="3"/>
    </row>
    <row r="87" spans="2:23" x14ac:dyDescent="0.3">
      <c r="B87" s="3"/>
      <c r="C87" s="3"/>
      <c r="D87" s="3"/>
      <c r="E87" s="3"/>
      <c r="F87" s="3"/>
      <c r="G87" s="3"/>
      <c r="J87" s="3"/>
      <c r="K87" s="3"/>
      <c r="L87" s="3"/>
      <c r="M87" s="3"/>
      <c r="N87" s="3"/>
      <c r="O87" s="3"/>
      <c r="R87" s="3"/>
      <c r="S87" s="3"/>
      <c r="T87" s="3"/>
      <c r="U87" s="3"/>
      <c r="V87" s="3"/>
      <c r="W87" s="3"/>
    </row>
    <row r="88" spans="2:23" x14ac:dyDescent="0.3">
      <c r="B88" s="3"/>
      <c r="C88" s="3"/>
      <c r="D88" s="3"/>
      <c r="E88" s="3"/>
      <c r="F88" s="3"/>
      <c r="G88" s="3"/>
      <c r="J88" s="3"/>
      <c r="K88" s="3"/>
      <c r="L88" s="3"/>
      <c r="M88" s="3"/>
      <c r="N88" s="3"/>
      <c r="O88" s="3"/>
      <c r="R88" s="3"/>
      <c r="S88" s="3"/>
      <c r="T88" s="3"/>
      <c r="U88" s="3"/>
      <c r="V88" s="3"/>
      <c r="W88" s="3"/>
    </row>
    <row r="89" spans="2:23" x14ac:dyDescent="0.3">
      <c r="B89" s="3"/>
      <c r="C89" s="3"/>
      <c r="D89" s="3"/>
      <c r="E89" s="3"/>
      <c r="F89" s="3"/>
      <c r="G89" s="3"/>
      <c r="J89" s="3"/>
      <c r="K89" s="3"/>
      <c r="L89" s="3"/>
      <c r="M89" s="3"/>
      <c r="N89" s="3"/>
      <c r="O89" s="3"/>
      <c r="R89" s="3"/>
      <c r="S89" s="3"/>
      <c r="T89" s="3"/>
      <c r="U89" s="3"/>
      <c r="V89" s="3"/>
      <c r="W89" s="3"/>
    </row>
    <row r="90" spans="2:23" x14ac:dyDescent="0.3">
      <c r="B90" s="3"/>
      <c r="C90" s="3"/>
      <c r="D90" s="3"/>
      <c r="E90" s="3"/>
      <c r="F90" s="3"/>
      <c r="G90" s="3"/>
      <c r="J90" s="3"/>
      <c r="K90" s="3"/>
      <c r="L90" s="3"/>
      <c r="M90" s="3"/>
      <c r="N90" s="3"/>
      <c r="O90" s="3"/>
      <c r="R90" s="3"/>
      <c r="S90" s="3"/>
      <c r="T90" s="3"/>
      <c r="U90" s="3"/>
      <c r="V90" s="3"/>
      <c r="W90" s="3"/>
    </row>
    <row r="91" spans="2:23" x14ac:dyDescent="0.3">
      <c r="B91" s="3"/>
      <c r="C91" s="3"/>
      <c r="D91" s="3"/>
      <c r="E91" s="3"/>
      <c r="F91" s="3"/>
      <c r="G91" s="3"/>
      <c r="J91" s="3"/>
      <c r="K91" s="3"/>
      <c r="L91" s="3"/>
      <c r="M91" s="3"/>
      <c r="N91" s="3"/>
      <c r="O91" s="3"/>
      <c r="R91" s="3"/>
      <c r="S91" s="3"/>
      <c r="T91" s="3"/>
      <c r="U91" s="3"/>
      <c r="V91" s="3"/>
      <c r="W91" s="3"/>
    </row>
    <row r="92" spans="2:23" x14ac:dyDescent="0.3">
      <c r="B92" s="3"/>
      <c r="C92" s="3"/>
      <c r="D92" s="3"/>
      <c r="E92" s="3"/>
      <c r="F92" s="3"/>
      <c r="G92" s="3"/>
      <c r="J92" s="3"/>
      <c r="K92" s="3"/>
      <c r="L92" s="3"/>
      <c r="M92" s="3"/>
      <c r="N92" s="3"/>
      <c r="O92" s="3"/>
      <c r="R92" s="3"/>
      <c r="S92" s="3"/>
      <c r="T92" s="3"/>
      <c r="U92" s="3"/>
      <c r="V92" s="3"/>
      <c r="W92" s="3"/>
    </row>
    <row r="93" spans="2:23" x14ac:dyDescent="0.3">
      <c r="B93" s="3"/>
      <c r="C93" s="3"/>
      <c r="D93" s="3"/>
      <c r="E93" s="3"/>
      <c r="F93" s="3"/>
      <c r="G93" s="3"/>
      <c r="J93" s="3"/>
      <c r="K93" s="3"/>
      <c r="L93" s="3"/>
      <c r="M93" s="3"/>
      <c r="N93" s="3"/>
      <c r="O93" s="3"/>
      <c r="R93" s="3"/>
      <c r="S93" s="3"/>
      <c r="T93" s="3"/>
      <c r="U93" s="3"/>
      <c r="V93" s="3"/>
      <c r="W93" s="3"/>
    </row>
    <row r="94" spans="2:23" x14ac:dyDescent="0.3">
      <c r="B94" s="3"/>
      <c r="C94" s="3"/>
      <c r="D94" s="3"/>
      <c r="E94" s="3"/>
      <c r="F94" s="3"/>
      <c r="G94" s="3"/>
      <c r="J94" s="3"/>
      <c r="K94" s="3"/>
      <c r="L94" s="3"/>
      <c r="M94" s="3"/>
      <c r="N94" s="3"/>
      <c r="O94" s="3"/>
      <c r="R94" s="3"/>
      <c r="S94" s="3"/>
      <c r="T94" s="3"/>
      <c r="U94" s="3"/>
      <c r="V94" s="3"/>
      <c r="W94" s="3"/>
    </row>
    <row r="95" spans="2:23" x14ac:dyDescent="0.3">
      <c r="B95" s="3"/>
      <c r="C95" s="3"/>
      <c r="D95" s="3"/>
      <c r="E95" s="3"/>
      <c r="F95" s="3"/>
      <c r="G95" s="3"/>
      <c r="J95" s="3"/>
      <c r="K95" s="3"/>
      <c r="L95" s="3"/>
      <c r="M95" s="3"/>
      <c r="N95" s="3"/>
      <c r="O95" s="3"/>
      <c r="R95" s="3"/>
      <c r="S95" s="3"/>
      <c r="T95" s="3"/>
      <c r="U95" s="3"/>
      <c r="V95" s="3"/>
      <c r="W95" s="3"/>
    </row>
    <row r="96" spans="2:23" x14ac:dyDescent="0.3">
      <c r="B96" s="3"/>
      <c r="C96" s="3"/>
      <c r="D96" s="3"/>
      <c r="E96" s="3"/>
      <c r="F96" s="3"/>
      <c r="G96" s="3"/>
      <c r="J96" s="3"/>
      <c r="K96" s="3"/>
      <c r="L96" s="3"/>
      <c r="M96" s="3"/>
      <c r="N96" s="3"/>
      <c r="O96" s="3"/>
      <c r="R96" s="3"/>
      <c r="S96" s="3"/>
      <c r="T96" s="3"/>
      <c r="U96" s="3"/>
      <c r="V96" s="3"/>
      <c r="W96" s="3"/>
    </row>
    <row r="97" spans="2:23" x14ac:dyDescent="0.3">
      <c r="B97" s="3"/>
      <c r="C97" s="3"/>
      <c r="D97" s="3"/>
      <c r="E97" s="3"/>
      <c r="F97" s="3"/>
      <c r="G97" s="3"/>
      <c r="J97" s="3"/>
      <c r="K97" s="3"/>
      <c r="L97" s="3"/>
      <c r="M97" s="3"/>
      <c r="N97" s="3"/>
      <c r="O97" s="3"/>
      <c r="R97" s="3"/>
      <c r="S97" s="3"/>
      <c r="T97" s="3"/>
      <c r="U97" s="3"/>
      <c r="V97" s="3"/>
      <c r="W97" s="3"/>
    </row>
    <row r="98" spans="2:23" x14ac:dyDescent="0.3">
      <c r="B98" s="3"/>
      <c r="C98" s="3"/>
      <c r="D98" s="3"/>
      <c r="E98" s="3"/>
      <c r="F98" s="3"/>
      <c r="G98" s="3"/>
      <c r="J98" s="3"/>
      <c r="K98" s="3"/>
      <c r="L98" s="3"/>
      <c r="M98" s="3"/>
      <c r="N98" s="3"/>
      <c r="O98" s="3"/>
      <c r="R98" s="3"/>
      <c r="S98" s="3"/>
      <c r="T98" s="3"/>
      <c r="U98" s="3"/>
      <c r="V98" s="3"/>
      <c r="W98" s="3"/>
    </row>
    <row r="99" spans="2:23" x14ac:dyDescent="0.3">
      <c r="B99" s="3"/>
      <c r="C99" s="3"/>
      <c r="D99" s="3"/>
      <c r="E99" s="3"/>
      <c r="F99" s="3"/>
      <c r="G99" s="3"/>
      <c r="J99" s="3"/>
      <c r="K99" s="3"/>
      <c r="L99" s="3"/>
      <c r="M99" s="3"/>
      <c r="N99" s="3"/>
      <c r="O99" s="3"/>
      <c r="R99" s="3"/>
      <c r="S99" s="3"/>
      <c r="T99" s="3"/>
      <c r="U99" s="3"/>
      <c r="V99" s="3"/>
      <c r="W99" s="3"/>
    </row>
    <row r="100" spans="2:23" x14ac:dyDescent="0.3">
      <c r="B100" s="3"/>
      <c r="C100" s="3"/>
      <c r="D100" s="3"/>
      <c r="E100" s="3"/>
      <c r="F100" s="3"/>
      <c r="G100" s="3"/>
      <c r="J100" s="3"/>
      <c r="K100" s="3"/>
      <c r="L100" s="3"/>
      <c r="M100" s="3"/>
      <c r="N100" s="3"/>
      <c r="O100" s="3"/>
      <c r="R100" s="3"/>
      <c r="S100" s="3"/>
      <c r="T100" s="3"/>
      <c r="U100" s="3"/>
      <c r="V100" s="3"/>
      <c r="W100" s="3"/>
    </row>
    <row r="101" spans="2:23" x14ac:dyDescent="0.3">
      <c r="B101" s="3"/>
      <c r="C101" s="3"/>
      <c r="D101" s="3"/>
      <c r="E101" s="3"/>
      <c r="F101" s="3"/>
      <c r="G101" s="3"/>
      <c r="J101" s="3"/>
      <c r="K101" s="3"/>
      <c r="L101" s="3"/>
      <c r="M101" s="3"/>
      <c r="N101" s="3"/>
      <c r="O101" s="3"/>
      <c r="R101" s="3"/>
      <c r="S101" s="3"/>
      <c r="T101" s="3"/>
      <c r="U101" s="3"/>
      <c r="V101" s="3"/>
      <c r="W101" s="3"/>
    </row>
    <row r="102" spans="2:23" x14ac:dyDescent="0.3">
      <c r="B102" s="3"/>
      <c r="C102" s="3"/>
      <c r="D102" s="3"/>
      <c r="E102" s="3"/>
      <c r="F102" s="3"/>
      <c r="G102" s="3"/>
      <c r="J102" s="3"/>
      <c r="K102" s="3"/>
      <c r="L102" s="3"/>
      <c r="M102" s="3"/>
      <c r="N102" s="3"/>
      <c r="O102" s="3"/>
      <c r="R102" s="3"/>
      <c r="S102" s="3"/>
      <c r="T102" s="3"/>
      <c r="U102" s="3"/>
      <c r="V102" s="3"/>
      <c r="W102" s="3"/>
    </row>
    <row r="103" spans="2:23" x14ac:dyDescent="0.3">
      <c r="B103" s="3"/>
      <c r="C103" s="3"/>
      <c r="D103" s="3"/>
      <c r="E103" s="3"/>
      <c r="F103" s="3"/>
      <c r="G103" s="3"/>
      <c r="J103" s="3"/>
      <c r="K103" s="3"/>
      <c r="L103" s="3"/>
      <c r="M103" s="3"/>
      <c r="N103" s="3"/>
      <c r="O103" s="3"/>
      <c r="R103" s="3"/>
      <c r="S103" s="3"/>
      <c r="T103" s="3"/>
      <c r="U103" s="3"/>
      <c r="V103" s="3"/>
      <c r="W103" s="3"/>
    </row>
    <row r="104" spans="2:23" x14ac:dyDescent="0.3">
      <c r="B104" s="3"/>
      <c r="C104" s="3"/>
      <c r="D104" s="3"/>
      <c r="E104" s="3"/>
      <c r="F104" s="3"/>
      <c r="G104" s="3"/>
      <c r="J104" s="3"/>
      <c r="K104" s="3"/>
      <c r="L104" s="3"/>
      <c r="M104" s="3"/>
      <c r="N104" s="3"/>
      <c r="O104" s="3"/>
      <c r="R104" s="3"/>
      <c r="S104" s="3"/>
      <c r="T104" s="3"/>
      <c r="U104" s="3"/>
      <c r="V104" s="3"/>
      <c r="W104" s="3"/>
    </row>
    <row r="105" spans="2:23" x14ac:dyDescent="0.3">
      <c r="B105" s="3"/>
      <c r="C105" s="3"/>
      <c r="D105" s="3"/>
      <c r="E105" s="3"/>
      <c r="F105" s="3"/>
      <c r="G105" s="3"/>
      <c r="J105" s="3"/>
      <c r="K105" s="3"/>
      <c r="L105" s="3"/>
      <c r="M105" s="3"/>
      <c r="N105" s="3"/>
      <c r="O105" s="3"/>
      <c r="R105" s="3"/>
      <c r="S105" s="3"/>
      <c r="T105" s="3"/>
      <c r="U105" s="3"/>
      <c r="V105" s="3"/>
      <c r="W105" s="3"/>
    </row>
    <row r="106" spans="2:23" x14ac:dyDescent="0.3">
      <c r="B106" s="3"/>
      <c r="C106" s="3"/>
      <c r="D106" s="3"/>
      <c r="E106" s="3"/>
      <c r="F106" s="3"/>
      <c r="G106" s="3"/>
      <c r="J106" s="3"/>
      <c r="K106" s="3"/>
      <c r="L106" s="3"/>
      <c r="M106" s="3"/>
      <c r="N106" s="3"/>
      <c r="O106" s="3"/>
      <c r="R106" s="3"/>
      <c r="S106" s="3"/>
      <c r="T106" s="3"/>
      <c r="U106" s="3"/>
      <c r="V106" s="3"/>
      <c r="W106" s="3"/>
    </row>
    <row r="107" spans="2:23" x14ac:dyDescent="0.3">
      <c r="B107" s="3"/>
      <c r="C107" s="3"/>
      <c r="D107" s="3"/>
      <c r="E107" s="3"/>
      <c r="F107" s="3"/>
      <c r="G107" s="3"/>
      <c r="J107" s="3"/>
      <c r="K107" s="3"/>
      <c r="L107" s="3"/>
      <c r="M107" s="3"/>
      <c r="N107" s="3"/>
      <c r="O107" s="3"/>
      <c r="R107" s="3"/>
      <c r="S107" s="3"/>
      <c r="T107" s="3"/>
      <c r="U107" s="3"/>
      <c r="V107" s="3"/>
      <c r="W107" s="3"/>
    </row>
    <row r="108" spans="2:23" x14ac:dyDescent="0.3">
      <c r="B108" s="3"/>
      <c r="C108" s="3"/>
      <c r="D108" s="3"/>
      <c r="E108" s="3"/>
      <c r="F108" s="3"/>
      <c r="G108" s="3"/>
      <c r="J108" s="3"/>
      <c r="K108" s="3"/>
      <c r="L108" s="3"/>
      <c r="M108" s="3"/>
      <c r="N108" s="3"/>
      <c r="O108" s="3"/>
      <c r="R108" s="3"/>
      <c r="S108" s="3"/>
      <c r="T108" s="3"/>
      <c r="U108" s="3"/>
      <c r="V108" s="3"/>
      <c r="W108" s="3"/>
    </row>
    <row r="109" spans="2:23" x14ac:dyDescent="0.3">
      <c r="B109" s="3"/>
      <c r="C109" s="3"/>
      <c r="D109" s="3"/>
      <c r="E109" s="3"/>
      <c r="F109" s="3"/>
      <c r="G109" s="3"/>
      <c r="J109" s="3"/>
      <c r="K109" s="3"/>
      <c r="L109" s="3"/>
      <c r="M109" s="3"/>
      <c r="N109" s="3"/>
      <c r="O109" s="3"/>
      <c r="R109" s="3"/>
      <c r="S109" s="3"/>
      <c r="T109" s="3"/>
      <c r="U109" s="3"/>
      <c r="V109" s="3"/>
      <c r="W109" s="3"/>
    </row>
    <row r="110" spans="2:23" x14ac:dyDescent="0.3">
      <c r="B110" s="3"/>
      <c r="C110" s="3"/>
      <c r="D110" s="3"/>
      <c r="E110" s="3"/>
      <c r="F110" s="3"/>
      <c r="G110" s="3"/>
      <c r="J110" s="3"/>
      <c r="K110" s="3"/>
      <c r="L110" s="3"/>
      <c r="M110" s="3"/>
      <c r="N110" s="3"/>
      <c r="O110" s="3"/>
      <c r="R110" s="3"/>
      <c r="S110" s="3"/>
      <c r="T110" s="3"/>
      <c r="U110" s="3"/>
      <c r="V110" s="3"/>
      <c r="W110" s="3"/>
    </row>
    <row r="111" spans="2:23" x14ac:dyDescent="0.3">
      <c r="B111" s="3"/>
      <c r="C111" s="3"/>
      <c r="D111" s="3"/>
      <c r="E111" s="3"/>
      <c r="F111" s="3"/>
      <c r="G111" s="3"/>
      <c r="J111" s="3"/>
      <c r="K111" s="3"/>
      <c r="L111" s="3"/>
      <c r="M111" s="3"/>
      <c r="N111" s="3"/>
      <c r="O111" s="3"/>
      <c r="R111" s="3"/>
      <c r="S111" s="3"/>
      <c r="T111" s="3"/>
      <c r="U111" s="3"/>
      <c r="V111" s="3"/>
      <c r="W111" s="3"/>
    </row>
    <row r="112" spans="2:23" x14ac:dyDescent="0.3">
      <c r="B112" s="3"/>
      <c r="C112" s="3"/>
      <c r="D112" s="3"/>
      <c r="E112" s="3"/>
      <c r="F112" s="3"/>
      <c r="G112" s="3"/>
      <c r="J112" s="3"/>
      <c r="K112" s="3"/>
      <c r="L112" s="3"/>
      <c r="M112" s="3"/>
      <c r="N112" s="3"/>
      <c r="O112" s="3"/>
      <c r="R112" s="3"/>
      <c r="S112" s="3"/>
      <c r="T112" s="3"/>
      <c r="U112" s="3"/>
      <c r="V112" s="3"/>
      <c r="W112" s="3"/>
    </row>
    <row r="113" spans="2:23" x14ac:dyDescent="0.3">
      <c r="B113" s="3"/>
      <c r="C113" s="3"/>
      <c r="D113" s="3"/>
      <c r="E113" s="3"/>
      <c r="F113" s="3"/>
      <c r="G113" s="3"/>
      <c r="J113" s="3"/>
      <c r="K113" s="3"/>
      <c r="L113" s="3"/>
      <c r="M113" s="3"/>
      <c r="N113" s="3"/>
      <c r="O113" s="3"/>
      <c r="R113" s="3"/>
      <c r="S113" s="3"/>
      <c r="T113" s="3"/>
      <c r="U113" s="3"/>
      <c r="V113" s="3"/>
      <c r="W113" s="3"/>
    </row>
    <row r="114" spans="2:23" x14ac:dyDescent="0.3">
      <c r="B114" s="3"/>
      <c r="C114" s="3"/>
      <c r="D114" s="3"/>
      <c r="E114" s="3"/>
      <c r="F114" s="3"/>
      <c r="G114" s="3"/>
      <c r="J114" s="3"/>
      <c r="K114" s="3"/>
      <c r="L114" s="3"/>
      <c r="M114" s="3"/>
      <c r="N114" s="3"/>
      <c r="O114" s="3"/>
      <c r="R114" s="3"/>
      <c r="S114" s="3"/>
      <c r="T114" s="3"/>
      <c r="U114" s="3"/>
      <c r="V114" s="3"/>
      <c r="W114" s="3"/>
    </row>
    <row r="115" spans="2:23" x14ac:dyDescent="0.3">
      <c r="B115" s="3"/>
      <c r="C115" s="3"/>
      <c r="D115" s="3"/>
      <c r="E115" s="3"/>
      <c r="F115" s="3"/>
      <c r="G115" s="3"/>
      <c r="J115" s="3"/>
      <c r="K115" s="3"/>
      <c r="L115" s="3"/>
      <c r="M115" s="3"/>
      <c r="N115" s="3"/>
      <c r="O115" s="3"/>
      <c r="R115" s="3"/>
      <c r="S115" s="3"/>
      <c r="T115" s="3"/>
      <c r="U115" s="3"/>
      <c r="V115" s="3"/>
      <c r="W115" s="3"/>
    </row>
    <row r="116" spans="2:23" x14ac:dyDescent="0.3">
      <c r="B116" s="3"/>
      <c r="C116" s="3"/>
      <c r="D116" s="3"/>
      <c r="E116" s="3"/>
      <c r="F116" s="3"/>
      <c r="G116" s="3"/>
      <c r="J116" s="3"/>
      <c r="K116" s="3"/>
      <c r="L116" s="3"/>
      <c r="M116" s="3"/>
      <c r="N116" s="3"/>
      <c r="O116" s="3"/>
      <c r="R116" s="3"/>
      <c r="S116" s="3"/>
      <c r="T116" s="3"/>
      <c r="U116" s="3"/>
      <c r="V116" s="3"/>
      <c r="W116" s="3"/>
    </row>
    <row r="117" spans="2:23" x14ac:dyDescent="0.3">
      <c r="B117" s="3"/>
      <c r="C117" s="3"/>
      <c r="D117" s="3"/>
      <c r="E117" s="3"/>
      <c r="F117" s="3"/>
      <c r="G117" s="3"/>
      <c r="J117" s="3"/>
      <c r="K117" s="3"/>
      <c r="L117" s="3"/>
      <c r="M117" s="3"/>
      <c r="N117" s="3"/>
      <c r="O117" s="3"/>
      <c r="R117" s="3"/>
      <c r="S117" s="3"/>
      <c r="T117" s="3"/>
      <c r="U117" s="3"/>
      <c r="V117" s="3"/>
      <c r="W117" s="3"/>
    </row>
    <row r="118" spans="2:23" x14ac:dyDescent="0.3">
      <c r="B118" s="3"/>
      <c r="C118" s="3"/>
      <c r="D118" s="3"/>
      <c r="E118" s="3"/>
      <c r="F118" s="3"/>
      <c r="G118" s="3"/>
      <c r="J118" s="3"/>
      <c r="K118" s="3"/>
      <c r="L118" s="3"/>
      <c r="M118" s="3"/>
      <c r="N118" s="3"/>
      <c r="O118" s="3"/>
      <c r="R118" s="3"/>
      <c r="S118" s="3"/>
      <c r="T118" s="3"/>
      <c r="U118" s="3"/>
      <c r="V118" s="3"/>
      <c r="W118" s="3"/>
    </row>
    <row r="119" spans="2:23" x14ac:dyDescent="0.3">
      <c r="B119" s="3"/>
      <c r="C119" s="3"/>
      <c r="D119" s="3"/>
      <c r="E119" s="3"/>
      <c r="F119" s="3"/>
      <c r="G119" s="3"/>
      <c r="J119" s="3"/>
      <c r="K119" s="3"/>
      <c r="L119" s="3"/>
      <c r="M119" s="3"/>
      <c r="N119" s="3"/>
      <c r="O119" s="3"/>
      <c r="R119" s="3"/>
      <c r="S119" s="3"/>
      <c r="T119" s="3"/>
      <c r="U119" s="3"/>
      <c r="V119" s="3"/>
      <c r="W119" s="3"/>
    </row>
    <row r="120" spans="2:23" x14ac:dyDescent="0.3">
      <c r="B120" s="3"/>
      <c r="C120" s="3"/>
      <c r="D120" s="3"/>
      <c r="E120" s="3"/>
      <c r="F120" s="3"/>
      <c r="G120" s="3"/>
      <c r="J120" s="3"/>
      <c r="K120" s="3"/>
      <c r="L120" s="3"/>
      <c r="M120" s="3"/>
      <c r="N120" s="3"/>
      <c r="O120" s="3"/>
      <c r="R120" s="3"/>
      <c r="S120" s="3"/>
      <c r="T120" s="3"/>
      <c r="U120" s="3"/>
      <c r="V120" s="3"/>
      <c r="W120" s="3"/>
    </row>
    <row r="121" spans="2:23" x14ac:dyDescent="0.3">
      <c r="B121" s="3"/>
      <c r="C121" s="3"/>
      <c r="D121" s="3"/>
      <c r="E121" s="3"/>
      <c r="F121" s="3"/>
      <c r="G121" s="3"/>
      <c r="J121" s="3"/>
      <c r="K121" s="3"/>
      <c r="L121" s="3"/>
      <c r="M121" s="3"/>
      <c r="N121" s="3"/>
      <c r="O121" s="3"/>
      <c r="R121" s="3"/>
      <c r="S121" s="3"/>
      <c r="T121" s="3"/>
      <c r="U121" s="3"/>
      <c r="V121" s="3"/>
      <c r="W121" s="3"/>
    </row>
    <row r="122" spans="2:23" x14ac:dyDescent="0.3">
      <c r="B122" s="3"/>
      <c r="C122" s="3"/>
      <c r="D122" s="3"/>
      <c r="E122" s="3"/>
      <c r="F122" s="3"/>
      <c r="G122" s="3"/>
      <c r="J122" s="3"/>
      <c r="K122" s="3"/>
      <c r="L122" s="3"/>
      <c r="M122" s="3"/>
      <c r="N122" s="3"/>
      <c r="O122" s="3"/>
      <c r="R122" s="3"/>
      <c r="S122" s="3"/>
      <c r="T122" s="3"/>
      <c r="U122" s="3"/>
      <c r="V122" s="3"/>
      <c r="W122" s="3"/>
    </row>
    <row r="123" spans="2:23" x14ac:dyDescent="0.3">
      <c r="B123" s="3"/>
      <c r="C123" s="3"/>
      <c r="D123" s="3"/>
      <c r="E123" s="3"/>
      <c r="F123" s="3"/>
      <c r="G123" s="3"/>
      <c r="J123" s="3"/>
      <c r="K123" s="3"/>
      <c r="L123" s="3"/>
      <c r="M123" s="3"/>
      <c r="N123" s="3"/>
      <c r="O123" s="3"/>
      <c r="R123" s="3"/>
      <c r="S123" s="3"/>
      <c r="T123" s="3"/>
      <c r="U123" s="3"/>
      <c r="V123" s="3"/>
      <c r="W123" s="3"/>
    </row>
    <row r="124" spans="2:23" x14ac:dyDescent="0.3">
      <c r="B124" s="3"/>
      <c r="C124" s="3"/>
      <c r="D124" s="3"/>
      <c r="E124" s="3"/>
      <c r="F124" s="3"/>
      <c r="G124" s="3"/>
      <c r="J124" s="3"/>
      <c r="K124" s="3"/>
      <c r="L124" s="3"/>
      <c r="M124" s="3"/>
      <c r="N124" s="3"/>
      <c r="O124" s="3"/>
      <c r="R124" s="3"/>
      <c r="S124" s="3"/>
      <c r="T124" s="3"/>
      <c r="U124" s="3"/>
      <c r="V124" s="3"/>
      <c r="W124" s="3"/>
    </row>
    <row r="125" spans="2:23" x14ac:dyDescent="0.3">
      <c r="B125" s="3"/>
      <c r="C125" s="3"/>
      <c r="D125" s="3"/>
      <c r="E125" s="3"/>
      <c r="F125" s="3"/>
      <c r="G125" s="3"/>
      <c r="J125" s="3"/>
      <c r="K125" s="3"/>
      <c r="L125" s="3"/>
      <c r="M125" s="3"/>
      <c r="N125" s="3"/>
      <c r="O125" s="3"/>
      <c r="R125" s="3"/>
      <c r="S125" s="3"/>
      <c r="T125" s="3"/>
      <c r="U125" s="3"/>
      <c r="V125" s="3"/>
      <c r="W125" s="3"/>
    </row>
    <row r="126" spans="2:23" x14ac:dyDescent="0.3">
      <c r="B126" s="3"/>
      <c r="C126" s="3"/>
      <c r="D126" s="3"/>
      <c r="E126" s="3"/>
      <c r="F126" s="3"/>
      <c r="G126" s="3"/>
      <c r="J126" s="3"/>
      <c r="K126" s="3"/>
      <c r="L126" s="3"/>
      <c r="M126" s="3"/>
      <c r="N126" s="3"/>
      <c r="O126" s="3"/>
      <c r="R126" s="3"/>
      <c r="S126" s="3"/>
      <c r="T126" s="3"/>
      <c r="U126" s="3"/>
      <c r="V126" s="3"/>
      <c r="W126" s="3"/>
    </row>
    <row r="127" spans="2:23" x14ac:dyDescent="0.3">
      <c r="B127" s="3"/>
      <c r="C127" s="3"/>
      <c r="D127" s="3"/>
      <c r="E127" s="3"/>
      <c r="F127" s="3"/>
      <c r="G127" s="3"/>
      <c r="J127" s="3"/>
      <c r="K127" s="3"/>
      <c r="L127" s="3"/>
      <c r="M127" s="3"/>
      <c r="N127" s="3"/>
      <c r="O127" s="3"/>
      <c r="R127" s="3"/>
      <c r="S127" s="3"/>
      <c r="T127" s="3"/>
      <c r="U127" s="3"/>
      <c r="V127" s="3"/>
      <c r="W127" s="3"/>
    </row>
    <row r="128" spans="2:23" x14ac:dyDescent="0.3">
      <c r="B128" s="3"/>
      <c r="C128" s="3"/>
      <c r="D128" s="3"/>
      <c r="E128" s="3"/>
      <c r="F128" s="3"/>
      <c r="G128" s="3"/>
      <c r="J128" s="3"/>
      <c r="K128" s="3"/>
      <c r="L128" s="3"/>
      <c r="M128" s="3"/>
      <c r="N128" s="3"/>
      <c r="O128" s="3"/>
      <c r="R128" s="3"/>
      <c r="S128" s="3"/>
      <c r="T128" s="3"/>
      <c r="U128" s="3"/>
      <c r="V128" s="3"/>
      <c r="W128" s="3"/>
    </row>
    <row r="129" spans="2:23" x14ac:dyDescent="0.3">
      <c r="B129" s="3"/>
      <c r="C129" s="3"/>
      <c r="D129" s="3"/>
      <c r="E129" s="3"/>
      <c r="F129" s="3"/>
      <c r="G129" s="3"/>
      <c r="J129" s="3"/>
      <c r="K129" s="3"/>
      <c r="L129" s="3"/>
      <c r="M129" s="3"/>
      <c r="N129" s="3"/>
      <c r="O129" s="3"/>
      <c r="R129" s="3"/>
      <c r="S129" s="3"/>
      <c r="T129" s="3"/>
      <c r="U129" s="3"/>
      <c r="V129" s="3"/>
      <c r="W129" s="3"/>
    </row>
    <row r="130" spans="2:23" x14ac:dyDescent="0.3">
      <c r="B130" s="3"/>
      <c r="C130" s="3"/>
      <c r="D130" s="3"/>
      <c r="E130" s="3"/>
      <c r="F130" s="3"/>
      <c r="G130" s="3"/>
      <c r="J130" s="3"/>
      <c r="K130" s="3"/>
      <c r="L130" s="3"/>
      <c r="M130" s="3"/>
      <c r="N130" s="3"/>
      <c r="O130" s="3"/>
      <c r="R130" s="3"/>
      <c r="S130" s="3"/>
      <c r="T130" s="3"/>
      <c r="U130" s="3"/>
      <c r="V130" s="3"/>
      <c r="W130" s="3"/>
    </row>
    <row r="131" spans="2:23" x14ac:dyDescent="0.3">
      <c r="B131" s="3"/>
      <c r="C131" s="3"/>
      <c r="D131" s="3"/>
      <c r="E131" s="3"/>
      <c r="F131" s="3"/>
      <c r="G131" s="3"/>
      <c r="J131" s="3"/>
      <c r="K131" s="3"/>
      <c r="L131" s="3"/>
      <c r="M131" s="3"/>
      <c r="N131" s="3"/>
      <c r="O131" s="3"/>
      <c r="R131" s="3"/>
      <c r="S131" s="3"/>
      <c r="T131" s="3"/>
      <c r="U131" s="3"/>
      <c r="V131" s="3"/>
      <c r="W131" s="3"/>
    </row>
    <row r="132" spans="2:23" x14ac:dyDescent="0.3">
      <c r="B132" s="3"/>
      <c r="C132" s="3"/>
      <c r="D132" s="3"/>
      <c r="E132" s="3"/>
      <c r="F132" s="3"/>
      <c r="G132" s="3"/>
      <c r="J132" s="3"/>
      <c r="K132" s="3"/>
      <c r="L132" s="3"/>
      <c r="M132" s="3"/>
      <c r="N132" s="3"/>
      <c r="O132" s="3"/>
      <c r="R132" s="3"/>
      <c r="S132" s="3"/>
      <c r="T132" s="3"/>
      <c r="U132" s="3"/>
      <c r="V132" s="3"/>
      <c r="W132" s="3"/>
    </row>
    <row r="133" spans="2:23" x14ac:dyDescent="0.3">
      <c r="B133" s="3"/>
      <c r="C133" s="3"/>
      <c r="D133" s="3"/>
      <c r="E133" s="3"/>
      <c r="F133" s="3"/>
      <c r="G133" s="3"/>
      <c r="J133" s="3"/>
      <c r="K133" s="3"/>
      <c r="L133" s="3"/>
      <c r="M133" s="3"/>
      <c r="N133" s="3"/>
      <c r="O133" s="3"/>
      <c r="R133" s="3"/>
      <c r="S133" s="3"/>
      <c r="T133" s="3"/>
      <c r="U133" s="3"/>
      <c r="V133" s="3"/>
      <c r="W133" s="3"/>
    </row>
    <row r="134" spans="2:23" x14ac:dyDescent="0.3">
      <c r="B134" s="3"/>
      <c r="C134" s="3"/>
      <c r="D134" s="3"/>
      <c r="E134" s="3"/>
      <c r="F134" s="3"/>
      <c r="G134" s="3"/>
      <c r="J134" s="3"/>
      <c r="K134" s="3"/>
      <c r="L134" s="3"/>
      <c r="M134" s="3"/>
      <c r="N134" s="3"/>
      <c r="O134" s="3"/>
      <c r="R134" s="3"/>
      <c r="S134" s="3"/>
      <c r="T134" s="3"/>
      <c r="U134" s="3"/>
      <c r="V134" s="3"/>
      <c r="W134" s="3"/>
    </row>
    <row r="135" spans="2:23" x14ac:dyDescent="0.3">
      <c r="B135" s="3"/>
      <c r="C135" s="3"/>
      <c r="D135" s="3"/>
      <c r="E135" s="3"/>
      <c r="F135" s="3"/>
      <c r="G135" s="3"/>
      <c r="J135" s="3"/>
      <c r="K135" s="3"/>
      <c r="L135" s="3"/>
      <c r="M135" s="3"/>
      <c r="N135" s="3"/>
      <c r="O135" s="3"/>
      <c r="R135" s="3"/>
      <c r="S135" s="3"/>
      <c r="T135" s="3"/>
      <c r="U135" s="3"/>
      <c r="V135" s="3"/>
      <c r="W135" s="3"/>
    </row>
    <row r="136" spans="2:23" x14ac:dyDescent="0.3">
      <c r="B136" s="3"/>
      <c r="C136" s="3"/>
      <c r="D136" s="3"/>
      <c r="E136" s="3"/>
      <c r="F136" s="3"/>
      <c r="G136" s="3"/>
      <c r="J136" s="3"/>
      <c r="K136" s="3"/>
      <c r="L136" s="3"/>
      <c r="M136" s="3"/>
      <c r="N136" s="3"/>
      <c r="O136" s="3"/>
      <c r="R136" s="3"/>
      <c r="S136" s="3"/>
      <c r="T136" s="3"/>
      <c r="U136" s="3"/>
      <c r="V136" s="3"/>
      <c r="W136" s="3"/>
    </row>
    <row r="137" spans="2:23" x14ac:dyDescent="0.3">
      <c r="B137" s="3"/>
      <c r="C137" s="3"/>
      <c r="D137" s="3"/>
      <c r="E137" s="3"/>
      <c r="F137" s="3"/>
      <c r="G137" s="3"/>
      <c r="J137" s="3"/>
      <c r="K137" s="3"/>
      <c r="L137" s="3"/>
      <c r="M137" s="3"/>
      <c r="N137" s="3"/>
      <c r="O137" s="3"/>
      <c r="R137" s="3"/>
      <c r="S137" s="3"/>
      <c r="T137" s="3"/>
      <c r="U137" s="3"/>
      <c r="V137" s="3"/>
      <c r="W137" s="3"/>
    </row>
    <row r="138" spans="2:23" x14ac:dyDescent="0.3">
      <c r="B138" s="3"/>
      <c r="C138" s="3"/>
      <c r="D138" s="3"/>
      <c r="E138" s="3"/>
      <c r="F138" s="3"/>
      <c r="G138" s="3"/>
      <c r="J138" s="3"/>
      <c r="K138" s="3"/>
      <c r="L138" s="3"/>
      <c r="M138" s="3"/>
      <c r="N138" s="3"/>
      <c r="O138" s="3"/>
      <c r="R138" s="3"/>
      <c r="S138" s="3"/>
      <c r="T138" s="3"/>
      <c r="U138" s="3"/>
      <c r="V138" s="3"/>
      <c r="W138" s="3"/>
    </row>
    <row r="139" spans="2:23" x14ac:dyDescent="0.3">
      <c r="B139" s="3"/>
      <c r="C139" s="3"/>
      <c r="D139" s="3"/>
      <c r="E139" s="3"/>
      <c r="F139" s="3"/>
      <c r="G139" s="3"/>
      <c r="J139" s="3"/>
      <c r="K139" s="3"/>
      <c r="L139" s="3"/>
      <c r="M139" s="3"/>
      <c r="N139" s="3"/>
      <c r="O139" s="3"/>
      <c r="R139" s="3"/>
      <c r="S139" s="3"/>
      <c r="T139" s="3"/>
      <c r="U139" s="3"/>
      <c r="V139" s="3"/>
      <c r="W139" s="3"/>
    </row>
    <row r="140" spans="2:23" x14ac:dyDescent="0.3">
      <c r="B140" s="3"/>
      <c r="C140" s="3"/>
      <c r="D140" s="3"/>
      <c r="E140" s="3"/>
      <c r="F140" s="3"/>
      <c r="G140" s="3"/>
      <c r="J140" s="3"/>
      <c r="K140" s="3"/>
      <c r="L140" s="3"/>
      <c r="M140" s="3"/>
      <c r="N140" s="3"/>
      <c r="O140" s="3"/>
      <c r="R140" s="3"/>
      <c r="S140" s="3"/>
      <c r="T140" s="3"/>
      <c r="U140" s="3"/>
      <c r="V140" s="3"/>
      <c r="W140" s="3"/>
    </row>
    <row r="141" spans="2:23" x14ac:dyDescent="0.3">
      <c r="B141" s="3"/>
      <c r="C141" s="3"/>
      <c r="D141" s="3"/>
      <c r="E141" s="3"/>
      <c r="F141" s="3"/>
      <c r="G141" s="3"/>
      <c r="J141" s="3"/>
      <c r="K141" s="3"/>
      <c r="L141" s="3"/>
      <c r="M141" s="3"/>
      <c r="N141" s="3"/>
      <c r="O141" s="3"/>
      <c r="R141" s="3"/>
      <c r="S141" s="3"/>
      <c r="T141" s="3"/>
      <c r="U141" s="3"/>
      <c r="V141" s="3"/>
      <c r="W141" s="3"/>
    </row>
    <row r="142" spans="2:23" x14ac:dyDescent="0.3">
      <c r="B142" s="3"/>
      <c r="C142" s="3"/>
      <c r="D142" s="3"/>
      <c r="E142" s="3"/>
      <c r="F142" s="3"/>
      <c r="G142" s="3"/>
      <c r="J142" s="3"/>
      <c r="K142" s="3"/>
      <c r="L142" s="3"/>
      <c r="M142" s="3"/>
      <c r="N142" s="3"/>
      <c r="O142" s="3"/>
      <c r="R142" s="3"/>
      <c r="S142" s="3"/>
      <c r="T142" s="3"/>
      <c r="U142" s="3"/>
      <c r="V142" s="3"/>
      <c r="W142" s="3"/>
    </row>
    <row r="143" spans="2:23" x14ac:dyDescent="0.3">
      <c r="B143" s="3"/>
      <c r="C143" s="3"/>
      <c r="D143" s="3"/>
      <c r="E143" s="3"/>
      <c r="F143" s="3"/>
      <c r="G143" s="3"/>
      <c r="J143" s="3"/>
      <c r="K143" s="3"/>
      <c r="L143" s="3"/>
      <c r="M143" s="3"/>
      <c r="N143" s="3"/>
      <c r="O143" s="3"/>
      <c r="R143" s="3"/>
      <c r="S143" s="3"/>
      <c r="T143" s="3"/>
      <c r="U143" s="3"/>
      <c r="V143" s="3"/>
      <c r="W143" s="3"/>
    </row>
    <row r="144" spans="2:23" x14ac:dyDescent="0.3">
      <c r="B144" s="3"/>
      <c r="C144" s="3"/>
      <c r="D144" s="3"/>
      <c r="E144" s="3"/>
      <c r="F144" s="3"/>
      <c r="G144" s="3"/>
      <c r="J144" s="3"/>
      <c r="K144" s="3"/>
      <c r="L144" s="3"/>
      <c r="M144" s="3"/>
      <c r="N144" s="3"/>
      <c r="O144" s="3"/>
      <c r="R144" s="3"/>
      <c r="S144" s="3"/>
      <c r="T144" s="3"/>
      <c r="U144" s="3"/>
      <c r="V144" s="3"/>
      <c r="W144" s="3"/>
    </row>
    <row r="145" spans="2:23" x14ac:dyDescent="0.3">
      <c r="B145" s="3"/>
      <c r="C145" s="3"/>
      <c r="D145" s="3"/>
      <c r="E145" s="3"/>
      <c r="F145" s="3"/>
      <c r="G145" s="3"/>
      <c r="J145" s="3"/>
      <c r="K145" s="3"/>
      <c r="L145" s="3"/>
      <c r="M145" s="3"/>
      <c r="N145" s="3"/>
      <c r="O145" s="3"/>
      <c r="R145" s="3"/>
      <c r="S145" s="3"/>
      <c r="T145" s="3"/>
      <c r="U145" s="3"/>
      <c r="V145" s="3"/>
      <c r="W145" s="3"/>
    </row>
    <row r="146" spans="2:23" x14ac:dyDescent="0.3">
      <c r="B146" s="3"/>
      <c r="C146" s="3"/>
      <c r="D146" s="3"/>
      <c r="E146" s="3"/>
      <c r="F146" s="3"/>
      <c r="G146" s="3"/>
      <c r="J146" s="3"/>
      <c r="K146" s="3"/>
      <c r="L146" s="3"/>
      <c r="M146" s="3"/>
      <c r="N146" s="3"/>
      <c r="O146" s="3"/>
      <c r="R146" s="3"/>
      <c r="S146" s="3"/>
      <c r="T146" s="3"/>
      <c r="U146" s="3"/>
      <c r="V146" s="3"/>
      <c r="W146" s="3"/>
    </row>
    <row r="147" spans="2:23" x14ac:dyDescent="0.3">
      <c r="B147" s="3"/>
      <c r="C147" s="3"/>
      <c r="D147" s="3"/>
      <c r="E147" s="3"/>
      <c r="F147" s="3"/>
      <c r="G147" s="3"/>
      <c r="J147" s="3"/>
      <c r="K147" s="3"/>
      <c r="L147" s="3"/>
      <c r="M147" s="3"/>
      <c r="N147" s="3"/>
      <c r="O147" s="3"/>
      <c r="R147" s="3"/>
      <c r="S147" s="3"/>
      <c r="T147" s="3"/>
      <c r="U147" s="3"/>
      <c r="V147" s="3"/>
      <c r="W147" s="3"/>
    </row>
    <row r="148" spans="2:23" x14ac:dyDescent="0.3">
      <c r="B148" s="3"/>
      <c r="C148" s="3"/>
      <c r="D148" s="3"/>
      <c r="E148" s="3"/>
      <c r="F148" s="3"/>
      <c r="G148" s="3"/>
      <c r="J148" s="3"/>
      <c r="K148" s="3"/>
      <c r="L148" s="3"/>
      <c r="M148" s="3"/>
      <c r="N148" s="3"/>
      <c r="O148" s="3"/>
      <c r="R148" s="3"/>
      <c r="S148" s="3"/>
      <c r="T148" s="3"/>
      <c r="U148" s="3"/>
      <c r="V148" s="3"/>
      <c r="W148" s="3"/>
    </row>
    <row r="149" spans="2:23" x14ac:dyDescent="0.3">
      <c r="B149" s="3"/>
      <c r="C149" s="3"/>
      <c r="D149" s="3"/>
      <c r="E149" s="3"/>
      <c r="F149" s="3"/>
      <c r="G149" s="3"/>
      <c r="J149" s="3"/>
      <c r="K149" s="3"/>
      <c r="L149" s="3"/>
      <c r="M149" s="3"/>
      <c r="N149" s="3"/>
      <c r="O149" s="3"/>
      <c r="R149" s="3"/>
      <c r="S149" s="3"/>
      <c r="T149" s="3"/>
      <c r="U149" s="3"/>
      <c r="V149" s="3"/>
      <c r="W149" s="3"/>
    </row>
    <row r="150" spans="2:23" x14ac:dyDescent="0.3">
      <c r="B150" s="3"/>
      <c r="C150" s="3"/>
      <c r="D150" s="3"/>
      <c r="E150" s="3"/>
      <c r="F150" s="3"/>
      <c r="G150" s="3"/>
      <c r="J150" s="3"/>
      <c r="K150" s="3"/>
      <c r="L150" s="3"/>
      <c r="M150" s="3"/>
      <c r="N150" s="3"/>
      <c r="O150" s="3"/>
      <c r="R150" s="3"/>
      <c r="S150" s="3"/>
      <c r="T150" s="3"/>
      <c r="U150" s="3"/>
      <c r="V150" s="3"/>
      <c r="W150" s="3"/>
    </row>
    <row r="151" spans="2:23" x14ac:dyDescent="0.3">
      <c r="B151" s="3"/>
      <c r="C151" s="3"/>
      <c r="D151" s="3"/>
      <c r="E151" s="3"/>
      <c r="F151" s="3"/>
      <c r="G151" s="3"/>
      <c r="J151" s="3"/>
      <c r="K151" s="3"/>
      <c r="L151" s="3"/>
      <c r="M151" s="3"/>
      <c r="N151" s="3"/>
      <c r="O151" s="3"/>
      <c r="R151" s="3"/>
      <c r="S151" s="3"/>
      <c r="T151" s="3"/>
      <c r="U151" s="3"/>
      <c r="V151" s="3"/>
      <c r="W151" s="3"/>
    </row>
    <row r="152" spans="2:23" x14ac:dyDescent="0.3">
      <c r="B152" s="3"/>
      <c r="C152" s="3"/>
      <c r="D152" s="3"/>
      <c r="E152" s="3"/>
      <c r="F152" s="3"/>
      <c r="G152" s="3"/>
      <c r="J152" s="3"/>
      <c r="K152" s="3"/>
      <c r="L152" s="3"/>
      <c r="M152" s="3"/>
      <c r="N152" s="3"/>
      <c r="O152" s="3"/>
      <c r="R152" s="3"/>
      <c r="S152" s="3"/>
      <c r="T152" s="3"/>
      <c r="U152" s="3"/>
      <c r="V152" s="3"/>
      <c r="W152" s="3"/>
    </row>
    <row r="153" spans="2:23" x14ac:dyDescent="0.3">
      <c r="B153" s="3"/>
      <c r="C153" s="3"/>
      <c r="D153" s="3"/>
      <c r="E153" s="3"/>
      <c r="F153" s="3"/>
      <c r="G153" s="3"/>
      <c r="J153" s="3"/>
      <c r="K153" s="3"/>
      <c r="L153" s="3"/>
      <c r="M153" s="3"/>
      <c r="N153" s="3"/>
      <c r="O153" s="3"/>
      <c r="R153" s="3"/>
      <c r="S153" s="3"/>
      <c r="T153" s="3"/>
      <c r="U153" s="3"/>
      <c r="V153" s="3"/>
      <c r="W153" s="3"/>
    </row>
    <row r="154" spans="2:23" x14ac:dyDescent="0.3">
      <c r="B154" s="3"/>
      <c r="C154" s="3"/>
      <c r="D154" s="3"/>
      <c r="E154" s="3"/>
      <c r="F154" s="3"/>
      <c r="G154" s="3"/>
      <c r="J154" s="3"/>
      <c r="K154" s="3"/>
      <c r="L154" s="3"/>
      <c r="M154" s="3"/>
      <c r="N154" s="3"/>
      <c r="O154" s="3"/>
      <c r="R154" s="3"/>
      <c r="S154" s="3"/>
      <c r="T154" s="3"/>
      <c r="U154" s="3"/>
      <c r="V154" s="3"/>
      <c r="W154" s="3"/>
    </row>
    <row r="155" spans="2:23" x14ac:dyDescent="0.3">
      <c r="B155" s="3"/>
      <c r="C155" s="3"/>
      <c r="D155" s="3"/>
      <c r="E155" s="3"/>
      <c r="F155" s="3"/>
      <c r="G155" s="3"/>
      <c r="J155" s="3"/>
      <c r="K155" s="3"/>
      <c r="L155" s="3"/>
      <c r="M155" s="3"/>
      <c r="N155" s="3"/>
      <c r="O155" s="3"/>
      <c r="R155" s="3"/>
      <c r="S155" s="3"/>
      <c r="T155" s="3"/>
      <c r="U155" s="3"/>
      <c r="V155" s="3"/>
      <c r="W155" s="3"/>
    </row>
    <row r="156" spans="2:23" x14ac:dyDescent="0.3">
      <c r="B156" s="3"/>
      <c r="C156" s="3"/>
      <c r="D156" s="3"/>
      <c r="E156" s="3"/>
      <c r="F156" s="3"/>
      <c r="G156" s="3"/>
      <c r="J156" s="3"/>
      <c r="K156" s="3"/>
      <c r="L156" s="3"/>
      <c r="M156" s="3"/>
      <c r="N156" s="3"/>
      <c r="O156" s="3"/>
      <c r="R156" s="3"/>
      <c r="S156" s="3"/>
      <c r="T156" s="3"/>
      <c r="U156" s="3"/>
      <c r="V156" s="3"/>
      <c r="W156" s="3"/>
    </row>
    <row r="157" spans="2:23" x14ac:dyDescent="0.3">
      <c r="B157" s="3"/>
      <c r="C157" s="3"/>
      <c r="D157" s="3"/>
      <c r="E157" s="3"/>
      <c r="F157" s="3"/>
      <c r="G157" s="3"/>
      <c r="J157" s="3"/>
      <c r="K157" s="3"/>
      <c r="L157" s="3"/>
      <c r="M157" s="3"/>
      <c r="N157" s="3"/>
      <c r="O157" s="3"/>
      <c r="R157" s="3"/>
      <c r="S157" s="3"/>
      <c r="T157" s="3"/>
      <c r="U157" s="3"/>
      <c r="V157" s="3"/>
      <c r="W157" s="3"/>
    </row>
    <row r="158" spans="2:23" x14ac:dyDescent="0.3">
      <c r="B158" s="3"/>
      <c r="C158" s="3"/>
      <c r="D158" s="3"/>
      <c r="E158" s="3"/>
      <c r="F158" s="3"/>
      <c r="G158" s="3"/>
      <c r="J158" s="3"/>
      <c r="K158" s="3"/>
      <c r="L158" s="3"/>
      <c r="M158" s="3"/>
      <c r="N158" s="3"/>
      <c r="O158" s="3"/>
      <c r="R158" s="3"/>
      <c r="S158" s="3"/>
      <c r="T158" s="3"/>
      <c r="U158" s="3"/>
      <c r="V158" s="3"/>
      <c r="W158" s="3"/>
    </row>
    <row r="159" spans="2:23" x14ac:dyDescent="0.3">
      <c r="B159" s="3"/>
      <c r="C159" s="3"/>
      <c r="D159" s="3"/>
      <c r="E159" s="3"/>
      <c r="F159" s="3"/>
      <c r="G159" s="3"/>
      <c r="J159" s="3"/>
      <c r="K159" s="3"/>
      <c r="L159" s="3"/>
      <c r="M159" s="3"/>
      <c r="N159" s="3"/>
      <c r="O159" s="3"/>
      <c r="R159" s="3"/>
      <c r="S159" s="3"/>
      <c r="T159" s="3"/>
      <c r="U159" s="3"/>
      <c r="V159" s="3"/>
      <c r="W159" s="3"/>
    </row>
    <row r="160" spans="2:23" x14ac:dyDescent="0.3">
      <c r="B160" s="3"/>
      <c r="C160" s="3"/>
      <c r="D160" s="3"/>
      <c r="E160" s="3"/>
      <c r="F160" s="3"/>
      <c r="G160" s="3"/>
      <c r="J160" s="3"/>
      <c r="K160" s="3"/>
      <c r="L160" s="3"/>
      <c r="M160" s="3"/>
      <c r="N160" s="3"/>
      <c r="O160" s="3"/>
      <c r="R160" s="3"/>
      <c r="S160" s="3"/>
      <c r="T160" s="3"/>
      <c r="U160" s="3"/>
      <c r="V160" s="3"/>
      <c r="W160" s="3"/>
    </row>
    <row r="161" spans="2:23" x14ac:dyDescent="0.3">
      <c r="B161" s="3"/>
      <c r="C161" s="3"/>
      <c r="D161" s="3"/>
      <c r="E161" s="3"/>
      <c r="F161" s="3"/>
      <c r="G161" s="3"/>
      <c r="J161" s="3"/>
      <c r="K161" s="3"/>
      <c r="L161" s="3"/>
      <c r="M161" s="3"/>
      <c r="N161" s="3"/>
      <c r="O161" s="3"/>
      <c r="R161" s="3"/>
      <c r="S161" s="3"/>
      <c r="T161" s="3"/>
      <c r="U161" s="3"/>
      <c r="V161" s="3"/>
      <c r="W161" s="3"/>
    </row>
    <row r="162" spans="2:23" x14ac:dyDescent="0.3">
      <c r="B162" s="3"/>
      <c r="C162" s="3"/>
      <c r="D162" s="3"/>
      <c r="E162" s="3"/>
      <c r="F162" s="3"/>
      <c r="G162" s="3"/>
      <c r="J162" s="3"/>
      <c r="K162" s="3"/>
      <c r="L162" s="3"/>
      <c r="M162" s="3"/>
      <c r="N162" s="3"/>
      <c r="O162" s="3"/>
      <c r="R162" s="3"/>
      <c r="S162" s="3"/>
      <c r="T162" s="3"/>
      <c r="U162" s="3"/>
      <c r="V162" s="3"/>
      <c r="W162" s="3"/>
    </row>
    <row r="163" spans="2:23" x14ac:dyDescent="0.3">
      <c r="B163" s="3"/>
      <c r="C163" s="3"/>
      <c r="D163" s="3"/>
      <c r="E163" s="3"/>
      <c r="F163" s="3"/>
      <c r="G163" s="3"/>
      <c r="J163" s="3"/>
      <c r="K163" s="3"/>
      <c r="L163" s="3"/>
      <c r="M163" s="3"/>
      <c r="N163" s="3"/>
      <c r="O163" s="3"/>
      <c r="R163" s="3"/>
      <c r="S163" s="3"/>
      <c r="T163" s="3"/>
      <c r="U163" s="3"/>
      <c r="V163" s="3"/>
      <c r="W163" s="3"/>
    </row>
    <row r="164" spans="2:23" x14ac:dyDescent="0.3">
      <c r="B164" s="3"/>
      <c r="C164" s="3"/>
      <c r="D164" s="3"/>
      <c r="E164" s="3"/>
      <c r="F164" s="3"/>
      <c r="G164" s="3"/>
      <c r="J164" s="3"/>
      <c r="K164" s="3"/>
      <c r="L164" s="3"/>
      <c r="M164" s="3"/>
      <c r="N164" s="3"/>
      <c r="O164" s="3"/>
      <c r="R164" s="3"/>
      <c r="S164" s="3"/>
      <c r="T164" s="3"/>
      <c r="U164" s="3"/>
      <c r="V164" s="3"/>
      <c r="W164" s="3"/>
    </row>
    <row r="165" spans="2:23" x14ac:dyDescent="0.3">
      <c r="B165" s="3"/>
      <c r="C165" s="3"/>
      <c r="D165" s="3"/>
      <c r="E165" s="3"/>
      <c r="F165" s="3"/>
      <c r="G165" s="3"/>
      <c r="J165" s="3"/>
      <c r="K165" s="3"/>
      <c r="L165" s="3"/>
      <c r="M165" s="3"/>
      <c r="N165" s="3"/>
      <c r="O165" s="3"/>
      <c r="R165" s="3"/>
      <c r="S165" s="3"/>
      <c r="T165" s="3"/>
      <c r="U165" s="3"/>
      <c r="V165" s="3"/>
      <c r="W165" s="3"/>
    </row>
    <row r="166" spans="2:23" x14ac:dyDescent="0.3">
      <c r="B166" s="3"/>
      <c r="C166" s="3"/>
      <c r="D166" s="3"/>
      <c r="E166" s="3"/>
      <c r="F166" s="3"/>
      <c r="G166" s="3"/>
      <c r="J166" s="3"/>
      <c r="K166" s="3"/>
      <c r="L166" s="3"/>
      <c r="M166" s="3"/>
      <c r="N166" s="3"/>
      <c r="O166" s="3"/>
      <c r="R166" s="3"/>
      <c r="S166" s="3"/>
      <c r="T166" s="3"/>
      <c r="U166" s="3"/>
      <c r="V166" s="3"/>
      <c r="W166" s="3"/>
    </row>
    <row r="167" spans="2:23" x14ac:dyDescent="0.3">
      <c r="B167" s="3"/>
      <c r="C167" s="3"/>
      <c r="D167" s="3"/>
      <c r="E167" s="3"/>
      <c r="F167" s="3"/>
      <c r="G167" s="3"/>
      <c r="J167" s="3"/>
      <c r="K167" s="3"/>
      <c r="L167" s="3"/>
      <c r="M167" s="3"/>
      <c r="N167" s="3"/>
      <c r="O167" s="3"/>
      <c r="R167" s="3"/>
      <c r="S167" s="3"/>
      <c r="T167" s="3"/>
      <c r="U167" s="3"/>
      <c r="V167" s="3"/>
      <c r="W167" s="3"/>
    </row>
    <row r="168" spans="2:23" x14ac:dyDescent="0.3">
      <c r="B168" s="3"/>
      <c r="C168" s="3"/>
      <c r="D168" s="3"/>
      <c r="E168" s="3"/>
      <c r="F168" s="3"/>
      <c r="G168" s="3"/>
      <c r="J168" s="3"/>
      <c r="K168" s="3"/>
      <c r="L168" s="3"/>
      <c r="M168" s="3"/>
      <c r="N168" s="3"/>
      <c r="O168" s="3"/>
      <c r="R168" s="3"/>
      <c r="S168" s="3"/>
      <c r="T168" s="3"/>
      <c r="U168" s="3"/>
      <c r="V168" s="3"/>
      <c r="W168" s="3"/>
    </row>
    <row r="169" spans="2:23" x14ac:dyDescent="0.3">
      <c r="B169" s="3"/>
      <c r="C169" s="3"/>
      <c r="D169" s="3"/>
      <c r="E169" s="3"/>
      <c r="F169" s="3"/>
      <c r="G169" s="3"/>
      <c r="J169" s="3"/>
      <c r="K169" s="3"/>
      <c r="L169" s="3"/>
      <c r="M169" s="3"/>
      <c r="N169" s="3"/>
      <c r="O169" s="3"/>
      <c r="R169" s="3"/>
      <c r="S169" s="3"/>
      <c r="T169" s="3"/>
      <c r="U169" s="3"/>
      <c r="V169" s="3"/>
      <c r="W169" s="3"/>
    </row>
    <row r="170" spans="2:23" x14ac:dyDescent="0.3">
      <c r="B170" s="3"/>
      <c r="C170" s="3"/>
      <c r="D170" s="3"/>
      <c r="E170" s="3"/>
      <c r="F170" s="3"/>
      <c r="G170" s="3"/>
      <c r="J170" s="3"/>
      <c r="K170" s="3"/>
      <c r="L170" s="3"/>
      <c r="M170" s="3"/>
      <c r="N170" s="3"/>
      <c r="O170" s="3"/>
      <c r="R170" s="3"/>
      <c r="S170" s="3"/>
      <c r="T170" s="3"/>
      <c r="U170" s="3"/>
      <c r="V170" s="3"/>
      <c r="W170" s="3"/>
    </row>
    <row r="171" spans="2:23" x14ac:dyDescent="0.3">
      <c r="B171" s="3"/>
      <c r="C171" s="3"/>
      <c r="D171" s="3"/>
      <c r="E171" s="3"/>
      <c r="F171" s="3"/>
      <c r="G171" s="3"/>
      <c r="J171" s="3"/>
      <c r="K171" s="3"/>
      <c r="L171" s="3"/>
      <c r="M171" s="3"/>
      <c r="N171" s="3"/>
      <c r="O171" s="3"/>
      <c r="R171" s="3"/>
      <c r="S171" s="3"/>
      <c r="T171" s="3"/>
      <c r="U171" s="3"/>
      <c r="V171" s="3"/>
      <c r="W171" s="3"/>
    </row>
    <row r="172" spans="2:23" x14ac:dyDescent="0.3">
      <c r="B172" s="3"/>
      <c r="C172" s="3"/>
      <c r="D172" s="3"/>
      <c r="E172" s="3"/>
      <c r="F172" s="3"/>
      <c r="G172" s="3"/>
      <c r="J172" s="3"/>
      <c r="K172" s="3"/>
      <c r="L172" s="3"/>
      <c r="M172" s="3"/>
      <c r="N172" s="3"/>
      <c r="O172" s="3"/>
      <c r="R172" s="3"/>
      <c r="S172" s="3"/>
      <c r="T172" s="3"/>
      <c r="U172" s="3"/>
      <c r="V172" s="3"/>
      <c r="W172" s="3"/>
    </row>
    <row r="173" spans="2:23" x14ac:dyDescent="0.3">
      <c r="B173" s="3"/>
      <c r="C173" s="3"/>
      <c r="D173" s="3"/>
      <c r="E173" s="3"/>
      <c r="F173" s="3"/>
      <c r="G173" s="3"/>
      <c r="J173" s="3"/>
      <c r="K173" s="3"/>
      <c r="L173" s="3"/>
      <c r="M173" s="3"/>
      <c r="N173" s="3"/>
      <c r="O173" s="3"/>
      <c r="R173" s="3"/>
      <c r="S173" s="3"/>
      <c r="T173" s="3"/>
      <c r="U173" s="3"/>
      <c r="V173" s="3"/>
      <c r="W173" s="3"/>
    </row>
    <row r="174" spans="2:23" x14ac:dyDescent="0.3">
      <c r="B174" s="3"/>
      <c r="C174" s="3"/>
      <c r="D174" s="3"/>
      <c r="E174" s="3"/>
      <c r="F174" s="3"/>
      <c r="G174" s="3"/>
      <c r="J174" s="3"/>
      <c r="K174" s="3"/>
      <c r="L174" s="3"/>
      <c r="M174" s="3"/>
      <c r="N174" s="3"/>
      <c r="O174" s="3"/>
      <c r="R174" s="3"/>
      <c r="S174" s="3"/>
      <c r="T174" s="3"/>
      <c r="U174" s="3"/>
      <c r="V174" s="3"/>
      <c r="W174" s="3"/>
    </row>
    <row r="175" spans="2:23" x14ac:dyDescent="0.3">
      <c r="B175" s="3"/>
      <c r="C175" s="3"/>
      <c r="D175" s="3"/>
      <c r="E175" s="3"/>
      <c r="F175" s="3"/>
      <c r="G175" s="3"/>
      <c r="J175" s="3"/>
      <c r="K175" s="3"/>
      <c r="L175" s="3"/>
      <c r="M175" s="3"/>
      <c r="N175" s="3"/>
      <c r="O175" s="3"/>
      <c r="R175" s="3"/>
      <c r="S175" s="3"/>
      <c r="T175" s="3"/>
      <c r="U175" s="3"/>
      <c r="V175" s="3"/>
      <c r="W175" s="3"/>
    </row>
    <row r="176" spans="2:23" x14ac:dyDescent="0.3">
      <c r="B176" s="3"/>
      <c r="C176" s="3"/>
      <c r="D176" s="3"/>
      <c r="E176" s="3"/>
      <c r="F176" s="3"/>
      <c r="G176" s="3"/>
      <c r="J176" s="3"/>
      <c r="K176" s="3"/>
      <c r="L176" s="3"/>
      <c r="M176" s="3"/>
      <c r="N176" s="3"/>
      <c r="O176" s="3"/>
      <c r="R176" s="3"/>
      <c r="S176" s="3"/>
      <c r="T176" s="3"/>
      <c r="U176" s="3"/>
      <c r="V176" s="3"/>
      <c r="W176" s="3"/>
    </row>
    <row r="177" spans="2:23" x14ac:dyDescent="0.3">
      <c r="B177" s="3"/>
      <c r="C177" s="3"/>
      <c r="D177" s="3"/>
      <c r="E177" s="3"/>
      <c r="F177" s="3"/>
      <c r="G177" s="3"/>
      <c r="J177" s="3"/>
      <c r="K177" s="3"/>
      <c r="L177" s="3"/>
      <c r="M177" s="3"/>
      <c r="N177" s="3"/>
      <c r="O177" s="3"/>
      <c r="R177" s="3"/>
      <c r="S177" s="3"/>
      <c r="T177" s="3"/>
      <c r="U177" s="3"/>
      <c r="V177" s="3"/>
      <c r="W177" s="3"/>
    </row>
    <row r="178" spans="2:23" x14ac:dyDescent="0.3">
      <c r="B178" s="3"/>
      <c r="C178" s="3"/>
      <c r="D178" s="3"/>
      <c r="E178" s="3"/>
      <c r="F178" s="3"/>
      <c r="G178" s="3"/>
      <c r="J178" s="3"/>
      <c r="K178" s="3"/>
      <c r="L178" s="3"/>
      <c r="M178" s="3"/>
      <c r="N178" s="3"/>
      <c r="O178" s="3"/>
      <c r="R178" s="3"/>
      <c r="S178" s="3"/>
      <c r="T178" s="3"/>
      <c r="U178" s="3"/>
      <c r="V178" s="3"/>
      <c r="W178" s="3"/>
    </row>
    <row r="179" spans="2:23" x14ac:dyDescent="0.3">
      <c r="B179" s="3"/>
      <c r="C179" s="3"/>
      <c r="D179" s="3"/>
      <c r="E179" s="3"/>
      <c r="F179" s="3"/>
      <c r="G179" s="3"/>
      <c r="J179" s="3"/>
      <c r="K179" s="3"/>
      <c r="L179" s="3"/>
      <c r="M179" s="3"/>
      <c r="N179" s="3"/>
      <c r="O179" s="3"/>
      <c r="R179" s="3"/>
      <c r="S179" s="3"/>
      <c r="T179" s="3"/>
      <c r="U179" s="3"/>
      <c r="V179" s="3"/>
      <c r="W179" s="3"/>
    </row>
    <row r="180" spans="2:23" x14ac:dyDescent="0.3">
      <c r="B180" s="3"/>
      <c r="C180" s="3"/>
      <c r="D180" s="3"/>
      <c r="E180" s="3"/>
      <c r="F180" s="3"/>
      <c r="G180" s="3"/>
      <c r="J180" s="3"/>
      <c r="K180" s="3"/>
      <c r="L180" s="3"/>
      <c r="M180" s="3"/>
      <c r="N180" s="3"/>
      <c r="O180" s="3"/>
      <c r="R180" s="3"/>
      <c r="S180" s="3"/>
      <c r="T180" s="3"/>
      <c r="U180" s="3"/>
      <c r="V180" s="3"/>
      <c r="W180" s="3"/>
    </row>
    <row r="181" spans="2:23" x14ac:dyDescent="0.3">
      <c r="B181" s="3"/>
      <c r="C181" s="3"/>
      <c r="D181" s="3"/>
      <c r="E181" s="3"/>
      <c r="F181" s="3"/>
      <c r="G181" s="3"/>
      <c r="J181" s="3"/>
      <c r="K181" s="3"/>
      <c r="L181" s="3"/>
      <c r="M181" s="3"/>
      <c r="N181" s="3"/>
      <c r="O181" s="3"/>
      <c r="R181" s="3"/>
      <c r="S181" s="3"/>
      <c r="T181" s="3"/>
      <c r="U181" s="3"/>
      <c r="V181" s="3"/>
      <c r="W181" s="3"/>
    </row>
    <row r="182" spans="2:23" x14ac:dyDescent="0.3">
      <c r="B182" s="3"/>
      <c r="C182" s="3"/>
      <c r="D182" s="3"/>
      <c r="E182" s="3"/>
      <c r="F182" s="3"/>
      <c r="G182" s="3"/>
      <c r="J182" s="3"/>
      <c r="K182" s="3"/>
      <c r="L182" s="3"/>
      <c r="M182" s="3"/>
      <c r="N182" s="3"/>
      <c r="O182" s="3"/>
      <c r="R182" s="3"/>
      <c r="S182" s="3"/>
      <c r="T182" s="3"/>
      <c r="U182" s="3"/>
      <c r="V182" s="3"/>
      <c r="W182" s="3"/>
    </row>
    <row r="183" spans="2:23" x14ac:dyDescent="0.3">
      <c r="B183" s="3"/>
      <c r="C183" s="3"/>
      <c r="D183" s="3"/>
      <c r="E183" s="3"/>
      <c r="F183" s="3"/>
      <c r="G183" s="3"/>
      <c r="J183" s="3"/>
      <c r="K183" s="3"/>
      <c r="L183" s="3"/>
      <c r="M183" s="3"/>
      <c r="N183" s="3"/>
      <c r="O183" s="3"/>
      <c r="R183" s="3"/>
      <c r="S183" s="3"/>
      <c r="T183" s="3"/>
      <c r="U183" s="3"/>
      <c r="V183" s="3"/>
      <c r="W183" s="3"/>
    </row>
    <row r="184" spans="2:23" x14ac:dyDescent="0.3">
      <c r="B184" s="3"/>
      <c r="C184" s="3"/>
      <c r="D184" s="3"/>
      <c r="E184" s="3"/>
      <c r="F184" s="3"/>
      <c r="G184" s="3"/>
      <c r="J184" s="3"/>
      <c r="K184" s="3"/>
      <c r="L184" s="3"/>
      <c r="M184" s="3"/>
      <c r="N184" s="3"/>
      <c r="O184" s="3"/>
      <c r="R184" s="3"/>
      <c r="S184" s="3"/>
      <c r="T184" s="3"/>
      <c r="U184" s="3"/>
      <c r="V184" s="3"/>
      <c r="W184" s="3"/>
    </row>
    <row r="185" spans="2:23" x14ac:dyDescent="0.3">
      <c r="B185" s="3"/>
      <c r="C185" s="3"/>
      <c r="D185" s="3"/>
      <c r="E185" s="3"/>
      <c r="F185" s="3"/>
      <c r="G185" s="3"/>
      <c r="J185" s="3"/>
      <c r="K185" s="3"/>
      <c r="L185" s="3"/>
      <c r="M185" s="3"/>
      <c r="N185" s="3"/>
      <c r="O185" s="3"/>
      <c r="R185" s="3"/>
      <c r="S185" s="3"/>
      <c r="T185" s="3"/>
      <c r="U185" s="3"/>
      <c r="V185" s="3"/>
      <c r="W185" s="3"/>
    </row>
    <row r="186" spans="2:23" x14ac:dyDescent="0.3">
      <c r="B186" s="3"/>
      <c r="C186" s="3"/>
      <c r="D186" s="3"/>
      <c r="E186" s="3"/>
      <c r="F186" s="3"/>
      <c r="G186" s="3"/>
      <c r="J186" s="3"/>
      <c r="K186" s="3"/>
      <c r="L186" s="3"/>
      <c r="M186" s="3"/>
      <c r="N186" s="3"/>
      <c r="O186" s="3"/>
      <c r="R186" s="3"/>
      <c r="S186" s="3"/>
      <c r="T186" s="3"/>
      <c r="U186" s="3"/>
      <c r="V186" s="3"/>
      <c r="W186" s="3"/>
    </row>
    <row r="187" spans="2:23" x14ac:dyDescent="0.3">
      <c r="B187" s="3"/>
      <c r="C187" s="3"/>
      <c r="D187" s="3"/>
      <c r="E187" s="3"/>
      <c r="F187" s="3"/>
      <c r="G187" s="3"/>
      <c r="J187" s="3"/>
      <c r="K187" s="3"/>
      <c r="L187" s="3"/>
      <c r="M187" s="3"/>
      <c r="N187" s="3"/>
      <c r="O187" s="3"/>
      <c r="R187" s="3"/>
      <c r="S187" s="3"/>
      <c r="T187" s="3"/>
      <c r="U187" s="3"/>
      <c r="V187" s="3"/>
      <c r="W187" s="3"/>
    </row>
    <row r="188" spans="2:23" x14ac:dyDescent="0.3">
      <c r="B188" s="3"/>
      <c r="C188" s="3"/>
      <c r="D188" s="3"/>
      <c r="E188" s="3"/>
      <c r="F188" s="3"/>
      <c r="G188" s="3"/>
      <c r="J188" s="3"/>
      <c r="K188" s="3"/>
      <c r="L188" s="3"/>
      <c r="M188" s="3"/>
      <c r="N188" s="3"/>
      <c r="O188" s="3"/>
      <c r="R188" s="3"/>
      <c r="S188" s="3"/>
      <c r="T188" s="3"/>
      <c r="U188" s="3"/>
      <c r="V188" s="3"/>
      <c r="W188" s="3"/>
    </row>
    <row r="189" spans="2:23" x14ac:dyDescent="0.3">
      <c r="B189" s="3"/>
      <c r="C189" s="3"/>
      <c r="D189" s="3"/>
      <c r="E189" s="3"/>
      <c r="F189" s="3"/>
      <c r="G189" s="3"/>
      <c r="J189" s="3"/>
      <c r="K189" s="3"/>
      <c r="L189" s="3"/>
      <c r="M189" s="3"/>
      <c r="N189" s="3"/>
      <c r="O189" s="3"/>
      <c r="R189" s="3"/>
      <c r="S189" s="3"/>
      <c r="T189" s="3"/>
      <c r="U189" s="3"/>
      <c r="V189" s="3"/>
      <c r="W189" s="3"/>
    </row>
    <row r="190" spans="2:23" x14ac:dyDescent="0.3">
      <c r="B190" s="3"/>
      <c r="C190" s="3"/>
      <c r="D190" s="3"/>
      <c r="E190" s="3"/>
      <c r="F190" s="3"/>
      <c r="G190" s="3"/>
      <c r="J190" s="3"/>
      <c r="K190" s="3"/>
      <c r="L190" s="3"/>
      <c r="M190" s="3"/>
      <c r="N190" s="3"/>
      <c r="O190" s="3"/>
      <c r="R190" s="3"/>
      <c r="S190" s="3"/>
      <c r="T190" s="3"/>
      <c r="U190" s="3"/>
      <c r="V190" s="3"/>
      <c r="W190" s="3"/>
    </row>
    <row r="191" spans="2:23" x14ac:dyDescent="0.3">
      <c r="B191" s="3"/>
      <c r="C191" s="3"/>
      <c r="D191" s="3"/>
      <c r="E191" s="3"/>
      <c r="F191" s="3"/>
      <c r="G191" s="3"/>
      <c r="J191" s="3"/>
      <c r="K191" s="3"/>
      <c r="L191" s="3"/>
      <c r="M191" s="3"/>
      <c r="N191" s="3"/>
      <c r="O191" s="3"/>
      <c r="R191" s="3"/>
      <c r="S191" s="3"/>
      <c r="T191" s="3"/>
      <c r="U191" s="3"/>
      <c r="V191" s="3"/>
      <c r="W191" s="3"/>
    </row>
    <row r="192" spans="2:23" x14ac:dyDescent="0.3">
      <c r="B192" s="3"/>
      <c r="C192" s="3"/>
      <c r="D192" s="3"/>
      <c r="E192" s="3"/>
      <c r="F192" s="3"/>
      <c r="G192" s="3"/>
      <c r="J192" s="3"/>
      <c r="K192" s="3"/>
      <c r="L192" s="3"/>
      <c r="M192" s="3"/>
      <c r="N192" s="3"/>
      <c r="O192" s="3"/>
      <c r="R192" s="3"/>
      <c r="S192" s="3"/>
      <c r="T192" s="3"/>
      <c r="U192" s="3"/>
      <c r="V192" s="3"/>
      <c r="W192" s="3"/>
    </row>
    <row r="193" spans="2:23" x14ac:dyDescent="0.3">
      <c r="B193" s="3"/>
      <c r="C193" s="3"/>
      <c r="D193" s="3"/>
      <c r="E193" s="3"/>
      <c r="F193" s="3"/>
      <c r="G193" s="3"/>
      <c r="J193" s="3"/>
      <c r="K193" s="3"/>
      <c r="L193" s="3"/>
      <c r="M193" s="3"/>
      <c r="N193" s="3"/>
      <c r="O193" s="3"/>
      <c r="R193" s="3"/>
      <c r="S193" s="3"/>
      <c r="T193" s="3"/>
      <c r="U193" s="3"/>
      <c r="V193" s="3"/>
      <c r="W193" s="3"/>
    </row>
    <row r="194" spans="2:23" x14ac:dyDescent="0.3">
      <c r="B194" s="3"/>
      <c r="C194" s="3"/>
      <c r="D194" s="3"/>
      <c r="E194" s="3"/>
      <c r="F194" s="3"/>
      <c r="G194" s="3"/>
      <c r="J194" s="3"/>
      <c r="K194" s="3"/>
      <c r="L194" s="3"/>
      <c r="M194" s="3"/>
      <c r="N194" s="3"/>
      <c r="O194" s="3"/>
      <c r="R194" s="3"/>
      <c r="S194" s="3"/>
      <c r="T194" s="3"/>
      <c r="U194" s="3"/>
      <c r="V194" s="3"/>
      <c r="W194" s="3"/>
    </row>
    <row r="195" spans="2:23" x14ac:dyDescent="0.3">
      <c r="B195" s="3"/>
      <c r="C195" s="3"/>
      <c r="D195" s="3"/>
      <c r="E195" s="3"/>
      <c r="F195" s="3"/>
      <c r="G195" s="3"/>
      <c r="J195" s="3"/>
      <c r="K195" s="3"/>
      <c r="L195" s="3"/>
      <c r="M195" s="3"/>
      <c r="N195" s="3"/>
      <c r="O195" s="3"/>
      <c r="R195" s="3"/>
      <c r="S195" s="3"/>
      <c r="T195" s="3"/>
      <c r="U195" s="3"/>
      <c r="V195" s="3"/>
      <c r="W195" s="3"/>
    </row>
    <row r="196" spans="2:23" x14ac:dyDescent="0.3">
      <c r="B196" s="3"/>
      <c r="C196" s="3"/>
      <c r="D196" s="3"/>
      <c r="E196" s="3"/>
      <c r="F196" s="3"/>
      <c r="G196" s="3"/>
      <c r="J196" s="3"/>
      <c r="K196" s="3"/>
      <c r="L196" s="3"/>
      <c r="M196" s="3"/>
      <c r="N196" s="3"/>
      <c r="O196" s="3"/>
      <c r="R196" s="3"/>
      <c r="S196" s="3"/>
      <c r="T196" s="3"/>
      <c r="U196" s="3"/>
      <c r="V196" s="3"/>
      <c r="W196" s="3"/>
    </row>
    <row r="197" spans="2:23" x14ac:dyDescent="0.3">
      <c r="B197" s="3"/>
      <c r="C197" s="3"/>
      <c r="D197" s="3"/>
      <c r="E197" s="3"/>
      <c r="F197" s="3"/>
      <c r="G197" s="3"/>
      <c r="J197" s="3"/>
      <c r="K197" s="3"/>
      <c r="L197" s="3"/>
      <c r="M197" s="3"/>
      <c r="N197" s="3"/>
      <c r="O197" s="3"/>
      <c r="R197" s="3"/>
      <c r="S197" s="3"/>
      <c r="T197" s="3"/>
      <c r="U197" s="3"/>
      <c r="V197" s="3"/>
      <c r="W197" s="3"/>
    </row>
    <row r="198" spans="2:23" x14ac:dyDescent="0.3">
      <c r="B198" s="3"/>
      <c r="C198" s="3"/>
      <c r="D198" s="3"/>
      <c r="E198" s="3"/>
      <c r="F198" s="3"/>
      <c r="G198" s="3"/>
      <c r="J198" s="3"/>
      <c r="K198" s="3"/>
      <c r="L198" s="3"/>
      <c r="M198" s="3"/>
      <c r="N198" s="3"/>
      <c r="O198" s="3"/>
      <c r="R198" s="3"/>
      <c r="S198" s="3"/>
      <c r="T198" s="3"/>
      <c r="U198" s="3"/>
      <c r="V198" s="3"/>
      <c r="W198" s="3"/>
    </row>
    <row r="199" spans="2:23" x14ac:dyDescent="0.3">
      <c r="B199" s="3"/>
      <c r="C199" s="3"/>
      <c r="D199" s="3"/>
      <c r="E199" s="3"/>
      <c r="F199" s="3"/>
      <c r="G199" s="3"/>
      <c r="J199" s="3"/>
      <c r="K199" s="3"/>
      <c r="L199" s="3"/>
      <c r="M199" s="3"/>
      <c r="N199" s="3"/>
      <c r="O199" s="3"/>
      <c r="R199" s="3"/>
      <c r="S199" s="3"/>
      <c r="T199" s="3"/>
      <c r="U199" s="3"/>
      <c r="V199" s="3"/>
      <c r="W199" s="3"/>
    </row>
    <row r="200" spans="2:23" x14ac:dyDescent="0.3">
      <c r="B200" s="3"/>
      <c r="C200" s="3"/>
      <c r="D200" s="3"/>
      <c r="E200" s="3"/>
      <c r="F200" s="3"/>
      <c r="G200" s="3"/>
      <c r="J200" s="3"/>
      <c r="K200" s="3"/>
      <c r="L200" s="3"/>
      <c r="M200" s="3"/>
      <c r="N200" s="3"/>
      <c r="O200" s="3"/>
      <c r="R200" s="3"/>
      <c r="S200" s="3"/>
      <c r="T200" s="3"/>
      <c r="U200" s="3"/>
      <c r="V200" s="3"/>
      <c r="W200" s="3"/>
    </row>
    <row r="201" spans="2:23" x14ac:dyDescent="0.3">
      <c r="B201" s="3"/>
      <c r="C201" s="3"/>
      <c r="D201" s="3"/>
      <c r="E201" s="3"/>
      <c r="F201" s="3"/>
      <c r="G201" s="3"/>
      <c r="J201" s="3"/>
      <c r="K201" s="3"/>
      <c r="L201" s="3"/>
      <c r="M201" s="3"/>
      <c r="N201" s="3"/>
      <c r="O201" s="3"/>
      <c r="R201" s="3"/>
      <c r="S201" s="3"/>
      <c r="T201" s="3"/>
      <c r="U201" s="3"/>
      <c r="V201" s="3"/>
      <c r="W201" s="3"/>
    </row>
    <row r="202" spans="2:23" x14ac:dyDescent="0.3">
      <c r="B202" s="3"/>
      <c r="C202" s="3"/>
      <c r="D202" s="3"/>
      <c r="E202" s="3"/>
      <c r="F202" s="3"/>
      <c r="G202" s="3"/>
      <c r="J202" s="3"/>
      <c r="K202" s="3"/>
      <c r="L202" s="3"/>
      <c r="M202" s="3"/>
      <c r="N202" s="3"/>
      <c r="O202" s="3"/>
      <c r="R202" s="3"/>
      <c r="S202" s="3"/>
      <c r="T202" s="3"/>
      <c r="U202" s="3"/>
      <c r="V202" s="3"/>
      <c r="W202" s="3"/>
    </row>
    <row r="203" spans="2:23" x14ac:dyDescent="0.3">
      <c r="B203" s="3"/>
      <c r="C203" s="3"/>
      <c r="D203" s="3"/>
      <c r="E203" s="3"/>
      <c r="F203" s="3"/>
      <c r="G203" s="3"/>
      <c r="J203" s="3"/>
      <c r="K203" s="3"/>
      <c r="L203" s="3"/>
      <c r="M203" s="3"/>
      <c r="N203" s="3"/>
      <c r="O203" s="3"/>
      <c r="R203" s="3"/>
      <c r="S203" s="3"/>
      <c r="T203" s="3"/>
      <c r="U203" s="3"/>
      <c r="V203" s="3"/>
      <c r="W203" s="3"/>
    </row>
    <row r="204" spans="2:23" x14ac:dyDescent="0.3">
      <c r="B204" s="3"/>
      <c r="C204" s="3"/>
      <c r="D204" s="3"/>
      <c r="E204" s="3"/>
      <c r="F204" s="3"/>
      <c r="G204" s="3"/>
      <c r="J204" s="3"/>
      <c r="K204" s="3"/>
      <c r="L204" s="3"/>
      <c r="M204" s="3"/>
      <c r="N204" s="3"/>
      <c r="O204" s="3"/>
      <c r="R204" s="3"/>
      <c r="S204" s="3"/>
      <c r="T204" s="3"/>
      <c r="U204" s="3"/>
      <c r="V204" s="3"/>
      <c r="W204" s="3"/>
    </row>
    <row r="205" spans="2:23" x14ac:dyDescent="0.3">
      <c r="B205" s="3"/>
      <c r="C205" s="3"/>
      <c r="D205" s="3"/>
      <c r="E205" s="3"/>
      <c r="F205" s="3"/>
      <c r="G205" s="3"/>
      <c r="J205" s="3"/>
      <c r="K205" s="3"/>
      <c r="L205" s="3"/>
      <c r="M205" s="3"/>
      <c r="N205" s="3"/>
      <c r="O205" s="3"/>
      <c r="R205" s="3"/>
      <c r="S205" s="3"/>
      <c r="T205" s="3"/>
      <c r="U205" s="3"/>
      <c r="V205" s="3"/>
      <c r="W205" s="3"/>
    </row>
    <row r="206" spans="2:23" x14ac:dyDescent="0.3">
      <c r="B206" s="3"/>
      <c r="C206" s="3"/>
      <c r="D206" s="3"/>
      <c r="E206" s="3"/>
      <c r="F206" s="3"/>
      <c r="G206" s="3"/>
      <c r="J206" s="3"/>
      <c r="K206" s="3"/>
      <c r="L206" s="3"/>
      <c r="M206" s="3"/>
      <c r="N206" s="3"/>
      <c r="O206" s="3"/>
      <c r="R206" s="3"/>
      <c r="S206" s="3"/>
      <c r="T206" s="3"/>
      <c r="U206" s="3"/>
      <c r="V206" s="3"/>
      <c r="W206" s="3"/>
    </row>
    <row r="207" spans="2:23" x14ac:dyDescent="0.3">
      <c r="B207" s="3"/>
      <c r="C207" s="3"/>
      <c r="D207" s="3"/>
      <c r="E207" s="3"/>
      <c r="F207" s="3"/>
      <c r="G207" s="3"/>
      <c r="J207" s="3"/>
      <c r="K207" s="3"/>
      <c r="L207" s="3"/>
      <c r="M207" s="3"/>
      <c r="N207" s="3"/>
      <c r="O207" s="3"/>
      <c r="R207" s="3"/>
      <c r="S207" s="3"/>
      <c r="T207" s="3"/>
      <c r="U207" s="3"/>
      <c r="V207" s="3"/>
      <c r="W207" s="3"/>
    </row>
    <row r="208" spans="2:23" x14ac:dyDescent="0.3">
      <c r="B208" s="3"/>
      <c r="C208" s="3"/>
      <c r="D208" s="3"/>
      <c r="E208" s="3"/>
      <c r="F208" s="3"/>
      <c r="G208" s="3"/>
      <c r="J208" s="3"/>
      <c r="K208" s="3"/>
      <c r="L208" s="3"/>
      <c r="M208" s="3"/>
      <c r="N208" s="3"/>
      <c r="O208" s="3"/>
      <c r="R208" s="3"/>
      <c r="S208" s="3"/>
      <c r="T208" s="3"/>
      <c r="U208" s="3"/>
      <c r="V208" s="3"/>
      <c r="W208" s="3"/>
    </row>
    <row r="209" spans="2:23" x14ac:dyDescent="0.3">
      <c r="B209" s="3"/>
      <c r="C209" s="3"/>
      <c r="D209" s="3"/>
      <c r="E209" s="3"/>
      <c r="F209" s="3"/>
      <c r="G209" s="3"/>
      <c r="J209" s="3"/>
      <c r="K209" s="3"/>
      <c r="L209" s="3"/>
      <c r="M209" s="3"/>
      <c r="N209" s="3"/>
      <c r="O209" s="3"/>
      <c r="R209" s="3"/>
      <c r="S209" s="3"/>
      <c r="T209" s="3"/>
      <c r="U209" s="3"/>
      <c r="V209" s="3"/>
      <c r="W209" s="3"/>
    </row>
    <row r="210" spans="2:23" x14ac:dyDescent="0.3">
      <c r="B210" s="3"/>
      <c r="C210" s="3"/>
      <c r="D210" s="3"/>
      <c r="E210" s="3"/>
      <c r="F210" s="3"/>
      <c r="G210" s="3"/>
      <c r="J210" s="3"/>
      <c r="K210" s="3"/>
      <c r="L210" s="3"/>
      <c r="M210" s="3"/>
      <c r="N210" s="3"/>
      <c r="O210" s="3"/>
      <c r="R210" s="3"/>
      <c r="S210" s="3"/>
      <c r="T210" s="3"/>
      <c r="U210" s="3"/>
      <c r="V210" s="3"/>
      <c r="W210" s="3"/>
    </row>
    <row r="211" spans="2:23" x14ac:dyDescent="0.3">
      <c r="B211" s="3"/>
      <c r="C211" s="3"/>
      <c r="D211" s="3"/>
      <c r="E211" s="3"/>
      <c r="F211" s="3"/>
      <c r="G211" s="3"/>
      <c r="J211" s="3"/>
      <c r="K211" s="3"/>
      <c r="L211" s="3"/>
      <c r="M211" s="3"/>
      <c r="N211" s="3"/>
      <c r="O211" s="3"/>
      <c r="R211" s="3"/>
      <c r="S211" s="3"/>
      <c r="T211" s="3"/>
      <c r="U211" s="3"/>
      <c r="V211" s="3"/>
      <c r="W211" s="3"/>
    </row>
    <row r="212" spans="2:23" x14ac:dyDescent="0.3">
      <c r="B212" s="3"/>
      <c r="C212" s="3"/>
      <c r="D212" s="3"/>
      <c r="E212" s="3"/>
      <c r="F212" s="3"/>
      <c r="G212" s="3"/>
      <c r="J212" s="3"/>
      <c r="K212" s="3"/>
      <c r="L212" s="3"/>
      <c r="M212" s="3"/>
      <c r="N212" s="3"/>
      <c r="O212" s="3"/>
      <c r="R212" s="3"/>
      <c r="S212" s="3"/>
      <c r="T212" s="3"/>
      <c r="U212" s="3"/>
      <c r="V212" s="3"/>
      <c r="W212" s="3"/>
    </row>
    <row r="213" spans="2:23" x14ac:dyDescent="0.3">
      <c r="B213" s="3"/>
      <c r="C213" s="3"/>
      <c r="D213" s="3"/>
      <c r="E213" s="3"/>
      <c r="F213" s="3"/>
      <c r="G213" s="3"/>
      <c r="J213" s="3"/>
      <c r="K213" s="3"/>
      <c r="L213" s="3"/>
      <c r="M213" s="3"/>
      <c r="N213" s="3"/>
      <c r="O213" s="3"/>
      <c r="R213" s="3"/>
      <c r="S213" s="3"/>
      <c r="T213" s="3"/>
      <c r="U213" s="3"/>
      <c r="V213" s="3"/>
      <c r="W213" s="3"/>
    </row>
    <row r="214" spans="2:23" x14ac:dyDescent="0.3">
      <c r="B214" s="3"/>
      <c r="C214" s="3"/>
      <c r="D214" s="3"/>
      <c r="E214" s="3"/>
      <c r="F214" s="3"/>
      <c r="G214" s="3"/>
      <c r="J214" s="3"/>
      <c r="K214" s="3"/>
      <c r="L214" s="3"/>
      <c r="M214" s="3"/>
      <c r="N214" s="3"/>
      <c r="O214" s="3"/>
      <c r="R214" s="3"/>
      <c r="S214" s="3"/>
      <c r="T214" s="3"/>
      <c r="U214" s="3"/>
      <c r="V214" s="3"/>
      <c r="W214" s="3"/>
    </row>
    <row r="215" spans="2:23" x14ac:dyDescent="0.3">
      <c r="B215" s="3"/>
      <c r="C215" s="3"/>
      <c r="D215" s="3"/>
      <c r="E215" s="3"/>
      <c r="F215" s="3"/>
      <c r="G215" s="3"/>
      <c r="J215" s="3"/>
      <c r="K215" s="3"/>
      <c r="L215" s="3"/>
      <c r="M215" s="3"/>
      <c r="N215" s="3"/>
      <c r="O215" s="3"/>
      <c r="R215" s="3"/>
      <c r="S215" s="3"/>
      <c r="T215" s="3"/>
      <c r="U215" s="3"/>
      <c r="V215" s="3"/>
      <c r="W215" s="3"/>
    </row>
    <row r="216" spans="2:23" x14ac:dyDescent="0.3">
      <c r="B216" s="3"/>
      <c r="C216" s="3"/>
      <c r="D216" s="3"/>
      <c r="E216" s="3"/>
      <c r="F216" s="3"/>
      <c r="G216" s="3"/>
      <c r="J216" s="3"/>
      <c r="K216" s="3"/>
      <c r="L216" s="3"/>
      <c r="M216" s="3"/>
      <c r="N216" s="3"/>
      <c r="O216" s="3"/>
      <c r="R216" s="3"/>
      <c r="S216" s="3"/>
      <c r="T216" s="3"/>
      <c r="U216" s="3"/>
      <c r="V216" s="3"/>
      <c r="W216" s="3"/>
    </row>
    <row r="217" spans="2:23" x14ac:dyDescent="0.3">
      <c r="B217" s="3"/>
      <c r="C217" s="3"/>
      <c r="D217" s="3"/>
      <c r="E217" s="3"/>
      <c r="F217" s="3"/>
      <c r="G217" s="3"/>
      <c r="J217" s="3"/>
      <c r="K217" s="3"/>
      <c r="L217" s="3"/>
      <c r="M217" s="3"/>
      <c r="N217" s="3"/>
      <c r="O217" s="3"/>
      <c r="R217" s="3"/>
      <c r="S217" s="3"/>
      <c r="T217" s="3"/>
      <c r="U217" s="3"/>
      <c r="V217" s="3"/>
      <c r="W217" s="3"/>
    </row>
    <row r="218" spans="2:23" x14ac:dyDescent="0.3">
      <c r="B218" s="3"/>
      <c r="C218" s="3"/>
      <c r="D218" s="3"/>
      <c r="E218" s="3"/>
      <c r="F218" s="3"/>
      <c r="G218" s="3"/>
      <c r="J218" s="3"/>
      <c r="K218" s="3"/>
      <c r="L218" s="3"/>
      <c r="M218" s="3"/>
      <c r="N218" s="3"/>
      <c r="O218" s="3"/>
      <c r="R218" s="3"/>
      <c r="S218" s="3"/>
      <c r="T218" s="3"/>
      <c r="U218" s="3"/>
      <c r="V218" s="3"/>
      <c r="W218" s="3"/>
    </row>
    <row r="219" spans="2:23" x14ac:dyDescent="0.3">
      <c r="B219" s="3"/>
      <c r="C219" s="3"/>
      <c r="D219" s="3"/>
      <c r="E219" s="3"/>
      <c r="F219" s="3"/>
      <c r="G219" s="3"/>
      <c r="J219" s="3"/>
      <c r="K219" s="3"/>
      <c r="L219" s="3"/>
      <c r="M219" s="3"/>
      <c r="N219" s="3"/>
      <c r="O219" s="3"/>
      <c r="R219" s="3"/>
      <c r="S219" s="3"/>
      <c r="T219" s="3"/>
      <c r="U219" s="3"/>
      <c r="V219" s="3"/>
      <c r="W219" s="3"/>
    </row>
    <row r="220" spans="2:23" x14ac:dyDescent="0.3">
      <c r="B220" s="3"/>
      <c r="C220" s="3"/>
      <c r="D220" s="3"/>
      <c r="E220" s="3"/>
      <c r="F220" s="3"/>
      <c r="G220" s="3"/>
      <c r="J220" s="3"/>
      <c r="K220" s="3"/>
      <c r="L220" s="3"/>
      <c r="M220" s="3"/>
      <c r="N220" s="3"/>
      <c r="O220" s="3"/>
      <c r="R220" s="3"/>
      <c r="S220" s="3"/>
      <c r="T220" s="3"/>
      <c r="U220" s="3"/>
      <c r="V220" s="3"/>
      <c r="W220" s="3"/>
    </row>
    <row r="221" spans="2:23" x14ac:dyDescent="0.3">
      <c r="B221" s="3"/>
      <c r="C221" s="3"/>
      <c r="D221" s="3"/>
      <c r="E221" s="3"/>
      <c r="F221" s="3"/>
      <c r="G221" s="3"/>
      <c r="J221" s="3"/>
      <c r="K221" s="3"/>
      <c r="L221" s="3"/>
      <c r="M221" s="3"/>
      <c r="N221" s="3"/>
      <c r="O221" s="3"/>
      <c r="R221" s="3"/>
      <c r="S221" s="3"/>
      <c r="T221" s="3"/>
      <c r="U221" s="3"/>
      <c r="V221" s="3"/>
      <c r="W221" s="3"/>
    </row>
    <row r="222" spans="2:23" x14ac:dyDescent="0.3">
      <c r="B222" s="3"/>
      <c r="C222" s="3"/>
      <c r="D222" s="3"/>
      <c r="E222" s="3"/>
      <c r="F222" s="3"/>
      <c r="G222" s="3"/>
      <c r="J222" s="3"/>
      <c r="K222" s="3"/>
      <c r="L222" s="3"/>
      <c r="M222" s="3"/>
      <c r="N222" s="3"/>
      <c r="O222" s="3"/>
      <c r="R222" s="3"/>
      <c r="S222" s="3"/>
      <c r="T222" s="3"/>
      <c r="U222" s="3"/>
      <c r="V222" s="3"/>
      <c r="W222" s="3"/>
    </row>
    <row r="223" spans="2:23" x14ac:dyDescent="0.3">
      <c r="B223" s="3"/>
      <c r="C223" s="3"/>
      <c r="D223" s="3"/>
      <c r="E223" s="3"/>
      <c r="F223" s="3"/>
      <c r="G223" s="3"/>
      <c r="J223" s="3"/>
      <c r="K223" s="3"/>
      <c r="L223" s="3"/>
      <c r="M223" s="3"/>
      <c r="N223" s="3"/>
      <c r="O223" s="3"/>
      <c r="R223" s="3"/>
      <c r="S223" s="3"/>
      <c r="T223" s="3"/>
      <c r="U223" s="3"/>
      <c r="V223" s="3"/>
      <c r="W223" s="3"/>
    </row>
    <row r="224" spans="2:23" x14ac:dyDescent="0.3">
      <c r="B224" s="3"/>
      <c r="C224" s="3"/>
      <c r="D224" s="3"/>
      <c r="E224" s="3"/>
      <c r="F224" s="3"/>
      <c r="G224" s="3"/>
      <c r="J224" s="3"/>
      <c r="K224" s="3"/>
      <c r="L224" s="3"/>
      <c r="M224" s="3"/>
      <c r="N224" s="3"/>
      <c r="O224" s="3"/>
    </row>
    <row r="225" spans="2:15" x14ac:dyDescent="0.3">
      <c r="B225" s="3"/>
      <c r="C225" s="3"/>
      <c r="D225" s="3"/>
      <c r="E225" s="3"/>
      <c r="F225" s="3"/>
      <c r="G225" s="3"/>
      <c r="J225" s="3"/>
      <c r="K225" s="3"/>
      <c r="L225" s="3"/>
      <c r="M225" s="3"/>
      <c r="N225" s="3"/>
      <c r="O225" s="3"/>
    </row>
    <row r="226" spans="2:15" x14ac:dyDescent="0.3">
      <c r="B226" s="3"/>
      <c r="C226" s="3"/>
      <c r="D226" s="3"/>
      <c r="E226" s="3"/>
      <c r="F226" s="3"/>
      <c r="G226" s="3"/>
      <c r="J226" s="3"/>
      <c r="K226" s="3"/>
      <c r="L226" s="3"/>
      <c r="M226" s="3"/>
      <c r="N226" s="3"/>
      <c r="O226" s="3"/>
    </row>
    <row r="227" spans="2:15" x14ac:dyDescent="0.3">
      <c r="B227" s="3"/>
      <c r="C227" s="3"/>
      <c r="D227" s="3"/>
      <c r="E227" s="3"/>
      <c r="F227" s="3"/>
      <c r="G227" s="3"/>
      <c r="J227" s="3"/>
      <c r="K227" s="3"/>
      <c r="L227" s="3"/>
      <c r="M227" s="3"/>
      <c r="N227" s="3"/>
      <c r="O227" s="3"/>
    </row>
    <row r="228" spans="2:15" x14ac:dyDescent="0.3">
      <c r="B228" s="3"/>
      <c r="C228" s="3"/>
      <c r="D228" s="3"/>
      <c r="E228" s="3"/>
      <c r="F228" s="3"/>
      <c r="G228" s="3"/>
      <c r="J228" s="3"/>
      <c r="K228" s="3"/>
      <c r="L228" s="3"/>
      <c r="M228" s="3"/>
      <c r="N228" s="3"/>
      <c r="O228" s="3"/>
    </row>
    <row r="229" spans="2:15" x14ac:dyDescent="0.3">
      <c r="B229" s="3"/>
      <c r="C229" s="3"/>
      <c r="D229" s="3"/>
      <c r="E229" s="3"/>
      <c r="F229" s="3"/>
      <c r="G229" s="3"/>
      <c r="J229" s="3"/>
      <c r="K229" s="3"/>
      <c r="L229" s="3"/>
      <c r="M229" s="3"/>
      <c r="N229" s="3"/>
      <c r="O229" s="3"/>
    </row>
    <row r="230" spans="2:15" x14ac:dyDescent="0.3">
      <c r="B230" s="3"/>
      <c r="C230" s="3"/>
      <c r="D230" s="3"/>
      <c r="E230" s="3"/>
      <c r="F230" s="3"/>
      <c r="G230" s="3"/>
      <c r="J230" s="3"/>
      <c r="K230" s="3"/>
      <c r="L230" s="3"/>
      <c r="M230" s="3"/>
      <c r="N230" s="3"/>
      <c r="O230" s="3"/>
    </row>
    <row r="231" spans="2:15" x14ac:dyDescent="0.3">
      <c r="B231" s="3"/>
      <c r="C231" s="3"/>
      <c r="D231" s="3"/>
      <c r="E231" s="3"/>
      <c r="F231" s="3"/>
      <c r="G231" s="3"/>
      <c r="J231" s="3"/>
      <c r="K231" s="3"/>
      <c r="L231" s="3"/>
      <c r="M231" s="3"/>
      <c r="N231" s="3"/>
      <c r="O231" s="3"/>
    </row>
    <row r="232" spans="2:15" x14ac:dyDescent="0.3">
      <c r="B232" s="3"/>
      <c r="C232" s="3"/>
      <c r="D232" s="3"/>
      <c r="E232" s="3"/>
      <c r="F232" s="3"/>
      <c r="G232" s="3"/>
      <c r="J232" s="3"/>
      <c r="K232" s="3"/>
      <c r="L232" s="3"/>
      <c r="M232" s="3"/>
      <c r="N232" s="3"/>
      <c r="O232" s="3"/>
    </row>
    <row r="233" spans="2:15" x14ac:dyDescent="0.3">
      <c r="B233" s="3"/>
      <c r="C233" s="3"/>
      <c r="D233" s="3"/>
      <c r="E233" s="3"/>
      <c r="F233" s="3"/>
      <c r="G233" s="3"/>
      <c r="J233" s="3"/>
      <c r="K233" s="3"/>
      <c r="L233" s="3"/>
      <c r="M233" s="3"/>
      <c r="N233" s="3"/>
      <c r="O233" s="3"/>
    </row>
    <row r="234" spans="2:15" x14ac:dyDescent="0.3">
      <c r="B234" s="3"/>
      <c r="C234" s="3"/>
      <c r="D234" s="3"/>
      <c r="E234" s="3"/>
      <c r="F234" s="3"/>
      <c r="G234" s="3"/>
      <c r="J234" s="3"/>
      <c r="K234" s="3"/>
      <c r="L234" s="3"/>
      <c r="M234" s="3"/>
      <c r="N234" s="3"/>
      <c r="O234" s="3"/>
    </row>
    <row r="235" spans="2:15" x14ac:dyDescent="0.3">
      <c r="B235" s="3"/>
      <c r="C235" s="3"/>
      <c r="D235" s="3"/>
      <c r="E235" s="3"/>
      <c r="F235" s="3"/>
      <c r="G235" s="3"/>
      <c r="J235" s="3"/>
      <c r="K235" s="3"/>
      <c r="L235" s="3"/>
      <c r="M235" s="3"/>
      <c r="N235" s="3"/>
      <c r="O235" s="3"/>
    </row>
    <row r="236" spans="2:15" x14ac:dyDescent="0.3">
      <c r="B236" s="3"/>
      <c r="C236" s="3"/>
      <c r="D236" s="3"/>
      <c r="E236" s="3"/>
      <c r="F236" s="3"/>
      <c r="G236" s="3"/>
      <c r="J236" s="3"/>
      <c r="K236" s="3"/>
      <c r="L236" s="3"/>
      <c r="M236" s="3"/>
      <c r="N236" s="3"/>
      <c r="O236" s="3"/>
    </row>
    <row r="237" spans="2:15" x14ac:dyDescent="0.3">
      <c r="B237" s="3"/>
      <c r="C237" s="3"/>
      <c r="D237" s="3"/>
      <c r="E237" s="3"/>
      <c r="F237" s="3"/>
      <c r="G237" s="3"/>
      <c r="J237" s="3"/>
      <c r="K237" s="3"/>
      <c r="L237" s="3"/>
      <c r="M237" s="3"/>
      <c r="N237" s="3"/>
      <c r="O237" s="3"/>
    </row>
    <row r="238" spans="2:15" x14ac:dyDescent="0.3">
      <c r="B238" s="3"/>
      <c r="C238" s="3"/>
      <c r="D238" s="3"/>
      <c r="E238" s="3"/>
      <c r="F238" s="3"/>
      <c r="G238" s="3"/>
      <c r="J238" s="3"/>
      <c r="K238" s="3"/>
      <c r="L238" s="3"/>
      <c r="M238" s="3"/>
      <c r="N238" s="3"/>
      <c r="O238" s="3"/>
    </row>
    <row r="239" spans="2:15" x14ac:dyDescent="0.3">
      <c r="B239" s="3"/>
      <c r="C239" s="3"/>
      <c r="D239" s="3"/>
      <c r="E239" s="3"/>
      <c r="F239" s="3"/>
      <c r="G239" s="3"/>
      <c r="J239" s="3"/>
      <c r="K239" s="3"/>
      <c r="L239" s="3"/>
      <c r="M239" s="3"/>
      <c r="N239" s="3"/>
      <c r="O239" s="3"/>
    </row>
    <row r="240" spans="2:15" x14ac:dyDescent="0.3">
      <c r="B240" s="3"/>
      <c r="C240" s="3"/>
      <c r="D240" s="3"/>
      <c r="E240" s="3"/>
      <c r="F240" s="3"/>
      <c r="G240" s="3"/>
      <c r="J240" s="3"/>
      <c r="K240" s="3"/>
      <c r="L240" s="3"/>
      <c r="M240" s="3"/>
      <c r="N240" s="3"/>
      <c r="O240" s="3"/>
    </row>
    <row r="241" spans="2:15" x14ac:dyDescent="0.3">
      <c r="B241" s="3"/>
      <c r="C241" s="3"/>
      <c r="D241" s="3"/>
      <c r="E241" s="3"/>
      <c r="F241" s="3"/>
      <c r="G241" s="3"/>
      <c r="J241" s="3"/>
      <c r="K241" s="3"/>
      <c r="L241" s="3"/>
      <c r="M241" s="3"/>
      <c r="N241" s="3"/>
      <c r="O241" s="3"/>
    </row>
    <row r="242" spans="2:15" x14ac:dyDescent="0.3">
      <c r="B242" s="3"/>
      <c r="C242" s="3"/>
      <c r="D242" s="3"/>
      <c r="E242" s="3"/>
      <c r="F242" s="3"/>
      <c r="G242" s="3"/>
      <c r="J242" s="3"/>
      <c r="K242" s="3"/>
      <c r="L242" s="3"/>
      <c r="M242" s="3"/>
      <c r="N242" s="3"/>
      <c r="O242" s="3"/>
    </row>
    <row r="243" spans="2:15" x14ac:dyDescent="0.3">
      <c r="B243" s="3"/>
      <c r="C243" s="3"/>
      <c r="D243" s="3"/>
      <c r="E243" s="3"/>
      <c r="F243" s="3"/>
      <c r="G243" s="3"/>
      <c r="J243" s="3"/>
      <c r="K243" s="3"/>
      <c r="L243" s="3"/>
      <c r="M243" s="3"/>
      <c r="N243" s="3"/>
      <c r="O243" s="3"/>
    </row>
    <row r="244" spans="2:15" x14ac:dyDescent="0.3">
      <c r="B244" s="3"/>
      <c r="C244" s="3"/>
      <c r="D244" s="3"/>
      <c r="E244" s="3"/>
      <c r="F244" s="3"/>
      <c r="G244" s="3"/>
      <c r="J244" s="3"/>
      <c r="K244" s="3"/>
      <c r="L244" s="3"/>
      <c r="M244" s="3"/>
      <c r="N244" s="3"/>
      <c r="O244" s="3"/>
    </row>
    <row r="245" spans="2:15" x14ac:dyDescent="0.3">
      <c r="B245" s="3"/>
      <c r="C245" s="3"/>
      <c r="D245" s="3"/>
      <c r="E245" s="3"/>
      <c r="F245" s="3"/>
      <c r="G245" s="3"/>
      <c r="J245" s="3"/>
      <c r="K245" s="3"/>
      <c r="L245" s="3"/>
      <c r="M245" s="3"/>
      <c r="N245" s="3"/>
      <c r="O245" s="3"/>
    </row>
    <row r="246" spans="2:15" x14ac:dyDescent="0.3">
      <c r="B246" s="3"/>
      <c r="C246" s="3"/>
      <c r="D246" s="3"/>
      <c r="E246" s="3"/>
      <c r="F246" s="3"/>
      <c r="G246" s="3"/>
      <c r="J246" s="3"/>
      <c r="K246" s="3"/>
      <c r="L246" s="3"/>
      <c r="M246" s="3"/>
      <c r="N246" s="3"/>
      <c r="O246" s="3"/>
    </row>
    <row r="247" spans="2:15" x14ac:dyDescent="0.3">
      <c r="B247" s="3"/>
      <c r="C247" s="3"/>
      <c r="D247" s="3"/>
      <c r="E247" s="3"/>
      <c r="F247" s="3"/>
      <c r="G247" s="3"/>
      <c r="J247" s="3"/>
      <c r="K247" s="3"/>
      <c r="L247" s="3"/>
      <c r="M247" s="3"/>
      <c r="N247" s="3"/>
      <c r="O247" s="3"/>
    </row>
    <row r="248" spans="2:15" x14ac:dyDescent="0.3">
      <c r="B248" s="3"/>
      <c r="C248" s="3"/>
      <c r="D248" s="3"/>
      <c r="E248" s="3"/>
      <c r="F248" s="3"/>
      <c r="G248" s="3"/>
      <c r="J248" s="3"/>
      <c r="K248" s="3"/>
      <c r="L248" s="3"/>
      <c r="M248" s="3"/>
      <c r="N248" s="3"/>
      <c r="O248" s="3"/>
    </row>
    <row r="249" spans="2:15" x14ac:dyDescent="0.3">
      <c r="B249" s="3"/>
      <c r="C249" s="3"/>
      <c r="D249" s="3"/>
      <c r="E249" s="3"/>
      <c r="F249" s="3"/>
      <c r="G249" s="3"/>
      <c r="J249" s="3"/>
      <c r="K249" s="3"/>
      <c r="L249" s="3"/>
      <c r="M249" s="3"/>
      <c r="N249" s="3"/>
      <c r="O249" s="3"/>
    </row>
    <row r="250" spans="2:15" x14ac:dyDescent="0.3">
      <c r="B250" s="3"/>
      <c r="C250" s="3"/>
      <c r="D250" s="3"/>
      <c r="E250" s="3"/>
      <c r="F250" s="3"/>
      <c r="G250" s="3"/>
      <c r="J250" s="3"/>
      <c r="K250" s="3"/>
      <c r="L250" s="3"/>
      <c r="M250" s="3"/>
      <c r="N250" s="3"/>
      <c r="O250" s="3"/>
    </row>
    <row r="251" spans="2:15" x14ac:dyDescent="0.3">
      <c r="B251" s="3"/>
      <c r="C251" s="3"/>
      <c r="D251" s="3"/>
      <c r="E251" s="3"/>
      <c r="F251" s="3"/>
      <c r="G251" s="3"/>
      <c r="J251" s="3"/>
      <c r="K251" s="3"/>
      <c r="L251" s="3"/>
      <c r="M251" s="3"/>
      <c r="N251" s="3"/>
      <c r="O251" s="3"/>
    </row>
    <row r="252" spans="2:15" x14ac:dyDescent="0.3">
      <c r="B252" s="3"/>
      <c r="C252" s="3"/>
      <c r="D252" s="3"/>
      <c r="E252" s="3"/>
      <c r="F252" s="3"/>
      <c r="G252" s="3"/>
      <c r="J252" s="3"/>
      <c r="K252" s="3"/>
      <c r="L252" s="3"/>
      <c r="M252" s="3"/>
      <c r="N252" s="3"/>
      <c r="O252" s="3"/>
    </row>
    <row r="253" spans="2:15" x14ac:dyDescent="0.3">
      <c r="B253" s="3"/>
      <c r="C253" s="3"/>
      <c r="D253" s="3"/>
      <c r="E253" s="3"/>
      <c r="F253" s="3"/>
      <c r="G253" s="3"/>
      <c r="J253" s="3"/>
      <c r="K253" s="3"/>
      <c r="L253" s="3"/>
      <c r="M253" s="3"/>
      <c r="N253" s="3"/>
      <c r="O253" s="3"/>
    </row>
    <row r="254" spans="2:15" x14ac:dyDescent="0.3">
      <c r="B254" s="3"/>
      <c r="C254" s="3"/>
      <c r="D254" s="3"/>
      <c r="E254" s="3"/>
      <c r="F254" s="3"/>
      <c r="G254" s="3"/>
      <c r="J254" s="3"/>
      <c r="K254" s="3"/>
      <c r="L254" s="3"/>
      <c r="M254" s="3"/>
      <c r="N254" s="3"/>
      <c r="O254" s="3"/>
    </row>
    <row r="255" spans="2:15" x14ac:dyDescent="0.3">
      <c r="B255" s="3"/>
      <c r="C255" s="3"/>
      <c r="D255" s="3"/>
      <c r="E255" s="3"/>
      <c r="F255" s="3"/>
      <c r="G255" s="3"/>
      <c r="J255" s="3"/>
      <c r="K255" s="3"/>
      <c r="L255" s="3"/>
      <c r="M255" s="3"/>
      <c r="N255" s="3"/>
      <c r="O255" s="3"/>
    </row>
    <row r="256" spans="2:15" x14ac:dyDescent="0.3">
      <c r="B256" s="3"/>
      <c r="C256" s="3"/>
      <c r="D256" s="3"/>
      <c r="E256" s="3"/>
      <c r="F256" s="3"/>
      <c r="G256" s="3"/>
      <c r="J256" s="3"/>
      <c r="K256" s="3"/>
      <c r="L256" s="3"/>
      <c r="M256" s="3"/>
      <c r="N256" s="3"/>
      <c r="O256" s="3"/>
    </row>
    <row r="257" spans="2:15" x14ac:dyDescent="0.3">
      <c r="B257" s="3"/>
      <c r="C257" s="3"/>
      <c r="D257" s="3"/>
      <c r="E257" s="3"/>
      <c r="F257" s="3"/>
      <c r="G257" s="3"/>
      <c r="J257" s="3"/>
      <c r="K257" s="3"/>
      <c r="L257" s="3"/>
      <c r="M257" s="3"/>
      <c r="N257" s="3"/>
      <c r="O257" s="3"/>
    </row>
    <row r="258" spans="2:15" x14ac:dyDescent="0.3">
      <c r="B258" s="3"/>
      <c r="C258" s="3"/>
      <c r="D258" s="3"/>
      <c r="E258" s="3"/>
      <c r="F258" s="3"/>
      <c r="G258" s="3"/>
      <c r="J258" s="3"/>
      <c r="K258" s="3"/>
      <c r="L258" s="3"/>
      <c r="M258" s="3"/>
      <c r="N258" s="3"/>
      <c r="O258" s="3"/>
    </row>
    <row r="259" spans="2:15" x14ac:dyDescent="0.3">
      <c r="B259" s="3"/>
      <c r="C259" s="3"/>
      <c r="D259" s="3"/>
      <c r="E259" s="3"/>
      <c r="F259" s="3"/>
      <c r="G259" s="3"/>
      <c r="J259" s="3"/>
      <c r="K259" s="3"/>
      <c r="L259" s="3"/>
      <c r="M259" s="3"/>
      <c r="N259" s="3"/>
      <c r="O259" s="3"/>
    </row>
    <row r="260" spans="2:15" x14ac:dyDescent="0.3">
      <c r="B260" s="3"/>
      <c r="C260" s="3"/>
      <c r="D260" s="3"/>
      <c r="E260" s="3"/>
      <c r="F260" s="3"/>
      <c r="G260" s="3"/>
      <c r="J260" s="3"/>
      <c r="K260" s="3"/>
      <c r="L260" s="3"/>
      <c r="M260" s="3"/>
      <c r="N260" s="3"/>
      <c r="O260" s="3"/>
    </row>
    <row r="261" spans="2:15" x14ac:dyDescent="0.3">
      <c r="B261" s="3"/>
      <c r="C261" s="3"/>
      <c r="D261" s="3"/>
      <c r="E261" s="3"/>
      <c r="F261" s="3"/>
      <c r="G261" s="3"/>
      <c r="J261" s="3"/>
      <c r="K261" s="3"/>
      <c r="L261" s="3"/>
      <c r="M261" s="3"/>
      <c r="N261" s="3"/>
      <c r="O261" s="3"/>
    </row>
    <row r="262" spans="2:15" x14ac:dyDescent="0.3">
      <c r="B262" s="3"/>
      <c r="C262" s="3"/>
      <c r="D262" s="3"/>
      <c r="E262" s="3"/>
      <c r="F262" s="3"/>
      <c r="G262" s="3"/>
      <c r="J262" s="3"/>
      <c r="K262" s="3"/>
      <c r="L262" s="3"/>
      <c r="M262" s="3"/>
      <c r="N262" s="3"/>
      <c r="O262" s="3"/>
    </row>
    <row r="263" spans="2:15" x14ac:dyDescent="0.3">
      <c r="B263" s="3"/>
      <c r="C263" s="3"/>
      <c r="D263" s="3"/>
      <c r="E263" s="3"/>
      <c r="F263" s="3"/>
      <c r="G263" s="3"/>
      <c r="J263" s="3"/>
      <c r="K263" s="3"/>
      <c r="L263" s="3"/>
      <c r="M263" s="3"/>
      <c r="N263" s="3"/>
      <c r="O263" s="3"/>
    </row>
    <row r="264" spans="2:15" x14ac:dyDescent="0.3">
      <c r="B264" s="3"/>
      <c r="C264" s="3"/>
      <c r="D264" s="3"/>
      <c r="E264" s="3"/>
      <c r="F264" s="3"/>
      <c r="G264" s="3"/>
      <c r="J264" s="3"/>
      <c r="K264" s="3"/>
      <c r="L264" s="3"/>
      <c r="M264" s="3"/>
      <c r="N264" s="3"/>
      <c r="O264" s="3"/>
    </row>
    <row r="265" spans="2:15" x14ac:dyDescent="0.3">
      <c r="B265" s="3"/>
      <c r="C265" s="3"/>
      <c r="D265" s="3"/>
      <c r="E265" s="3"/>
      <c r="F265" s="3"/>
      <c r="G265" s="3"/>
      <c r="J265" s="3"/>
      <c r="K265" s="3"/>
      <c r="L265" s="3"/>
      <c r="M265" s="3"/>
      <c r="N265" s="3"/>
      <c r="O265" s="3"/>
    </row>
    <row r="266" spans="2:15" x14ac:dyDescent="0.3">
      <c r="B266" s="3"/>
      <c r="C266" s="3"/>
      <c r="D266" s="3"/>
      <c r="E266" s="3"/>
      <c r="F266" s="3"/>
      <c r="G266" s="3"/>
      <c r="J266" s="3"/>
      <c r="K266" s="3"/>
      <c r="L266" s="3"/>
      <c r="M266" s="3"/>
      <c r="N266" s="3"/>
      <c r="O266" s="3"/>
    </row>
    <row r="267" spans="2:15" x14ac:dyDescent="0.3">
      <c r="B267" s="3"/>
      <c r="C267" s="3"/>
      <c r="D267" s="3"/>
      <c r="E267" s="3"/>
      <c r="F267" s="3"/>
      <c r="G267" s="3"/>
      <c r="J267" s="3"/>
      <c r="K267" s="3"/>
      <c r="L267" s="3"/>
      <c r="M267" s="3"/>
      <c r="N267" s="3"/>
      <c r="O267" s="3"/>
    </row>
    <row r="268" spans="2:15" x14ac:dyDescent="0.3">
      <c r="B268" s="3"/>
      <c r="C268" s="3"/>
      <c r="D268" s="3"/>
      <c r="E268" s="3"/>
      <c r="F268" s="3"/>
      <c r="G268" s="3"/>
      <c r="J268" s="3"/>
      <c r="K268" s="3"/>
      <c r="L268" s="3"/>
      <c r="M268" s="3"/>
      <c r="N268" s="3"/>
      <c r="O268" s="3"/>
    </row>
    <row r="269" spans="2:15" x14ac:dyDescent="0.3">
      <c r="B269" s="3"/>
      <c r="C269" s="3"/>
      <c r="D269" s="3"/>
      <c r="E269" s="3"/>
      <c r="F269" s="3"/>
      <c r="G269" s="3"/>
      <c r="J269" s="3"/>
      <c r="K269" s="3"/>
      <c r="L269" s="3"/>
      <c r="M269" s="3"/>
      <c r="N269" s="3"/>
      <c r="O269" s="3"/>
    </row>
    <row r="270" spans="2:15" x14ac:dyDescent="0.3">
      <c r="B270" s="3"/>
      <c r="C270" s="3"/>
      <c r="D270" s="3"/>
      <c r="E270" s="3"/>
      <c r="F270" s="3"/>
      <c r="G270" s="3"/>
      <c r="J270" s="3"/>
      <c r="K270" s="3"/>
      <c r="L270" s="3"/>
      <c r="M270" s="3"/>
      <c r="N270" s="3"/>
      <c r="O270" s="3"/>
    </row>
    <row r="271" spans="2:15" x14ac:dyDescent="0.3">
      <c r="B271" s="3"/>
      <c r="C271" s="3"/>
      <c r="D271" s="3"/>
      <c r="E271" s="3"/>
      <c r="F271" s="3"/>
      <c r="G271" s="3"/>
      <c r="J271" s="3"/>
      <c r="K271" s="3"/>
      <c r="L271" s="3"/>
      <c r="M271" s="3"/>
      <c r="N271" s="3"/>
      <c r="O271" s="3"/>
    </row>
    <row r="272" spans="2:15" x14ac:dyDescent="0.3">
      <c r="B272" s="3"/>
      <c r="C272" s="3"/>
      <c r="D272" s="3"/>
      <c r="E272" s="3"/>
      <c r="F272" s="3"/>
      <c r="G272" s="3"/>
      <c r="J272" s="3"/>
      <c r="K272" s="3"/>
      <c r="L272" s="3"/>
      <c r="M272" s="3"/>
      <c r="N272" s="3"/>
      <c r="O272" s="3"/>
    </row>
    <row r="273" spans="2:15" x14ac:dyDescent="0.3">
      <c r="B273" s="3"/>
      <c r="C273" s="3"/>
      <c r="D273" s="3"/>
      <c r="E273" s="3"/>
      <c r="F273" s="3"/>
      <c r="G273" s="3"/>
      <c r="J273" s="3"/>
      <c r="K273" s="3"/>
      <c r="L273" s="3"/>
      <c r="M273" s="3"/>
      <c r="N273" s="3"/>
      <c r="O273" s="3"/>
    </row>
    <row r="274" spans="2:15" x14ac:dyDescent="0.3">
      <c r="B274" s="3"/>
      <c r="C274" s="3"/>
      <c r="D274" s="3"/>
      <c r="E274" s="3"/>
      <c r="F274" s="3"/>
      <c r="G274" s="3"/>
      <c r="J274" s="3"/>
      <c r="K274" s="3"/>
      <c r="L274" s="3"/>
      <c r="M274" s="3"/>
      <c r="N274" s="3"/>
      <c r="O274" s="3"/>
    </row>
    <row r="275" spans="2:15" x14ac:dyDescent="0.3">
      <c r="B275" s="3"/>
      <c r="C275" s="3"/>
      <c r="D275" s="3"/>
      <c r="E275" s="3"/>
      <c r="F275" s="3"/>
      <c r="G275" s="3"/>
      <c r="J275" s="3"/>
      <c r="K275" s="3"/>
      <c r="L275" s="3"/>
      <c r="M275" s="3"/>
      <c r="N275" s="3"/>
      <c r="O275" s="3"/>
    </row>
    <row r="276" spans="2:15" x14ac:dyDescent="0.3">
      <c r="B276" s="3"/>
      <c r="C276" s="3"/>
      <c r="D276" s="3"/>
      <c r="E276" s="3"/>
      <c r="F276" s="3"/>
      <c r="G276" s="3"/>
      <c r="J276" s="3"/>
      <c r="K276" s="3"/>
      <c r="L276" s="3"/>
      <c r="M276" s="3"/>
      <c r="N276" s="3"/>
      <c r="O276" s="3"/>
    </row>
    <row r="277" spans="2:15" x14ac:dyDescent="0.3">
      <c r="B277" s="3"/>
      <c r="C277" s="3"/>
      <c r="D277" s="3"/>
      <c r="E277" s="3"/>
      <c r="F277" s="3"/>
      <c r="G277" s="3"/>
      <c r="J277" s="3"/>
      <c r="K277" s="3"/>
      <c r="L277" s="3"/>
      <c r="M277" s="3"/>
      <c r="N277" s="3"/>
      <c r="O277" s="3"/>
    </row>
    <row r="278" spans="2:15" x14ac:dyDescent="0.3">
      <c r="B278" s="3"/>
      <c r="C278" s="3"/>
      <c r="D278" s="3"/>
      <c r="E278" s="3"/>
      <c r="F278" s="3"/>
      <c r="G278" s="3"/>
      <c r="J278" s="3"/>
      <c r="K278" s="3"/>
      <c r="L278" s="3"/>
      <c r="M278" s="3"/>
      <c r="N278" s="3"/>
      <c r="O278" s="3"/>
    </row>
    <row r="279" spans="2:15" x14ac:dyDescent="0.3">
      <c r="B279" s="3"/>
      <c r="C279" s="3"/>
      <c r="D279" s="3"/>
      <c r="E279" s="3"/>
      <c r="F279" s="3"/>
      <c r="G279" s="3"/>
      <c r="J279" s="3"/>
      <c r="K279" s="3"/>
      <c r="L279" s="3"/>
      <c r="M279" s="3"/>
      <c r="N279" s="3"/>
      <c r="O279" s="3"/>
    </row>
    <row r="280" spans="2:15" x14ac:dyDescent="0.3">
      <c r="B280" s="3"/>
      <c r="C280" s="3"/>
      <c r="D280" s="3"/>
      <c r="E280" s="3"/>
      <c r="F280" s="3"/>
      <c r="G280" s="3"/>
      <c r="J280" s="3"/>
      <c r="K280" s="3"/>
      <c r="L280" s="3"/>
      <c r="M280" s="3"/>
      <c r="N280" s="3"/>
      <c r="O280" s="3"/>
    </row>
    <row r="281" spans="2:15" x14ac:dyDescent="0.3">
      <c r="B281" s="3"/>
      <c r="C281" s="3"/>
      <c r="D281" s="3"/>
      <c r="E281" s="3"/>
      <c r="F281" s="3"/>
      <c r="G281" s="3"/>
      <c r="J281" s="3"/>
      <c r="K281" s="3"/>
      <c r="L281" s="3"/>
      <c r="M281" s="3"/>
      <c r="N281" s="3"/>
      <c r="O281" s="3"/>
    </row>
    <row r="282" spans="2:15" x14ac:dyDescent="0.3">
      <c r="B282" s="3"/>
      <c r="C282" s="3"/>
      <c r="D282" s="3"/>
      <c r="E282" s="3"/>
      <c r="F282" s="3"/>
      <c r="G282" s="3"/>
      <c r="J282" s="3"/>
      <c r="K282" s="3"/>
      <c r="L282" s="3"/>
      <c r="M282" s="3"/>
      <c r="N282" s="3"/>
      <c r="O282" s="3"/>
    </row>
    <row r="283" spans="2:15" x14ac:dyDescent="0.3">
      <c r="B283" s="3"/>
      <c r="C283" s="3"/>
      <c r="D283" s="3"/>
      <c r="E283" s="3"/>
      <c r="F283" s="3"/>
      <c r="G283" s="3"/>
      <c r="J283" s="3"/>
      <c r="K283" s="3"/>
      <c r="L283" s="3"/>
      <c r="M283" s="3"/>
      <c r="N283" s="3"/>
      <c r="O283" s="3"/>
    </row>
    <row r="284" spans="2:15" x14ac:dyDescent="0.3">
      <c r="B284" s="3"/>
      <c r="C284" s="3"/>
      <c r="D284" s="3"/>
      <c r="E284" s="3"/>
      <c r="F284" s="3"/>
      <c r="G284" s="3"/>
      <c r="J284" s="3"/>
      <c r="K284" s="3"/>
      <c r="L284" s="3"/>
      <c r="M284" s="3"/>
      <c r="N284" s="3"/>
      <c r="O284" s="3"/>
    </row>
    <row r="285" spans="2:15" x14ac:dyDescent="0.3">
      <c r="B285" s="3"/>
      <c r="C285" s="3"/>
      <c r="D285" s="3"/>
      <c r="E285" s="3"/>
      <c r="F285" s="3"/>
      <c r="G285" s="3"/>
      <c r="J285" s="3"/>
      <c r="K285" s="3"/>
      <c r="L285" s="3"/>
      <c r="M285" s="3"/>
      <c r="N285" s="3"/>
      <c r="O285" s="3"/>
    </row>
    <row r="286" spans="2:15" x14ac:dyDescent="0.3">
      <c r="B286" s="3"/>
      <c r="C286" s="3"/>
      <c r="D286" s="3"/>
      <c r="E286" s="3"/>
      <c r="F286" s="3"/>
      <c r="G286" s="3"/>
      <c r="J286" s="3"/>
      <c r="K286" s="3"/>
      <c r="L286" s="3"/>
      <c r="M286" s="3"/>
      <c r="N286" s="3"/>
      <c r="O286" s="3"/>
    </row>
    <row r="287" spans="2:15" x14ac:dyDescent="0.3">
      <c r="B287" s="3"/>
      <c r="C287" s="3"/>
      <c r="D287" s="3"/>
      <c r="E287" s="3"/>
      <c r="F287" s="3"/>
      <c r="G287" s="3"/>
    </row>
    <row r="288" spans="2:15" x14ac:dyDescent="0.3">
      <c r="B288" s="3"/>
      <c r="C288" s="3"/>
      <c r="D288" s="3"/>
      <c r="E288" s="3"/>
      <c r="F288" s="3"/>
      <c r="G288" s="3"/>
    </row>
    <row r="289" spans="2:7" x14ac:dyDescent="0.3">
      <c r="B289" s="3"/>
      <c r="C289" s="3"/>
      <c r="D289" s="3"/>
      <c r="E289" s="3"/>
      <c r="F289" s="3"/>
      <c r="G289" s="3"/>
    </row>
    <row r="290" spans="2:7" x14ac:dyDescent="0.3">
      <c r="B290" s="3"/>
      <c r="C290" s="3"/>
      <c r="D290" s="3"/>
      <c r="E290" s="3"/>
      <c r="F290" s="3"/>
      <c r="G290" s="3"/>
    </row>
    <row r="291" spans="2:7" x14ac:dyDescent="0.3">
      <c r="B291" s="3"/>
      <c r="C291" s="3"/>
      <c r="D291" s="3"/>
      <c r="E291" s="3"/>
      <c r="F291" s="3"/>
      <c r="G291" s="3"/>
    </row>
  </sheetData>
  <mergeCells count="33">
    <mergeCell ref="AG1:AK1"/>
    <mergeCell ref="AL1:AM1"/>
    <mergeCell ref="AO1:AS1"/>
    <mergeCell ref="AT1:AU1"/>
    <mergeCell ref="A1:E1"/>
    <mergeCell ref="F1:G1"/>
    <mergeCell ref="I1:M1"/>
    <mergeCell ref="N1:O1"/>
    <mergeCell ref="Q1:U1"/>
    <mergeCell ref="V1:W1"/>
    <mergeCell ref="A3:G3"/>
    <mergeCell ref="A7:G7"/>
    <mergeCell ref="A20:G20"/>
    <mergeCell ref="Y1:AC1"/>
    <mergeCell ref="AD1:AE1"/>
    <mergeCell ref="I3:O3"/>
    <mergeCell ref="I7:O7"/>
    <mergeCell ref="Q3:W3"/>
    <mergeCell ref="Q9:W9"/>
    <mergeCell ref="Q10:W10"/>
    <mergeCell ref="Q36:W36"/>
    <mergeCell ref="Y3:AE3"/>
    <mergeCell ref="Y7:AE7"/>
    <mergeCell ref="Y21:AE21"/>
    <mergeCell ref="AG3:AM3"/>
    <mergeCell ref="AG7:AM7"/>
    <mergeCell ref="AG22:AM22"/>
    <mergeCell ref="Q24:W24"/>
    <mergeCell ref="I21:O21"/>
    <mergeCell ref="AO3:AU3"/>
    <mergeCell ref="AO9:AU9"/>
    <mergeCell ref="AO27:AU27"/>
    <mergeCell ref="AO22:AU2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78FEE-A06E-43D3-AFD1-B4E814736447}">
  <dimension ref="A1:AU102"/>
  <sheetViews>
    <sheetView topLeftCell="AO34" workbookViewId="0">
      <selection activeCell="AO57" sqref="AO57"/>
    </sheetView>
  </sheetViews>
  <sheetFormatPr defaultRowHeight="14.4" x14ac:dyDescent="0.3"/>
  <cols>
    <col min="1" max="1" width="53.44140625" style="2" bestFit="1" customWidth="1"/>
    <col min="2" max="3" width="10.44140625" style="2" bestFit="1" customWidth="1"/>
    <col min="4" max="4" width="10.5546875" style="2" bestFit="1" customWidth="1"/>
    <col min="5" max="5" width="10.88671875" style="2" bestFit="1" customWidth="1"/>
    <col min="6" max="7" width="11" style="2" bestFit="1" customWidth="1"/>
    <col min="8" max="8" width="8.88671875" style="2"/>
    <col min="9" max="9" width="57.109375" style="2" bestFit="1" customWidth="1"/>
    <col min="10" max="11" width="11.5546875" style="3" bestFit="1" customWidth="1"/>
    <col min="12" max="15" width="11" style="3" bestFit="1" customWidth="1"/>
    <col min="16" max="16" width="8.88671875" style="2"/>
    <col min="17" max="17" width="56.6640625" style="2" bestFit="1" customWidth="1"/>
    <col min="18" max="23" width="11" style="3" bestFit="1" customWidth="1"/>
    <col min="24" max="24" width="8.88671875" style="2"/>
    <col min="25" max="25" width="51.44140625" style="2" bestFit="1" customWidth="1"/>
    <col min="26" max="28" width="10" style="3" bestFit="1" customWidth="1"/>
    <col min="29" max="30" width="9.88671875" style="3" bestFit="1" customWidth="1"/>
    <col min="31" max="32" width="8.88671875" style="2"/>
    <col min="33" max="33" width="50.44140625" style="2" bestFit="1" customWidth="1"/>
    <col min="34" max="35" width="9.88671875" style="3" bestFit="1" customWidth="1"/>
    <col min="36" max="39" width="10" style="3" bestFit="1" customWidth="1"/>
    <col min="40" max="40" width="8.88671875" style="2"/>
    <col min="41" max="41" width="62.5546875" style="2" bestFit="1" customWidth="1"/>
    <col min="42" max="46" width="9.88671875" style="3" bestFit="1" customWidth="1"/>
    <col min="47" max="16384" width="8.88671875" style="2"/>
  </cols>
  <sheetData>
    <row r="1" spans="1:47" ht="43.2" customHeight="1" x14ac:dyDescent="0.3">
      <c r="A1" s="189" t="s">
        <v>209</v>
      </c>
      <c r="B1" s="189"/>
      <c r="C1" s="189"/>
      <c r="D1" s="189"/>
      <c r="E1" s="189"/>
      <c r="F1" s="190" t="e" vm="1">
        <v>#VALUE!</v>
      </c>
      <c r="G1" s="190"/>
      <c r="I1" s="189" t="s">
        <v>209</v>
      </c>
      <c r="J1" s="189"/>
      <c r="K1" s="189"/>
      <c r="L1" s="189"/>
      <c r="M1" s="189"/>
      <c r="N1" s="190" t="e" vm="2">
        <v>#VALUE!</v>
      </c>
      <c r="O1" s="190"/>
      <c r="Q1" s="189" t="s">
        <v>209</v>
      </c>
      <c r="R1" s="189"/>
      <c r="S1" s="189"/>
      <c r="T1" s="189"/>
      <c r="U1" s="189"/>
      <c r="V1" s="190" t="e" vm="3">
        <v>#VALUE!</v>
      </c>
      <c r="W1" s="190"/>
      <c r="Y1" s="189" t="s">
        <v>209</v>
      </c>
      <c r="Z1" s="189"/>
      <c r="AA1" s="189"/>
      <c r="AB1" s="189"/>
      <c r="AC1" s="189"/>
      <c r="AD1" s="190" t="e" vm="4">
        <v>#VALUE!</v>
      </c>
      <c r="AE1" s="190"/>
      <c r="AG1" s="189" t="s">
        <v>209</v>
      </c>
      <c r="AH1" s="189"/>
      <c r="AI1" s="189"/>
      <c r="AJ1" s="189"/>
      <c r="AK1" s="189"/>
      <c r="AL1" s="190" t="e" vm="5">
        <v>#VALUE!</v>
      </c>
      <c r="AM1" s="190"/>
      <c r="AO1" s="189" t="s">
        <v>209</v>
      </c>
      <c r="AP1" s="189"/>
      <c r="AQ1" s="189"/>
      <c r="AR1" s="189"/>
      <c r="AS1" s="189"/>
      <c r="AT1" s="190" t="e" vm="6">
        <v>#VALUE!</v>
      </c>
      <c r="AU1" s="190"/>
    </row>
    <row r="2" spans="1:47" x14ac:dyDescent="0.3">
      <c r="A2" s="54" t="s">
        <v>0</v>
      </c>
      <c r="B2" s="52">
        <v>2020</v>
      </c>
      <c r="C2" s="52">
        <v>2021</v>
      </c>
      <c r="D2" s="52">
        <v>2022</v>
      </c>
      <c r="E2" s="52">
        <v>2023</v>
      </c>
      <c r="F2" s="52">
        <v>2024</v>
      </c>
      <c r="G2" s="52">
        <v>2025</v>
      </c>
      <c r="I2" s="1" t="s">
        <v>0</v>
      </c>
      <c r="J2" s="52">
        <v>2020</v>
      </c>
      <c r="K2" s="52">
        <v>2021</v>
      </c>
      <c r="L2" s="52">
        <v>2022</v>
      </c>
      <c r="M2" s="52">
        <v>2023</v>
      </c>
      <c r="N2" s="52">
        <v>2024</v>
      </c>
      <c r="O2" s="52">
        <v>2025</v>
      </c>
      <c r="Q2" s="1" t="s">
        <v>0</v>
      </c>
      <c r="R2" s="52">
        <v>2020</v>
      </c>
      <c r="S2" s="52">
        <v>2021</v>
      </c>
      <c r="T2" s="52">
        <v>2022</v>
      </c>
      <c r="U2" s="52">
        <v>2023</v>
      </c>
      <c r="V2" s="52">
        <v>2024</v>
      </c>
      <c r="W2" s="52">
        <v>2025</v>
      </c>
      <c r="Y2" s="1" t="s">
        <v>0</v>
      </c>
      <c r="Z2" s="52">
        <v>2020</v>
      </c>
      <c r="AA2" s="52">
        <v>2021</v>
      </c>
      <c r="AB2" s="52">
        <v>2022</v>
      </c>
      <c r="AC2" s="52">
        <v>2023</v>
      </c>
      <c r="AD2" s="52">
        <v>2024</v>
      </c>
      <c r="AE2" s="52" t="s">
        <v>80</v>
      </c>
      <c r="AG2" s="1" t="s">
        <v>0</v>
      </c>
      <c r="AH2" s="52">
        <v>2020</v>
      </c>
      <c r="AI2" s="52">
        <v>2021</v>
      </c>
      <c r="AJ2" s="52">
        <v>2022</v>
      </c>
      <c r="AK2" s="52">
        <v>2023</v>
      </c>
      <c r="AL2" s="52">
        <v>2024</v>
      </c>
      <c r="AM2" s="52">
        <v>2025</v>
      </c>
      <c r="AO2" s="1" t="s">
        <v>0</v>
      </c>
      <c r="AP2" s="52">
        <v>2020</v>
      </c>
      <c r="AQ2" s="52">
        <v>2021</v>
      </c>
      <c r="AR2" s="52">
        <v>2022</v>
      </c>
      <c r="AS2" s="52">
        <v>2023</v>
      </c>
      <c r="AT2" s="52">
        <v>2024</v>
      </c>
      <c r="AU2" s="52" t="s">
        <v>80</v>
      </c>
    </row>
    <row r="3" spans="1:47" x14ac:dyDescent="0.3">
      <c r="A3" s="201" t="s">
        <v>210</v>
      </c>
      <c r="B3" s="201"/>
      <c r="C3" s="201"/>
      <c r="D3" s="201"/>
      <c r="E3" s="201"/>
      <c r="F3" s="201"/>
      <c r="G3" s="201"/>
      <c r="I3" s="201" t="s">
        <v>210</v>
      </c>
      <c r="J3" s="201"/>
      <c r="K3" s="201"/>
      <c r="L3" s="201"/>
      <c r="M3" s="201"/>
      <c r="N3" s="201"/>
      <c r="O3" s="201"/>
      <c r="Q3" s="201" t="s">
        <v>311</v>
      </c>
      <c r="R3" s="201"/>
      <c r="S3" s="201"/>
      <c r="T3" s="201"/>
      <c r="U3" s="201"/>
      <c r="V3" s="201"/>
      <c r="W3" s="201"/>
      <c r="Y3" s="201" t="s">
        <v>364</v>
      </c>
      <c r="Z3" s="201"/>
      <c r="AA3" s="201"/>
      <c r="AB3" s="201"/>
      <c r="AC3" s="201"/>
      <c r="AD3" s="201"/>
      <c r="AE3" s="201"/>
      <c r="AG3" s="201" t="s">
        <v>210</v>
      </c>
      <c r="AH3" s="201"/>
      <c r="AI3" s="201"/>
      <c r="AJ3" s="201"/>
      <c r="AK3" s="201"/>
      <c r="AL3" s="201"/>
      <c r="AM3" s="201"/>
      <c r="AO3" s="201" t="s">
        <v>311</v>
      </c>
      <c r="AP3" s="201"/>
      <c r="AQ3" s="201"/>
      <c r="AR3" s="201"/>
      <c r="AS3" s="201"/>
      <c r="AT3" s="201"/>
      <c r="AU3" s="201"/>
    </row>
    <row r="4" spans="1:47" x14ac:dyDescent="0.3">
      <c r="A4" s="60" t="s">
        <v>134</v>
      </c>
      <c r="B4" s="56">
        <v>7102.8</v>
      </c>
      <c r="C4" s="56">
        <v>5321</v>
      </c>
      <c r="D4" s="56">
        <v>4697.2</v>
      </c>
      <c r="E4" s="56">
        <v>10323.1</v>
      </c>
      <c r="F4" s="56">
        <v>17040.400000000001</v>
      </c>
      <c r="G4" s="56">
        <v>19183.2</v>
      </c>
      <c r="I4" s="60" t="s">
        <v>260</v>
      </c>
      <c r="J4" s="56">
        <v>4832.43</v>
      </c>
      <c r="K4" s="56">
        <v>5229.33</v>
      </c>
      <c r="L4" s="56">
        <v>7091.81</v>
      </c>
      <c r="M4" s="56">
        <v>11305.27</v>
      </c>
      <c r="N4" s="56">
        <v>14856.36</v>
      </c>
      <c r="O4" s="56">
        <v>17542.2</v>
      </c>
      <c r="Q4" s="60" t="s">
        <v>139</v>
      </c>
      <c r="R4" s="56">
        <v>-11975.23</v>
      </c>
      <c r="S4" s="56">
        <v>-13395.1</v>
      </c>
      <c r="T4" s="56">
        <v>-11308.76</v>
      </c>
      <c r="U4" s="56">
        <v>2689.87</v>
      </c>
      <c r="V4" s="56">
        <v>32453</v>
      </c>
      <c r="W4" s="56">
        <v>23278</v>
      </c>
      <c r="Y4" s="60" t="s">
        <v>365</v>
      </c>
      <c r="Z4" s="56">
        <v>865.42</v>
      </c>
      <c r="AA4" s="56">
        <v>821.63</v>
      </c>
      <c r="AB4" s="56">
        <v>1066.79</v>
      </c>
      <c r="AC4" s="56">
        <v>1936.03</v>
      </c>
      <c r="AD4" s="56">
        <v>2702.92</v>
      </c>
      <c r="AE4" s="60"/>
      <c r="AG4" s="60" t="s">
        <v>365</v>
      </c>
      <c r="AH4" s="56">
        <v>971.88</v>
      </c>
      <c r="AI4" s="56">
        <v>1074.3900000000001</v>
      </c>
      <c r="AJ4" s="56">
        <v>960.61</v>
      </c>
      <c r="AK4" s="56">
        <v>1137.5899999999999</v>
      </c>
      <c r="AL4" s="56">
        <v>1231.17</v>
      </c>
      <c r="AM4" s="56">
        <v>1175.96</v>
      </c>
      <c r="AO4" s="60" t="s">
        <v>408</v>
      </c>
      <c r="AP4" s="56">
        <v>1622.3</v>
      </c>
      <c r="AQ4" s="56">
        <v>1173.3</v>
      </c>
      <c r="AR4" s="56">
        <v>1424.2</v>
      </c>
      <c r="AS4" s="56">
        <v>2404.8000000000002</v>
      </c>
      <c r="AT4" s="56">
        <v>3840.2</v>
      </c>
      <c r="AU4" s="60"/>
    </row>
    <row r="5" spans="1:47" x14ac:dyDescent="0.3">
      <c r="A5" s="201" t="s">
        <v>211</v>
      </c>
      <c r="B5" s="201"/>
      <c r="C5" s="201"/>
      <c r="D5" s="201"/>
      <c r="E5" s="201"/>
      <c r="F5" s="201"/>
      <c r="G5" s="201"/>
      <c r="I5" s="60" t="s">
        <v>261</v>
      </c>
      <c r="J5" s="56">
        <v>-3033.82</v>
      </c>
      <c r="K5" s="56">
        <v>-2189.5300000000002</v>
      </c>
      <c r="L5" s="56">
        <v>0</v>
      </c>
      <c r="M5" s="56">
        <v>0</v>
      </c>
      <c r="N5" s="56">
        <v>0</v>
      </c>
      <c r="O5" s="56">
        <v>0</v>
      </c>
      <c r="Q5" s="201" t="s">
        <v>211</v>
      </c>
      <c r="R5" s="201"/>
      <c r="S5" s="201"/>
      <c r="T5" s="201"/>
      <c r="U5" s="201"/>
      <c r="V5" s="201"/>
      <c r="W5" s="201"/>
      <c r="Y5" s="60" t="s">
        <v>366</v>
      </c>
      <c r="Z5" s="56">
        <v>556</v>
      </c>
      <c r="AA5" s="56">
        <v>564.82000000000005</v>
      </c>
      <c r="AB5" s="56">
        <v>742.86</v>
      </c>
      <c r="AC5" s="56">
        <v>858.86</v>
      </c>
      <c r="AD5" s="56">
        <v>975.12</v>
      </c>
      <c r="AE5" s="60"/>
      <c r="AG5" s="201" t="s">
        <v>211</v>
      </c>
      <c r="AH5" s="201"/>
      <c r="AI5" s="201"/>
      <c r="AJ5" s="201"/>
      <c r="AK5" s="201"/>
      <c r="AL5" s="201"/>
      <c r="AM5" s="201"/>
      <c r="AO5" s="60" t="s">
        <v>409</v>
      </c>
      <c r="AP5" s="56">
        <v>490.6</v>
      </c>
      <c r="AQ5" s="56">
        <v>439.6</v>
      </c>
      <c r="AR5" s="56">
        <v>484.6</v>
      </c>
      <c r="AS5" s="56">
        <v>0</v>
      </c>
      <c r="AT5" s="56">
        <v>0</v>
      </c>
      <c r="AU5" s="60"/>
    </row>
    <row r="6" spans="1:47" x14ac:dyDescent="0.3">
      <c r="A6" s="60" t="s">
        <v>132</v>
      </c>
      <c r="B6" s="56">
        <v>-117.5</v>
      </c>
      <c r="C6" s="56">
        <v>-158.80000000000001</v>
      </c>
      <c r="D6" s="56">
        <v>-146.4</v>
      </c>
      <c r="E6" s="56">
        <v>-155.80000000000001</v>
      </c>
      <c r="F6" s="56">
        <v>0</v>
      </c>
      <c r="G6" s="56">
        <v>0</v>
      </c>
      <c r="I6" s="61" t="s">
        <v>271</v>
      </c>
      <c r="J6" s="58">
        <f>SUM(J4:J5)</f>
        <v>1798.6100000000001</v>
      </c>
      <c r="K6" s="58">
        <f t="shared" ref="K6:O6" si="0">SUM(K4:K5)</f>
        <v>3039.7999999999997</v>
      </c>
      <c r="L6" s="58">
        <f t="shared" si="0"/>
        <v>7091.81</v>
      </c>
      <c r="M6" s="58">
        <f t="shared" si="0"/>
        <v>11305.27</v>
      </c>
      <c r="N6" s="58">
        <f t="shared" si="0"/>
        <v>14856.36</v>
      </c>
      <c r="O6" s="58">
        <f t="shared" si="0"/>
        <v>17542.2</v>
      </c>
      <c r="Q6" s="60" t="s">
        <v>195</v>
      </c>
      <c r="R6" s="56">
        <v>21425.43</v>
      </c>
      <c r="S6" s="56">
        <v>23546.71</v>
      </c>
      <c r="T6" s="56">
        <v>24835.69</v>
      </c>
      <c r="U6" s="56">
        <v>24860.36</v>
      </c>
      <c r="V6" s="56">
        <v>-646</v>
      </c>
      <c r="W6" s="56">
        <v>4871</v>
      </c>
      <c r="Y6" s="60" t="s">
        <v>367</v>
      </c>
      <c r="Z6" s="56">
        <v>-0.31</v>
      </c>
      <c r="AA6" s="56">
        <v>0</v>
      </c>
      <c r="AB6" s="56">
        <v>0</v>
      </c>
      <c r="AC6" s="56">
        <v>-0.01</v>
      </c>
      <c r="AD6" s="56">
        <v>-4.75</v>
      </c>
      <c r="AE6" s="60"/>
      <c r="AG6" s="60" t="s">
        <v>387</v>
      </c>
      <c r="AH6" s="56">
        <v>417.58</v>
      </c>
      <c r="AI6" s="56">
        <v>433.65</v>
      </c>
      <c r="AJ6" s="56">
        <v>439.52</v>
      </c>
      <c r="AK6" s="56">
        <v>502.12</v>
      </c>
      <c r="AL6" s="56">
        <v>560.41999999999996</v>
      </c>
      <c r="AM6" s="56">
        <v>582.34</v>
      </c>
      <c r="AO6" s="201" t="s">
        <v>410</v>
      </c>
      <c r="AP6" s="201"/>
      <c r="AQ6" s="201"/>
      <c r="AR6" s="201"/>
      <c r="AS6" s="201"/>
      <c r="AT6" s="201"/>
      <c r="AU6" s="201"/>
    </row>
    <row r="7" spans="1:47" ht="28.8" x14ac:dyDescent="0.3">
      <c r="A7" s="60" t="s">
        <v>133</v>
      </c>
      <c r="B7" s="56">
        <v>-0.9</v>
      </c>
      <c r="C7" s="56">
        <v>-10.199999999999999</v>
      </c>
      <c r="D7" s="56">
        <v>-15.5</v>
      </c>
      <c r="E7" s="56">
        <v>-21.6</v>
      </c>
      <c r="F7" s="56">
        <v>0</v>
      </c>
      <c r="G7" s="56">
        <v>0</v>
      </c>
      <c r="I7" s="201" t="s">
        <v>211</v>
      </c>
      <c r="J7" s="201"/>
      <c r="K7" s="201"/>
      <c r="L7" s="201"/>
      <c r="M7" s="201"/>
      <c r="N7" s="201"/>
      <c r="O7" s="201"/>
      <c r="Q7" s="60" t="s">
        <v>312</v>
      </c>
      <c r="R7" s="56">
        <v>660.21</v>
      </c>
      <c r="S7" s="56">
        <v>957.93</v>
      </c>
      <c r="T7" s="56">
        <v>1307.5899999999999</v>
      </c>
      <c r="U7" s="56">
        <v>2039.15</v>
      </c>
      <c r="V7" s="56">
        <v>27270</v>
      </c>
      <c r="W7" s="56">
        <v>23256</v>
      </c>
      <c r="Y7" s="60" t="s">
        <v>368</v>
      </c>
      <c r="Z7" s="56">
        <v>-2.2799999999999998</v>
      </c>
      <c r="AA7" s="56">
        <v>1.96</v>
      </c>
      <c r="AB7" s="56">
        <v>-2.4700000000000002</v>
      </c>
      <c r="AC7" s="56">
        <v>-2.65</v>
      </c>
      <c r="AD7" s="56">
        <v>-3.38</v>
      </c>
      <c r="AE7" s="60"/>
      <c r="AG7" s="60" t="s">
        <v>388</v>
      </c>
      <c r="AH7" s="56">
        <v>-214.57</v>
      </c>
      <c r="AI7" s="56">
        <v>-146.86000000000001</v>
      </c>
      <c r="AJ7" s="56">
        <v>-23.61</v>
      </c>
      <c r="AK7" s="56">
        <v>-38.200000000000003</v>
      </c>
      <c r="AL7" s="56">
        <v>-46.8</v>
      </c>
      <c r="AM7" s="56">
        <v>-27.8</v>
      </c>
      <c r="AO7" s="55" t="s">
        <v>411</v>
      </c>
      <c r="AP7" s="56">
        <v>-57.5</v>
      </c>
      <c r="AQ7" s="56">
        <v>-84.9</v>
      </c>
      <c r="AR7" s="56">
        <v>-16</v>
      </c>
      <c r="AS7" s="56">
        <v>43.7</v>
      </c>
      <c r="AT7" s="56">
        <v>-237.6</v>
      </c>
      <c r="AU7" s="60"/>
    </row>
    <row r="8" spans="1:47" x14ac:dyDescent="0.3">
      <c r="A8" s="60" t="s">
        <v>212</v>
      </c>
      <c r="B8" s="56">
        <v>86.7</v>
      </c>
      <c r="C8" s="56">
        <v>10.4</v>
      </c>
      <c r="D8" s="56">
        <v>49</v>
      </c>
      <c r="E8" s="56">
        <v>20.9</v>
      </c>
      <c r="F8" s="56">
        <v>0</v>
      </c>
      <c r="G8" s="56">
        <v>0</v>
      </c>
      <c r="I8" s="60" t="s">
        <v>262</v>
      </c>
      <c r="J8" s="56">
        <v>4976.29</v>
      </c>
      <c r="K8" s="56">
        <v>4398.8900000000003</v>
      </c>
      <c r="L8" s="56">
        <v>3507.5</v>
      </c>
      <c r="M8" s="56">
        <v>4356.8100000000004</v>
      </c>
      <c r="N8" s="56">
        <v>4723.78</v>
      </c>
      <c r="O8" s="56">
        <v>6073.65</v>
      </c>
      <c r="Q8" s="60" t="s">
        <v>313</v>
      </c>
      <c r="R8" s="56">
        <v>137.03</v>
      </c>
      <c r="S8" s="56">
        <v>50.01</v>
      </c>
      <c r="T8" s="56">
        <v>151.26</v>
      </c>
      <c r="U8" s="56">
        <v>80.63</v>
      </c>
      <c r="V8" s="56">
        <v>1153</v>
      </c>
      <c r="W8" s="56">
        <v>0</v>
      </c>
      <c r="Y8" s="60" t="s">
        <v>369</v>
      </c>
      <c r="Z8" s="56">
        <v>-0.03</v>
      </c>
      <c r="AA8" s="56">
        <v>-0.04</v>
      </c>
      <c r="AB8" s="56">
        <v>-0.23</v>
      </c>
      <c r="AC8" s="56">
        <f>-61.84-45.56</f>
        <v>-107.4</v>
      </c>
      <c r="AD8" s="56">
        <f>26.93-89.47</f>
        <v>-62.54</v>
      </c>
      <c r="AE8" s="60"/>
      <c r="AG8" s="60" t="s">
        <v>389</v>
      </c>
      <c r="AH8" s="56">
        <v>-7.32</v>
      </c>
      <c r="AI8" s="56">
        <v>0.18</v>
      </c>
      <c r="AJ8" s="56">
        <v>0.02</v>
      </c>
      <c r="AK8" s="56">
        <v>-6.48</v>
      </c>
      <c r="AL8" s="56">
        <v>2.27</v>
      </c>
      <c r="AM8" s="56">
        <v>-11.17</v>
      </c>
      <c r="AO8" s="60" t="s">
        <v>195</v>
      </c>
      <c r="AP8" s="56">
        <v>2778</v>
      </c>
      <c r="AQ8" s="56">
        <v>2976.4</v>
      </c>
      <c r="AR8" s="56">
        <v>2996.3</v>
      </c>
      <c r="AS8" s="56">
        <v>3135.8</v>
      </c>
      <c r="AT8" s="56">
        <v>3810.5</v>
      </c>
      <c r="AU8" s="60"/>
    </row>
    <row r="9" spans="1:47" x14ac:dyDescent="0.3">
      <c r="A9" s="60" t="s">
        <v>195</v>
      </c>
      <c r="B9" s="56">
        <v>3528.4</v>
      </c>
      <c r="C9" s="56">
        <v>3034.1</v>
      </c>
      <c r="D9" s="56">
        <v>2789</v>
      </c>
      <c r="E9" s="56">
        <v>2825.7</v>
      </c>
      <c r="F9" s="56">
        <v>3022.3</v>
      </c>
      <c r="G9" s="56">
        <v>3159.3</v>
      </c>
      <c r="I9" s="60" t="s">
        <v>263</v>
      </c>
      <c r="J9" s="56">
        <v>202.94</v>
      </c>
      <c r="K9" s="56">
        <v>63.35</v>
      </c>
      <c r="L9" s="56">
        <v>-65.31</v>
      </c>
      <c r="M9" s="56">
        <v>59.62</v>
      </c>
      <c r="N9" s="56">
        <v>-74.33</v>
      </c>
      <c r="O9" s="56">
        <v>44.6</v>
      </c>
      <c r="Q9" s="60" t="s">
        <v>314</v>
      </c>
      <c r="R9" s="56">
        <v>351.14</v>
      </c>
      <c r="S9" s="56">
        <v>129.19</v>
      </c>
      <c r="T9" s="56">
        <v>125.34</v>
      </c>
      <c r="U9" s="56">
        <v>723.21</v>
      </c>
      <c r="V9" s="56">
        <v>197</v>
      </c>
      <c r="W9" s="56">
        <v>109</v>
      </c>
      <c r="Y9" s="60" t="s">
        <v>370</v>
      </c>
      <c r="Z9" s="56">
        <v>-29.41</v>
      </c>
      <c r="AA9" s="56">
        <v>17.7</v>
      </c>
      <c r="AB9" s="56">
        <v>-5.65</v>
      </c>
      <c r="AC9" s="56">
        <v>0.63</v>
      </c>
      <c r="AD9" s="56">
        <v>10.82</v>
      </c>
      <c r="AE9" s="60"/>
      <c r="AG9" s="60" t="s">
        <v>390</v>
      </c>
      <c r="AH9" s="56">
        <v>-1015.35</v>
      </c>
      <c r="AI9" s="56">
        <v>-1188.95</v>
      </c>
      <c r="AJ9" s="56">
        <v>-8.31</v>
      </c>
      <c r="AK9" s="56">
        <v>-16.37</v>
      </c>
      <c r="AL9" s="56">
        <v>-22.92</v>
      </c>
      <c r="AM9" s="56">
        <v>-20.81</v>
      </c>
      <c r="AO9" s="60" t="s">
        <v>144</v>
      </c>
      <c r="AP9" s="56">
        <v>598.6</v>
      </c>
      <c r="AQ9" s="56">
        <v>520.20000000000005</v>
      </c>
      <c r="AR9" s="56">
        <v>551.9</v>
      </c>
      <c r="AS9" s="56">
        <v>780.9</v>
      </c>
      <c r="AT9" s="56">
        <v>1811.2</v>
      </c>
      <c r="AU9" s="60"/>
    </row>
    <row r="10" spans="1:47" x14ac:dyDescent="0.3">
      <c r="A10" s="60" t="s">
        <v>127</v>
      </c>
      <c r="B10" s="56">
        <v>134.19999999999999</v>
      </c>
      <c r="C10" s="56">
        <v>101.8</v>
      </c>
      <c r="D10" s="56">
        <v>126.6</v>
      </c>
      <c r="E10" s="56">
        <v>187</v>
      </c>
      <c r="F10" s="56">
        <v>193.2</v>
      </c>
      <c r="G10" s="56">
        <v>193.1</v>
      </c>
      <c r="I10" s="60" t="s">
        <v>264</v>
      </c>
      <c r="J10" s="56">
        <v>0</v>
      </c>
      <c r="K10" s="56">
        <v>-44.21</v>
      </c>
      <c r="L10" s="56">
        <v>-15.07</v>
      </c>
      <c r="M10" s="56">
        <v>0</v>
      </c>
      <c r="N10" s="56">
        <v>43.45</v>
      </c>
      <c r="O10" s="56">
        <v>-18.18</v>
      </c>
      <c r="Q10" s="60" t="s">
        <v>315</v>
      </c>
      <c r="R10" s="56">
        <v>-65.62</v>
      </c>
      <c r="S10" s="56">
        <v>-51.99</v>
      </c>
      <c r="T10" s="56">
        <v>-3.32</v>
      </c>
      <c r="U10" s="56">
        <v>0</v>
      </c>
      <c r="V10" s="56">
        <v>1334</v>
      </c>
      <c r="W10" s="56">
        <v>337</v>
      </c>
      <c r="Y10" s="60" t="s">
        <v>371</v>
      </c>
      <c r="Z10" s="56">
        <v>8.59</v>
      </c>
      <c r="AA10" s="56">
        <v>7.75</v>
      </c>
      <c r="AB10" s="56">
        <v>-2.4900000000000002</v>
      </c>
      <c r="AC10" s="56">
        <v>40.729999999999997</v>
      </c>
      <c r="AD10" s="56">
        <v>43.47</v>
      </c>
      <c r="AE10" s="60"/>
      <c r="AG10" s="60" t="s">
        <v>391</v>
      </c>
      <c r="AH10" s="56">
        <v>291.08</v>
      </c>
      <c r="AI10" s="56">
        <v>-461.22</v>
      </c>
      <c r="AJ10" s="56">
        <v>-7.68</v>
      </c>
      <c r="AK10" s="56">
        <v>-10.47</v>
      </c>
      <c r="AL10" s="56">
        <v>-5.43</v>
      </c>
      <c r="AM10" s="56">
        <v>-21.77</v>
      </c>
      <c r="AO10" s="60" t="s">
        <v>213</v>
      </c>
      <c r="AP10" s="56">
        <v>-36.1</v>
      </c>
      <c r="AQ10" s="56">
        <v>-65.8</v>
      </c>
      <c r="AR10" s="56">
        <v>-117.3</v>
      </c>
      <c r="AS10" s="56">
        <v>-70.3</v>
      </c>
      <c r="AT10" s="56">
        <v>-148.30000000000001</v>
      </c>
      <c r="AU10" s="60"/>
    </row>
    <row r="11" spans="1:47" x14ac:dyDescent="0.3">
      <c r="A11" s="60" t="s">
        <v>213</v>
      </c>
      <c r="B11" s="56">
        <v>-96.9</v>
      </c>
      <c r="C11" s="56">
        <v>-72.8</v>
      </c>
      <c r="D11" s="56">
        <v>-174.7</v>
      </c>
      <c r="E11" s="56">
        <v>-185.4</v>
      </c>
      <c r="F11" s="56">
        <v>-98.4</v>
      </c>
      <c r="G11" s="56">
        <v>-147.5</v>
      </c>
      <c r="I11" s="60" t="s">
        <v>265</v>
      </c>
      <c r="J11" s="56">
        <v>-530.38</v>
      </c>
      <c r="K11" s="56">
        <v>-465.79</v>
      </c>
      <c r="L11" s="56">
        <v>-418.38</v>
      </c>
      <c r="M11" s="56">
        <v>-528.01</v>
      </c>
      <c r="N11" s="56">
        <v>-798.97</v>
      </c>
      <c r="O11" s="56">
        <v>-461.07</v>
      </c>
      <c r="Q11" s="60" t="s">
        <v>316</v>
      </c>
      <c r="R11" s="56">
        <v>0</v>
      </c>
      <c r="S11" s="56">
        <v>114</v>
      </c>
      <c r="T11" s="56">
        <v>0</v>
      </c>
      <c r="U11" s="56">
        <v>229.95</v>
      </c>
      <c r="V11" s="56">
        <v>-107</v>
      </c>
      <c r="W11" s="56">
        <v>80</v>
      </c>
      <c r="Y11" s="60" t="s">
        <v>214</v>
      </c>
      <c r="Z11" s="56">
        <v>-1.26</v>
      </c>
      <c r="AA11" s="56">
        <v>-0.2</v>
      </c>
      <c r="AB11" s="56">
        <v>-3.81</v>
      </c>
      <c r="AC11" s="56">
        <v>-0.02</v>
      </c>
      <c r="AD11" s="56">
        <v>-0.65</v>
      </c>
      <c r="AE11" s="60"/>
      <c r="AG11" s="60" t="s">
        <v>127</v>
      </c>
      <c r="AH11" s="56">
        <v>16.329999999999998</v>
      </c>
      <c r="AI11" s="56">
        <v>40.479999999999997</v>
      </c>
      <c r="AJ11" s="56">
        <v>60.93</v>
      </c>
      <c r="AK11" s="56">
        <v>73.84</v>
      </c>
      <c r="AL11" s="56">
        <v>116</v>
      </c>
      <c r="AM11" s="56">
        <v>153.03</v>
      </c>
      <c r="AO11" s="60" t="s">
        <v>214</v>
      </c>
      <c r="AP11" s="56">
        <v>-0.6</v>
      </c>
      <c r="AQ11" s="56">
        <v>0</v>
      </c>
      <c r="AR11" s="56">
        <v>-0.6</v>
      </c>
      <c r="AS11" s="56">
        <v>8.6999999999999993</v>
      </c>
      <c r="AT11" s="56">
        <v>-1.3</v>
      </c>
      <c r="AU11" s="60"/>
    </row>
    <row r="12" spans="1:47" x14ac:dyDescent="0.3">
      <c r="A12" s="60" t="s">
        <v>214</v>
      </c>
      <c r="B12" s="56">
        <v>-3.7</v>
      </c>
      <c r="C12" s="56">
        <v>-3.2</v>
      </c>
      <c r="D12" s="56">
        <v>-2.9</v>
      </c>
      <c r="E12" s="56">
        <v>-6</v>
      </c>
      <c r="F12" s="56">
        <v>-65.8</v>
      </c>
      <c r="G12" s="56">
        <v>-52.4</v>
      </c>
      <c r="I12" s="60" t="s">
        <v>266</v>
      </c>
      <c r="J12" s="56">
        <v>715.33</v>
      </c>
      <c r="K12" s="56">
        <v>873.71</v>
      </c>
      <c r="L12" s="56">
        <v>625.45000000000005</v>
      </c>
      <c r="M12" s="56">
        <v>750.07</v>
      </c>
      <c r="N12" s="56">
        <v>32.92</v>
      </c>
      <c r="O12" s="56">
        <v>30.84</v>
      </c>
      <c r="Q12" s="60" t="s">
        <v>168</v>
      </c>
      <c r="R12" s="56">
        <v>0</v>
      </c>
      <c r="S12" s="56">
        <v>14994.3</v>
      </c>
      <c r="T12" s="56">
        <v>0</v>
      </c>
      <c r="U12" s="56">
        <v>0</v>
      </c>
      <c r="V12" s="56">
        <v>58</v>
      </c>
      <c r="W12" s="56">
        <v>0</v>
      </c>
      <c r="Y12" s="60" t="s">
        <v>213</v>
      </c>
      <c r="Z12" s="56">
        <v>-26.64</v>
      </c>
      <c r="AA12" s="56">
        <v>-32.880000000000003</v>
      </c>
      <c r="AB12" s="56">
        <v>-8.16</v>
      </c>
      <c r="AC12" s="56">
        <v>-10.99</v>
      </c>
      <c r="AD12" s="56">
        <v>-22.1</v>
      </c>
      <c r="AE12" s="60"/>
      <c r="AG12" s="60" t="s">
        <v>392</v>
      </c>
      <c r="AH12" s="56">
        <v>27.98</v>
      </c>
      <c r="AI12" s="56">
        <v>0</v>
      </c>
      <c r="AJ12" s="56">
        <v>-13.42</v>
      </c>
      <c r="AK12" s="56">
        <v>-0.51</v>
      </c>
      <c r="AL12" s="56">
        <v>2.7</v>
      </c>
      <c r="AM12" s="56">
        <v>0.66</v>
      </c>
      <c r="AO12" s="60" t="s">
        <v>412</v>
      </c>
      <c r="AP12" s="56">
        <v>-4.0999999999999996</v>
      </c>
      <c r="AQ12" s="56">
        <v>10.6</v>
      </c>
      <c r="AR12" s="56">
        <v>14.8</v>
      </c>
      <c r="AS12" s="56">
        <v>-14.8</v>
      </c>
      <c r="AT12" s="56">
        <f>35.1-34.1</f>
        <v>1</v>
      </c>
      <c r="AU12" s="60"/>
    </row>
    <row r="13" spans="1:47" x14ac:dyDescent="0.3">
      <c r="A13" s="60" t="s">
        <v>215</v>
      </c>
      <c r="B13" s="56">
        <v>42.4</v>
      </c>
      <c r="C13" s="56">
        <v>59</v>
      </c>
      <c r="D13" s="56">
        <v>45.8</v>
      </c>
      <c r="E13" s="56">
        <v>11.5</v>
      </c>
      <c r="F13" s="56">
        <v>48.1</v>
      </c>
      <c r="G13" s="56">
        <v>40.5</v>
      </c>
      <c r="I13" s="60" t="s">
        <v>267</v>
      </c>
      <c r="J13" s="56">
        <v>174.47</v>
      </c>
      <c r="K13" s="56">
        <v>132.84</v>
      </c>
      <c r="L13" s="56">
        <v>105.25</v>
      </c>
      <c r="M13" s="56">
        <v>139.75</v>
      </c>
      <c r="N13" s="56">
        <v>-784.77</v>
      </c>
      <c r="O13" s="56">
        <v>-1242.5</v>
      </c>
      <c r="Q13" s="60" t="s">
        <v>173</v>
      </c>
      <c r="R13" s="56">
        <v>353.2</v>
      </c>
      <c r="S13" s="56">
        <v>0</v>
      </c>
      <c r="T13" s="56">
        <v>-104.42</v>
      </c>
      <c r="U13" s="56">
        <v>-214.39</v>
      </c>
      <c r="V13" s="56">
        <v>977</v>
      </c>
      <c r="W13" s="56">
        <v>492</v>
      </c>
      <c r="Y13" s="60" t="s">
        <v>144</v>
      </c>
      <c r="Z13" s="56">
        <v>154.74</v>
      </c>
      <c r="AA13" s="56">
        <v>152.05000000000001</v>
      </c>
      <c r="AB13" s="56">
        <v>158.09</v>
      </c>
      <c r="AC13" s="56">
        <v>199.61</v>
      </c>
      <c r="AD13" s="56">
        <v>274.08</v>
      </c>
      <c r="AE13" s="60"/>
      <c r="AG13" s="60" t="s">
        <v>393</v>
      </c>
      <c r="AH13" s="56">
        <v>17.03</v>
      </c>
      <c r="AI13" s="56">
        <v>2.82</v>
      </c>
      <c r="AJ13" s="56">
        <v>0</v>
      </c>
      <c r="AK13" s="56">
        <v>-0.21</v>
      </c>
      <c r="AL13" s="56">
        <v>-2.59</v>
      </c>
      <c r="AM13" s="56">
        <v>1.5</v>
      </c>
      <c r="AO13" s="60" t="s">
        <v>413</v>
      </c>
      <c r="AP13" s="56">
        <v>6.7</v>
      </c>
      <c r="AQ13" s="56">
        <v>21.4</v>
      </c>
      <c r="AR13" s="56">
        <f>-1.2+9.7</f>
        <v>8.5</v>
      </c>
      <c r="AS13" s="56">
        <v>10.8</v>
      </c>
      <c r="AT13" s="56">
        <v>31.3</v>
      </c>
      <c r="AU13" s="60"/>
    </row>
    <row r="14" spans="1:47" x14ac:dyDescent="0.3">
      <c r="A14" s="60" t="s">
        <v>216</v>
      </c>
      <c r="B14" s="56">
        <v>-150.30000000000001</v>
      </c>
      <c r="C14" s="56">
        <v>-41.1</v>
      </c>
      <c r="D14" s="56">
        <v>-204.6</v>
      </c>
      <c r="E14" s="56">
        <v>-180.9</v>
      </c>
      <c r="F14" s="56">
        <v>-90.1</v>
      </c>
      <c r="G14" s="56">
        <v>-106</v>
      </c>
      <c r="I14" s="60" t="s">
        <v>268</v>
      </c>
      <c r="J14" s="56">
        <v>-296.49</v>
      </c>
      <c r="K14" s="56">
        <v>-380.99</v>
      </c>
      <c r="L14" s="56">
        <v>-355.65</v>
      </c>
      <c r="M14" s="56">
        <v>-426.73</v>
      </c>
      <c r="N14" s="56">
        <v>-1069.9100000000001</v>
      </c>
      <c r="O14" s="56">
        <v>-388.15</v>
      </c>
      <c r="Q14" s="60" t="s">
        <v>170</v>
      </c>
      <c r="R14" s="56">
        <v>1418.64</v>
      </c>
      <c r="S14" s="56">
        <v>-1182.4100000000001</v>
      </c>
      <c r="T14" s="56"/>
      <c r="U14" s="56"/>
      <c r="V14" s="56">
        <v>0</v>
      </c>
      <c r="W14" s="56">
        <v>-4975</v>
      </c>
      <c r="Y14" s="60" t="s">
        <v>49</v>
      </c>
      <c r="Z14" s="56">
        <v>-28.21</v>
      </c>
      <c r="AA14" s="56">
        <v>26.56</v>
      </c>
      <c r="AB14" s="56">
        <v>-25.49</v>
      </c>
      <c r="AC14" s="56">
        <v>15.74</v>
      </c>
      <c r="AD14" s="56">
        <v>61.4</v>
      </c>
      <c r="AE14" s="60"/>
      <c r="AG14" s="60" t="s">
        <v>394</v>
      </c>
      <c r="AH14" s="56">
        <v>0.19</v>
      </c>
      <c r="AI14" s="56">
        <v>0.64</v>
      </c>
      <c r="AJ14" s="56">
        <v>0.94</v>
      </c>
      <c r="AK14" s="56">
        <v>-0.28000000000000003</v>
      </c>
      <c r="AL14" s="56">
        <v>-0.55000000000000004</v>
      </c>
      <c r="AM14" s="56">
        <v>-0.5</v>
      </c>
      <c r="AO14" s="60" t="s">
        <v>414</v>
      </c>
      <c r="AP14" s="56">
        <v>4.2</v>
      </c>
      <c r="AQ14" s="56">
        <v>38.700000000000003</v>
      </c>
      <c r="AR14" s="56">
        <v>11.2</v>
      </c>
      <c r="AS14" s="56">
        <v>34.799999999999997</v>
      </c>
      <c r="AT14" s="56">
        <v>145.9</v>
      </c>
      <c r="AU14" s="60"/>
    </row>
    <row r="15" spans="1:47" x14ac:dyDescent="0.3">
      <c r="A15" s="60" t="s">
        <v>217</v>
      </c>
      <c r="B15" s="56">
        <v>-2941.3</v>
      </c>
      <c r="C15" s="56">
        <v>-2771.3</v>
      </c>
      <c r="D15" s="56">
        <v>-1362.5</v>
      </c>
      <c r="E15" s="56">
        <v>-1727.9</v>
      </c>
      <c r="F15" s="56">
        <v>-3600.5</v>
      </c>
      <c r="G15" s="56">
        <v>-4374.8</v>
      </c>
      <c r="I15" s="60" t="s">
        <v>269</v>
      </c>
      <c r="J15" s="56">
        <v>-53.96</v>
      </c>
      <c r="K15" s="56">
        <v>-11.01</v>
      </c>
      <c r="L15" s="56">
        <v>39.11</v>
      </c>
      <c r="M15" s="56">
        <v>-14.89</v>
      </c>
      <c r="N15" s="56">
        <v>-60.21</v>
      </c>
      <c r="O15" s="56">
        <v>-333.21</v>
      </c>
      <c r="Q15" s="60" t="s">
        <v>317</v>
      </c>
      <c r="R15" s="56">
        <v>777</v>
      </c>
      <c r="S15" s="56">
        <v>-663</v>
      </c>
      <c r="T15" s="56">
        <v>0</v>
      </c>
      <c r="U15" s="56">
        <v>-61.03</v>
      </c>
      <c r="V15" s="56">
        <v>43</v>
      </c>
      <c r="W15" s="56">
        <v>48</v>
      </c>
      <c r="Y15" s="61" t="s">
        <v>272</v>
      </c>
      <c r="Z15" s="58">
        <f>SUM(Z4:Z14)</f>
        <v>1496.61</v>
      </c>
      <c r="AA15" s="58">
        <f t="shared" ref="AA15:AE15" si="1">SUM(AA4:AA14)</f>
        <v>1559.35</v>
      </c>
      <c r="AB15" s="58">
        <f t="shared" si="1"/>
        <v>1919.4399999999998</v>
      </c>
      <c r="AC15" s="58">
        <f t="shared" si="1"/>
        <v>2930.5299999999997</v>
      </c>
      <c r="AD15" s="58">
        <f t="shared" si="1"/>
        <v>3974.39</v>
      </c>
      <c r="AE15" s="58">
        <f t="shared" si="1"/>
        <v>0</v>
      </c>
      <c r="AG15" s="60" t="s">
        <v>406</v>
      </c>
      <c r="AH15" s="56">
        <v>1622.86</v>
      </c>
      <c r="AI15" s="56">
        <v>2346.75</v>
      </c>
      <c r="AJ15" s="56">
        <v>0</v>
      </c>
      <c r="AK15" s="56">
        <v>0</v>
      </c>
      <c r="AL15" s="56">
        <v>0</v>
      </c>
      <c r="AM15" s="56">
        <v>0</v>
      </c>
      <c r="AO15" s="60" t="s">
        <v>415</v>
      </c>
      <c r="AP15" s="56">
        <v>-49.7</v>
      </c>
      <c r="AQ15" s="56">
        <v>-34.700000000000003</v>
      </c>
      <c r="AR15" s="56">
        <v>-36</v>
      </c>
      <c r="AS15" s="56">
        <v>-82.8</v>
      </c>
      <c r="AT15" s="56">
        <v>-19.8</v>
      </c>
      <c r="AU15" s="60"/>
    </row>
    <row r="16" spans="1:47" x14ac:dyDescent="0.3">
      <c r="A16" s="60" t="s">
        <v>218</v>
      </c>
      <c r="B16" s="56">
        <v>-3.7</v>
      </c>
      <c r="C16" s="56">
        <v>0</v>
      </c>
      <c r="D16" s="56">
        <v>0</v>
      </c>
      <c r="E16" s="56">
        <v>0</v>
      </c>
      <c r="F16" s="56">
        <v>0</v>
      </c>
      <c r="G16" s="56">
        <v>0</v>
      </c>
      <c r="I16" s="60" t="s">
        <v>270</v>
      </c>
      <c r="J16" s="56">
        <v>787.31</v>
      </c>
      <c r="K16" s="56">
        <v>-18.87</v>
      </c>
      <c r="L16" s="56">
        <v>0</v>
      </c>
      <c r="M16" s="56">
        <v>0</v>
      </c>
      <c r="N16" s="56">
        <f>544.06+128.86</f>
        <v>672.92</v>
      </c>
      <c r="O16" s="56">
        <f>681.51+120.15</f>
        <v>801.66</v>
      </c>
      <c r="Q16" s="60" t="s">
        <v>166</v>
      </c>
      <c r="R16" s="56">
        <v>0</v>
      </c>
      <c r="S16" s="56">
        <v>84.81</v>
      </c>
      <c r="T16" s="56">
        <v>0</v>
      </c>
      <c r="U16" s="56">
        <v>-1495.07</v>
      </c>
      <c r="V16" s="56">
        <v>0</v>
      </c>
      <c r="W16" s="56">
        <v>121</v>
      </c>
      <c r="Y16" s="201" t="s">
        <v>211</v>
      </c>
      <c r="Z16" s="201"/>
      <c r="AA16" s="201"/>
      <c r="AB16" s="201"/>
      <c r="AC16" s="201"/>
      <c r="AD16" s="201"/>
      <c r="AE16" s="201"/>
      <c r="AG16" s="61" t="s">
        <v>272</v>
      </c>
      <c r="AH16" s="58">
        <f>SUM(AH4,AH6:AH15)</f>
        <v>2127.69</v>
      </c>
      <c r="AI16" s="58">
        <f t="shared" ref="AI16:AM16" si="2">SUM(AI4,AI6:AI15)</f>
        <v>2101.8799999999997</v>
      </c>
      <c r="AJ16" s="58">
        <f t="shared" si="2"/>
        <v>1409.0000000000002</v>
      </c>
      <c r="AK16" s="58">
        <f t="shared" si="2"/>
        <v>1641.03</v>
      </c>
      <c r="AL16" s="58">
        <f t="shared" si="2"/>
        <v>1834.2700000000002</v>
      </c>
      <c r="AM16" s="58">
        <f t="shared" si="2"/>
        <v>1831.4400000000003</v>
      </c>
      <c r="AO16" s="60" t="s">
        <v>416</v>
      </c>
      <c r="AP16" s="56">
        <v>457.1</v>
      </c>
      <c r="AQ16" s="56">
        <v>-26.7</v>
      </c>
      <c r="AR16" s="56">
        <v>52</v>
      </c>
      <c r="AS16" s="56">
        <v>-70.599999999999994</v>
      </c>
      <c r="AT16" s="56">
        <v>-160.80000000000001</v>
      </c>
      <c r="AU16" s="60"/>
    </row>
    <row r="17" spans="1:47" x14ac:dyDescent="0.3">
      <c r="A17" s="60" t="s">
        <v>219</v>
      </c>
      <c r="B17" s="56">
        <v>-76.8</v>
      </c>
      <c r="C17" s="56">
        <v>62.1</v>
      </c>
      <c r="D17" s="56">
        <v>30.9</v>
      </c>
      <c r="E17" s="56">
        <v>20.9</v>
      </c>
      <c r="F17" s="56">
        <v>-4.2</v>
      </c>
      <c r="G17" s="56">
        <v>4</v>
      </c>
      <c r="I17" s="61" t="s">
        <v>272</v>
      </c>
      <c r="J17" s="58">
        <f>SUM(J6,J8:J16)</f>
        <v>7774.119999999999</v>
      </c>
      <c r="K17" s="58">
        <f t="shared" ref="K17:O17" si="3">SUM(K6,K8:K16)</f>
        <v>7587.7200000000012</v>
      </c>
      <c r="L17" s="58">
        <f t="shared" si="3"/>
        <v>10514.710000000005</v>
      </c>
      <c r="M17" s="58">
        <f t="shared" si="3"/>
        <v>15641.890000000003</v>
      </c>
      <c r="N17" s="58">
        <f t="shared" si="3"/>
        <v>17541.239999999994</v>
      </c>
      <c r="O17" s="58">
        <f t="shared" si="3"/>
        <v>22049.839999999997</v>
      </c>
      <c r="Q17" s="60" t="s">
        <v>167</v>
      </c>
      <c r="R17" s="56">
        <v>409.78</v>
      </c>
      <c r="S17" s="56">
        <v>430.76</v>
      </c>
      <c r="T17" s="56">
        <v>0</v>
      </c>
      <c r="U17" s="56">
        <v>0</v>
      </c>
      <c r="V17" s="56">
        <v>-24</v>
      </c>
      <c r="W17" s="56">
        <v>-8</v>
      </c>
      <c r="Y17" s="60" t="s">
        <v>372</v>
      </c>
      <c r="Z17" s="56">
        <v>-1177.6199999999999</v>
      </c>
      <c r="AA17" s="56">
        <v>-1700.87</v>
      </c>
      <c r="AB17" s="56">
        <v>-2859.5</v>
      </c>
      <c r="AC17" s="56">
        <v>-6530.88</v>
      </c>
      <c r="AD17" s="56">
        <v>-4925.2299999999996</v>
      </c>
      <c r="AE17" s="60"/>
      <c r="AG17" s="60" t="s">
        <v>225</v>
      </c>
      <c r="AH17" s="56">
        <v>167.24</v>
      </c>
      <c r="AI17" s="56">
        <v>-18.16</v>
      </c>
      <c r="AJ17" s="56">
        <v>-159.18</v>
      </c>
      <c r="AK17" s="56">
        <v>-131.46</v>
      </c>
      <c r="AL17" s="56">
        <v>-150.06</v>
      </c>
      <c r="AM17" s="56">
        <v>-303.85000000000002</v>
      </c>
      <c r="AO17" s="61" t="s">
        <v>272</v>
      </c>
      <c r="AP17" s="58">
        <f>SUM(AP4:AP5,AP7:AP16)</f>
        <v>5809.4999999999991</v>
      </c>
      <c r="AQ17" s="58">
        <f t="shared" ref="AQ17:AT17" si="4">SUM(AQ4:AQ5,AQ7:AQ16)</f>
        <v>4968.0999999999995</v>
      </c>
      <c r="AR17" s="58">
        <f t="shared" si="4"/>
        <v>5373.5999999999995</v>
      </c>
      <c r="AS17" s="58">
        <f t="shared" si="4"/>
        <v>6180.9999999999991</v>
      </c>
      <c r="AT17" s="58">
        <f t="shared" si="4"/>
        <v>9072.3000000000029</v>
      </c>
      <c r="AU17" s="60"/>
    </row>
    <row r="18" spans="1:47" x14ac:dyDescent="0.3">
      <c r="A18" s="61" t="s">
        <v>220</v>
      </c>
      <c r="B18" s="58">
        <f>SUM(B4,B6:B17)</f>
        <v>7503.4000000000005</v>
      </c>
      <c r="C18" s="58">
        <f t="shared" ref="C18:G18" si="5">SUM(C4,C6:C17)</f>
        <v>5530.9999999999991</v>
      </c>
      <c r="D18" s="58">
        <f t="shared" si="5"/>
        <v>5831.9000000000005</v>
      </c>
      <c r="E18" s="58">
        <f t="shared" si="5"/>
        <v>11111.5</v>
      </c>
      <c r="F18" s="58">
        <f t="shared" si="5"/>
        <v>16445</v>
      </c>
      <c r="G18" s="58">
        <f t="shared" si="5"/>
        <v>17899.399999999998</v>
      </c>
      <c r="I18" s="201" t="s">
        <v>273</v>
      </c>
      <c r="J18" s="201"/>
      <c r="K18" s="201"/>
      <c r="L18" s="201"/>
      <c r="M18" s="201"/>
      <c r="N18" s="201"/>
      <c r="O18" s="201"/>
      <c r="Q18" s="60" t="s">
        <v>318</v>
      </c>
      <c r="R18" s="56">
        <v>4.7</v>
      </c>
      <c r="S18" s="56">
        <v>9.0399999999999991</v>
      </c>
      <c r="T18" s="56">
        <v>18.05</v>
      </c>
      <c r="U18" s="56">
        <v>30.03</v>
      </c>
      <c r="V18" s="56">
        <v>303</v>
      </c>
      <c r="W18" s="56">
        <v>232</v>
      </c>
      <c r="Y18" s="60" t="s">
        <v>73</v>
      </c>
      <c r="Z18" s="56">
        <v>130.37</v>
      </c>
      <c r="AA18" s="56">
        <v>398.92</v>
      </c>
      <c r="AB18" s="56">
        <v>-120.61</v>
      </c>
      <c r="AC18" s="56">
        <v>-95.16</v>
      </c>
      <c r="AD18" s="56">
        <v>-590</v>
      </c>
      <c r="AE18" s="60"/>
      <c r="AG18" s="60" t="s">
        <v>224</v>
      </c>
      <c r="AH18" s="56">
        <v>-349.25</v>
      </c>
      <c r="AI18" s="56">
        <v>-222.3</v>
      </c>
      <c r="AJ18" s="56">
        <v>-218.43</v>
      </c>
      <c r="AK18" s="56">
        <v>-581.11</v>
      </c>
      <c r="AL18" s="56">
        <v>-432.13</v>
      </c>
      <c r="AM18" s="56">
        <v>-696.37</v>
      </c>
      <c r="AO18" s="60" t="s">
        <v>417</v>
      </c>
      <c r="AP18" s="56">
        <v>-151.1</v>
      </c>
      <c r="AQ18" s="56">
        <v>1918.4</v>
      </c>
      <c r="AR18" s="56">
        <v>551.79999999999995</v>
      </c>
      <c r="AS18" s="56">
        <v>3056.2</v>
      </c>
      <c r="AT18" s="56">
        <v>938.4</v>
      </c>
      <c r="AU18" s="60"/>
    </row>
    <row r="19" spans="1:47" x14ac:dyDescent="0.3">
      <c r="A19" s="201" t="s">
        <v>221</v>
      </c>
      <c r="B19" s="201"/>
      <c r="C19" s="201"/>
      <c r="D19" s="201"/>
      <c r="E19" s="201"/>
      <c r="F19" s="201"/>
      <c r="G19" s="201"/>
      <c r="I19" s="60" t="s">
        <v>274</v>
      </c>
      <c r="J19" s="56">
        <v>2409.0100000000002</v>
      </c>
      <c r="K19" s="56">
        <v>-891.48</v>
      </c>
      <c r="L19" s="56">
        <v>-2044.51</v>
      </c>
      <c r="M19" s="56">
        <v>-2904.47</v>
      </c>
      <c r="N19" s="56">
        <v>-1889.81</v>
      </c>
      <c r="O19" s="56">
        <v>-3781.89</v>
      </c>
      <c r="Q19" s="60" t="s">
        <v>319</v>
      </c>
      <c r="R19" s="56">
        <v>389.05</v>
      </c>
      <c r="S19" s="56">
        <v>-19.91</v>
      </c>
      <c r="T19" s="56">
        <v>0</v>
      </c>
      <c r="U19" s="56">
        <v>-93.27</v>
      </c>
      <c r="V19" s="56">
        <v>-263</v>
      </c>
      <c r="W19" s="56">
        <v>-224</v>
      </c>
      <c r="Y19" s="60" t="s">
        <v>29</v>
      </c>
      <c r="Z19" s="56">
        <v>103.1</v>
      </c>
      <c r="AA19" s="56">
        <v>-178.96</v>
      </c>
      <c r="AB19" s="56">
        <v>-274.93</v>
      </c>
      <c r="AC19" s="56">
        <v>-313.99</v>
      </c>
      <c r="AD19" s="56">
        <v>-326.89</v>
      </c>
      <c r="AE19" s="60"/>
      <c r="AG19" s="60" t="s">
        <v>395</v>
      </c>
      <c r="AH19" s="56">
        <v>26.68</v>
      </c>
      <c r="AI19" s="56">
        <v>-179.77</v>
      </c>
      <c r="AJ19" s="56">
        <v>-33.06</v>
      </c>
      <c r="AK19" s="56">
        <v>-74.78</v>
      </c>
      <c r="AL19" s="56">
        <v>-163.03</v>
      </c>
      <c r="AM19" s="56">
        <v>-153.87</v>
      </c>
      <c r="AO19" s="60" t="s">
        <v>418</v>
      </c>
      <c r="AP19" s="56">
        <v>272.39999999999998</v>
      </c>
      <c r="AQ19" s="56">
        <v>272.5</v>
      </c>
      <c r="AR19" s="56">
        <v>33.799999999999997</v>
      </c>
      <c r="AS19" s="56">
        <v>279.89999999999998</v>
      </c>
      <c r="AT19" s="56">
        <v>814.2</v>
      </c>
      <c r="AU19" s="60"/>
    </row>
    <row r="20" spans="1:47" ht="28.8" x14ac:dyDescent="0.3">
      <c r="A20" s="60" t="s">
        <v>222</v>
      </c>
      <c r="B20" s="56">
        <v>-2.1</v>
      </c>
      <c r="C20" s="56">
        <v>-0.4</v>
      </c>
      <c r="D20" s="56">
        <v>-0.6</v>
      </c>
      <c r="E20" s="56">
        <v>-22</v>
      </c>
      <c r="F20" s="56">
        <v>0.1</v>
      </c>
      <c r="G20" s="56">
        <v>0</v>
      </c>
      <c r="I20" s="60" t="s">
        <v>275</v>
      </c>
      <c r="J20" s="56">
        <v>-3924.73</v>
      </c>
      <c r="K20" s="56">
        <v>5787.59</v>
      </c>
      <c r="L20" s="56">
        <v>-461.61</v>
      </c>
      <c r="M20" s="56">
        <v>-18797.21</v>
      </c>
      <c r="N20" s="56">
        <v>-19887</v>
      </c>
      <c r="O20" s="56">
        <v>-17170.29</v>
      </c>
      <c r="Q20" s="60" t="s">
        <v>320</v>
      </c>
      <c r="R20" s="56">
        <v>316.19</v>
      </c>
      <c r="S20" s="56">
        <v>265.58999999999997</v>
      </c>
      <c r="T20" s="56">
        <v>94.19</v>
      </c>
      <c r="U20" s="56">
        <v>354.96</v>
      </c>
      <c r="V20" s="56">
        <v>-700</v>
      </c>
      <c r="W20" s="56">
        <v>-287</v>
      </c>
      <c r="Y20" s="60" t="s">
        <v>34</v>
      </c>
      <c r="Z20" s="56">
        <v>-29.12</v>
      </c>
      <c r="AA20" s="56">
        <v>-5.75</v>
      </c>
      <c r="AB20" s="56">
        <v>-360.46</v>
      </c>
      <c r="AC20" s="56">
        <v>-334.61</v>
      </c>
      <c r="AD20" s="56">
        <v>104.88</v>
      </c>
      <c r="AE20" s="60"/>
      <c r="AG20" s="55" t="s">
        <v>396</v>
      </c>
      <c r="AH20" s="56">
        <v>-92.2</v>
      </c>
      <c r="AI20" s="56">
        <v>858.24</v>
      </c>
      <c r="AJ20" s="56">
        <v>11.79</v>
      </c>
      <c r="AK20" s="56">
        <v>244.7</v>
      </c>
      <c r="AL20" s="56">
        <v>831.83</v>
      </c>
      <c r="AM20" s="56">
        <v>973.22</v>
      </c>
      <c r="AO20" s="60" t="s">
        <v>225</v>
      </c>
      <c r="AP20" s="56">
        <v>814.6</v>
      </c>
      <c r="AQ20" s="56">
        <v>-1346.4</v>
      </c>
      <c r="AR20" s="56">
        <v>-645.6</v>
      </c>
      <c r="AS20" s="56">
        <v>-1729.6</v>
      </c>
      <c r="AT20" s="56">
        <v>-452.1</v>
      </c>
      <c r="AU20" s="60"/>
    </row>
    <row r="21" spans="1:47" x14ac:dyDescent="0.3">
      <c r="A21" s="60" t="s">
        <v>223</v>
      </c>
      <c r="B21" s="56">
        <v>-154.69999999999999</v>
      </c>
      <c r="C21" s="56">
        <v>-13</v>
      </c>
      <c r="D21" s="56">
        <v>-156.1</v>
      </c>
      <c r="E21" s="56">
        <v>-136.80000000000001</v>
      </c>
      <c r="F21" s="56">
        <v>-24.2</v>
      </c>
      <c r="G21" s="56">
        <v>-4.9000000000000004</v>
      </c>
      <c r="I21" s="60" t="s">
        <v>29</v>
      </c>
      <c r="J21" s="56">
        <v>1316.36</v>
      </c>
      <c r="K21" s="56">
        <v>225.74</v>
      </c>
      <c r="L21" s="56">
        <v>-2172.9899999999998</v>
      </c>
      <c r="M21" s="56">
        <v>-5251.96</v>
      </c>
      <c r="N21" s="56">
        <v>-1752.64</v>
      </c>
      <c r="O21" s="56">
        <v>-1646.35</v>
      </c>
      <c r="Q21" s="60" t="s">
        <v>321</v>
      </c>
      <c r="R21" s="56">
        <v>-187.34</v>
      </c>
      <c r="S21" s="56">
        <v>-177.26</v>
      </c>
      <c r="T21" s="56">
        <v>-266.56</v>
      </c>
      <c r="U21" s="56">
        <v>-303.44</v>
      </c>
      <c r="V21" s="56">
        <v>-3852</v>
      </c>
      <c r="W21" s="56">
        <v>10606</v>
      </c>
      <c r="Y21" s="60" t="s">
        <v>69</v>
      </c>
      <c r="Z21" s="56">
        <v>-11.81</v>
      </c>
      <c r="AA21" s="56">
        <v>48.78</v>
      </c>
      <c r="AB21" s="56">
        <v>-90.78</v>
      </c>
      <c r="AC21" s="56">
        <v>-155.08000000000001</v>
      </c>
      <c r="AD21" s="56">
        <v>15.54</v>
      </c>
      <c r="AE21" s="60"/>
      <c r="AG21" s="61" t="s">
        <v>277</v>
      </c>
      <c r="AH21" s="58">
        <f>SUM(AH16,AH17:AH20)</f>
        <v>1880.1600000000003</v>
      </c>
      <c r="AI21" s="58">
        <f t="shared" ref="AI21:AM21" si="6">SUM(AI16,AI17:AI20)</f>
        <v>2539.89</v>
      </c>
      <c r="AJ21" s="58">
        <f t="shared" si="6"/>
        <v>1010.1200000000001</v>
      </c>
      <c r="AK21" s="58">
        <f t="shared" si="6"/>
        <v>1098.3799999999999</v>
      </c>
      <c r="AL21" s="58">
        <f t="shared" si="6"/>
        <v>1920.8800000000006</v>
      </c>
      <c r="AM21" s="58">
        <f t="shared" si="6"/>
        <v>1650.5700000000002</v>
      </c>
      <c r="AO21" s="60" t="s">
        <v>224</v>
      </c>
      <c r="AP21" s="56">
        <v>-436</v>
      </c>
      <c r="AQ21" s="56">
        <v>-637.70000000000005</v>
      </c>
      <c r="AR21" s="56">
        <v>-1354.2</v>
      </c>
      <c r="AS21" s="56">
        <v>-1273.4000000000001</v>
      </c>
      <c r="AT21" s="56">
        <v>172.9</v>
      </c>
      <c r="AU21" s="60"/>
    </row>
    <row r="22" spans="1:47" x14ac:dyDescent="0.3">
      <c r="A22" s="60" t="s">
        <v>224</v>
      </c>
      <c r="B22" s="56">
        <v>108.7</v>
      </c>
      <c r="C22" s="56">
        <v>164.9</v>
      </c>
      <c r="D22" s="56">
        <v>-483.3</v>
      </c>
      <c r="E22" s="56">
        <v>-751.2</v>
      </c>
      <c r="F22" s="56">
        <v>233.2</v>
      </c>
      <c r="G22" s="56">
        <v>-17.399999999999999</v>
      </c>
      <c r="I22" s="60" t="s">
        <v>276</v>
      </c>
      <c r="J22" s="56">
        <v>-6775.09</v>
      </c>
      <c r="K22" s="56">
        <v>7049.34</v>
      </c>
      <c r="L22" s="56">
        <v>4972.37</v>
      </c>
      <c r="M22" s="56">
        <v>7012.6</v>
      </c>
      <c r="N22" s="56">
        <v>4354.3599999999997</v>
      </c>
      <c r="O22" s="56">
        <v>8485.19</v>
      </c>
      <c r="Q22" s="60" t="s">
        <v>322</v>
      </c>
      <c r="R22" s="56">
        <v>25.12</v>
      </c>
      <c r="S22" s="56">
        <v>0</v>
      </c>
      <c r="T22" s="56">
        <v>0</v>
      </c>
      <c r="U22" s="56">
        <f>-61.99-140.76</f>
        <v>-202.75</v>
      </c>
      <c r="V22" s="56">
        <v>9986</v>
      </c>
      <c r="W22" s="56">
        <v>5083</v>
      </c>
      <c r="Y22" s="60" t="s">
        <v>111</v>
      </c>
      <c r="Z22" s="56">
        <v>22.46</v>
      </c>
      <c r="AA22" s="56">
        <v>1113.53</v>
      </c>
      <c r="AB22" s="56">
        <v>327.52</v>
      </c>
      <c r="AC22" s="56">
        <v>517.35</v>
      </c>
      <c r="AD22" s="56">
        <v>1537.73</v>
      </c>
      <c r="AE22" s="60"/>
      <c r="AG22" s="60" t="s">
        <v>397</v>
      </c>
      <c r="AH22" s="56">
        <v>-260.97000000000003</v>
      </c>
      <c r="AI22" s="56">
        <v>-276.76</v>
      </c>
      <c r="AJ22" s="56">
        <v>-246.12</v>
      </c>
      <c r="AK22" s="56">
        <v>-330.14</v>
      </c>
      <c r="AL22" s="56">
        <v>-387.74</v>
      </c>
      <c r="AM22" s="56">
        <v>-377.67</v>
      </c>
      <c r="AO22" s="60" t="s">
        <v>419</v>
      </c>
      <c r="AP22" s="56">
        <v>30.7</v>
      </c>
      <c r="AQ22" s="56">
        <v>-265.3</v>
      </c>
      <c r="AR22" s="56">
        <v>-64.8</v>
      </c>
      <c r="AS22" s="56">
        <v>-238.9</v>
      </c>
      <c r="AT22" s="56">
        <v>-593.4</v>
      </c>
      <c r="AU22" s="60"/>
    </row>
    <row r="23" spans="1:47" x14ac:dyDescent="0.3">
      <c r="A23" s="60" t="s">
        <v>225</v>
      </c>
      <c r="B23" s="56">
        <v>340.5</v>
      </c>
      <c r="C23" s="56">
        <v>696.5</v>
      </c>
      <c r="D23" s="56">
        <v>-764</v>
      </c>
      <c r="E23" s="56">
        <v>-1258.0999999999999</v>
      </c>
      <c r="F23" s="56">
        <v>164.2</v>
      </c>
      <c r="G23" s="56">
        <v>-1003.4</v>
      </c>
      <c r="I23" s="61" t="s">
        <v>277</v>
      </c>
      <c r="J23" s="58">
        <f>SUM(J17,J19:J22)</f>
        <v>799.66999999999916</v>
      </c>
      <c r="K23" s="58">
        <f t="shared" ref="K23:O23" si="7">SUM(K17,K19:K22)</f>
        <v>19758.910000000003</v>
      </c>
      <c r="L23" s="58">
        <f t="shared" si="7"/>
        <v>10807.970000000005</v>
      </c>
      <c r="M23" s="58">
        <f t="shared" si="7"/>
        <v>-4299.149999999996</v>
      </c>
      <c r="N23" s="58">
        <f t="shared" si="7"/>
        <v>-1633.8500000000058</v>
      </c>
      <c r="O23" s="58">
        <f t="shared" si="7"/>
        <v>7936.4999999999964</v>
      </c>
      <c r="Q23" s="60" t="s">
        <v>323</v>
      </c>
      <c r="R23" s="56">
        <v>1000</v>
      </c>
      <c r="S23" s="56">
        <v>378.96</v>
      </c>
      <c r="T23" s="56">
        <v>74.06</v>
      </c>
      <c r="U23" s="56">
        <v>-336.38</v>
      </c>
      <c r="V23" s="56">
        <v>48</v>
      </c>
      <c r="W23" s="56">
        <v>-84</v>
      </c>
      <c r="Y23" s="60" t="s">
        <v>57</v>
      </c>
      <c r="Z23" s="56">
        <v>-42</v>
      </c>
      <c r="AA23" s="56">
        <v>137.30000000000001</v>
      </c>
      <c r="AB23" s="56">
        <v>57.28</v>
      </c>
      <c r="AC23" s="56">
        <v>-11.55</v>
      </c>
      <c r="AD23" s="56">
        <v>49</v>
      </c>
      <c r="AE23" s="60"/>
      <c r="AG23" s="61" t="s">
        <v>279</v>
      </c>
      <c r="AH23" s="58">
        <f>AH21+AH22</f>
        <v>1619.1900000000003</v>
      </c>
      <c r="AI23" s="58">
        <f t="shared" ref="AI23:AM23" si="8">AI21+AI22</f>
        <v>2263.13</v>
      </c>
      <c r="AJ23" s="58">
        <f t="shared" si="8"/>
        <v>764.00000000000011</v>
      </c>
      <c r="AK23" s="58">
        <f t="shared" si="8"/>
        <v>768.2399999999999</v>
      </c>
      <c r="AL23" s="58">
        <f t="shared" si="8"/>
        <v>1533.1400000000006</v>
      </c>
      <c r="AM23" s="58">
        <f t="shared" si="8"/>
        <v>1272.9000000000001</v>
      </c>
      <c r="AO23" s="60" t="s">
        <v>222</v>
      </c>
      <c r="AP23" s="56">
        <v>1089.5</v>
      </c>
      <c r="AQ23" s="56">
        <v>701.7</v>
      </c>
      <c r="AR23" s="56">
        <v>-599.5</v>
      </c>
      <c r="AS23" s="56">
        <v>-778.8</v>
      </c>
      <c r="AT23" s="56">
        <v>-947.3</v>
      </c>
      <c r="AU23" s="60"/>
    </row>
    <row r="24" spans="1:47" x14ac:dyDescent="0.3">
      <c r="A24" s="60" t="s">
        <v>226</v>
      </c>
      <c r="B24" s="56">
        <v>-0.9</v>
      </c>
      <c r="C24" s="56">
        <v>-6</v>
      </c>
      <c r="D24" s="56">
        <v>-7.5</v>
      </c>
      <c r="E24" s="56">
        <v>0.8</v>
      </c>
      <c r="F24" s="56">
        <v>-1309.9000000000001</v>
      </c>
      <c r="G24" s="56">
        <v>-1962.7</v>
      </c>
      <c r="I24" s="60" t="s">
        <v>278</v>
      </c>
      <c r="J24" s="56">
        <v>-2256.6</v>
      </c>
      <c r="K24" s="56">
        <v>-1850.08</v>
      </c>
      <c r="L24" s="56">
        <v>-1560.42</v>
      </c>
      <c r="M24" s="56">
        <v>-2774.87</v>
      </c>
      <c r="N24" s="56">
        <v>-3996.1</v>
      </c>
      <c r="O24" s="56">
        <v>-4760.6899999999996</v>
      </c>
      <c r="Q24" s="60" t="s">
        <v>135</v>
      </c>
      <c r="R24" s="56">
        <v>395.25</v>
      </c>
      <c r="S24" s="56">
        <v>2541.86</v>
      </c>
      <c r="T24" s="56">
        <v>4231.29</v>
      </c>
      <c r="U24" s="56">
        <v>704.06</v>
      </c>
      <c r="V24" s="56">
        <v>-2608</v>
      </c>
      <c r="W24" s="56">
        <v>-2473</v>
      </c>
      <c r="Y24" s="60" t="s">
        <v>59</v>
      </c>
      <c r="Z24" s="56">
        <v>-0.94</v>
      </c>
      <c r="AA24" s="56">
        <v>106.5</v>
      </c>
      <c r="AB24" s="56">
        <v>174.57</v>
      </c>
      <c r="AC24" s="56">
        <v>161.07</v>
      </c>
      <c r="AD24" s="56">
        <v>36.880000000000003</v>
      </c>
      <c r="AE24" s="60"/>
      <c r="AG24" s="198" t="s">
        <v>238</v>
      </c>
      <c r="AH24" s="199"/>
      <c r="AI24" s="199"/>
      <c r="AJ24" s="199"/>
      <c r="AK24" s="199"/>
      <c r="AL24" s="199"/>
      <c r="AM24" s="200"/>
      <c r="AO24" s="61" t="s">
        <v>420</v>
      </c>
      <c r="AP24" s="58">
        <f>SUM(AP17:AP23)</f>
        <v>7429.5999999999985</v>
      </c>
      <c r="AQ24" s="58">
        <f t="shared" ref="AQ24:AT24" si="9">SUM(AQ17:AQ23)</f>
        <v>5611.3</v>
      </c>
      <c r="AR24" s="58">
        <f t="shared" si="9"/>
        <v>3295.0999999999995</v>
      </c>
      <c r="AS24" s="58">
        <f t="shared" si="9"/>
        <v>5496.3999999999987</v>
      </c>
      <c r="AT24" s="58">
        <f t="shared" si="9"/>
        <v>9005.0000000000036</v>
      </c>
      <c r="AU24" s="60"/>
    </row>
    <row r="25" spans="1:47" x14ac:dyDescent="0.3">
      <c r="A25" s="60" t="s">
        <v>227</v>
      </c>
      <c r="B25" s="56">
        <v>-71.3</v>
      </c>
      <c r="C25" s="56">
        <v>5.7</v>
      </c>
      <c r="D25" s="56">
        <v>-1274.8</v>
      </c>
      <c r="E25" s="56">
        <v>380.2</v>
      </c>
      <c r="F25" s="56">
        <v>-3</v>
      </c>
      <c r="G25" s="56">
        <v>-10.5</v>
      </c>
      <c r="I25" s="61" t="s">
        <v>279</v>
      </c>
      <c r="J25" s="58">
        <f>J23+J24</f>
        <v>-1456.9300000000007</v>
      </c>
      <c r="K25" s="58">
        <f t="shared" ref="K25:O25" si="10">K23+K24</f>
        <v>17908.830000000002</v>
      </c>
      <c r="L25" s="58">
        <f t="shared" si="10"/>
        <v>9247.5500000000047</v>
      </c>
      <c r="M25" s="58">
        <f t="shared" si="10"/>
        <v>-7074.0199999999959</v>
      </c>
      <c r="N25" s="58">
        <f t="shared" si="10"/>
        <v>-5629.9500000000062</v>
      </c>
      <c r="O25" s="58">
        <f t="shared" si="10"/>
        <v>3175.8099999999968</v>
      </c>
      <c r="Q25" s="60" t="s">
        <v>144</v>
      </c>
      <c r="R25" s="56">
        <v>7243.33</v>
      </c>
      <c r="S25" s="56">
        <v>8097.17</v>
      </c>
      <c r="T25" s="56">
        <v>9326.31</v>
      </c>
      <c r="U25" s="56">
        <v>10239.23</v>
      </c>
      <c r="V25" s="56">
        <v>-47</v>
      </c>
      <c r="W25" s="56">
        <v>-64</v>
      </c>
      <c r="Y25" s="60" t="s">
        <v>72</v>
      </c>
      <c r="Z25" s="56">
        <v>124.2</v>
      </c>
      <c r="AA25" s="56">
        <v>-76.78</v>
      </c>
      <c r="AB25" s="56">
        <v>33.46</v>
      </c>
      <c r="AC25" s="56">
        <v>35.380000000000003</v>
      </c>
      <c r="AD25" s="56">
        <v>-169.55</v>
      </c>
      <c r="AE25" s="60"/>
      <c r="AG25" s="60" t="s">
        <v>398</v>
      </c>
      <c r="AH25" s="56">
        <v>-608.09</v>
      </c>
      <c r="AI25" s="56">
        <v>-501.62</v>
      </c>
      <c r="AJ25" s="56">
        <v>-665.89</v>
      </c>
      <c r="AK25" s="56">
        <v>-995.85</v>
      </c>
      <c r="AL25" s="56">
        <v>-1876.05</v>
      </c>
      <c r="AM25" s="56">
        <v>-1948.72</v>
      </c>
      <c r="AO25" s="60" t="s">
        <v>421</v>
      </c>
      <c r="AP25" s="56">
        <v>-1077.5999999999999</v>
      </c>
      <c r="AQ25" s="56">
        <v>-560</v>
      </c>
      <c r="AR25" s="56">
        <v>-832.4</v>
      </c>
      <c r="AS25" s="56">
        <v>-853.5</v>
      </c>
      <c r="AT25" s="56">
        <v>-1435.4</v>
      </c>
      <c r="AU25" s="60"/>
    </row>
    <row r="26" spans="1:47" x14ac:dyDescent="0.3">
      <c r="A26" s="60" t="s">
        <v>228</v>
      </c>
      <c r="B26" s="56">
        <v>-242.2</v>
      </c>
      <c r="C26" s="56">
        <v>-748.8</v>
      </c>
      <c r="D26" s="56">
        <v>-502.7</v>
      </c>
      <c r="E26" s="56">
        <v>-305.2</v>
      </c>
      <c r="F26" s="56">
        <v>173.5</v>
      </c>
      <c r="G26" s="56">
        <v>270.10000000000002</v>
      </c>
      <c r="I26" s="201" t="s">
        <v>238</v>
      </c>
      <c r="J26" s="201"/>
      <c r="K26" s="201"/>
      <c r="L26" s="201"/>
      <c r="M26" s="201"/>
      <c r="N26" s="201"/>
      <c r="O26" s="201"/>
      <c r="Q26" s="60" t="s">
        <v>213</v>
      </c>
      <c r="R26" s="56">
        <v>-1170.1199999999999</v>
      </c>
      <c r="S26" s="56">
        <v>-492.53</v>
      </c>
      <c r="T26" s="56">
        <v>-625.22</v>
      </c>
      <c r="U26" s="56">
        <v>-1251.18</v>
      </c>
      <c r="V26" s="56">
        <v>68</v>
      </c>
      <c r="W26" s="56">
        <v>-77</v>
      </c>
      <c r="Y26" s="61" t="s">
        <v>277</v>
      </c>
      <c r="Z26" s="58">
        <f>SUM(Z17:Z25,Z15)</f>
        <v>615.25</v>
      </c>
      <c r="AA26" s="58">
        <f t="shared" ref="AA26:AE26" si="11">SUM(AA17:AA25,AA15)</f>
        <v>1402.02</v>
      </c>
      <c r="AB26" s="58">
        <f t="shared" si="11"/>
        <v>-1194.01</v>
      </c>
      <c r="AC26" s="58">
        <f t="shared" si="11"/>
        <v>-3796.9399999999996</v>
      </c>
      <c r="AD26" s="58">
        <f t="shared" si="11"/>
        <v>-293.24999999999955</v>
      </c>
      <c r="AE26" s="58">
        <f t="shared" si="11"/>
        <v>0</v>
      </c>
      <c r="AG26" s="60" t="s">
        <v>241</v>
      </c>
      <c r="AH26" s="56">
        <v>12.97</v>
      </c>
      <c r="AI26" s="56">
        <v>2.06</v>
      </c>
      <c r="AJ26" s="56">
        <v>1.65</v>
      </c>
      <c r="AK26" s="56">
        <v>8.24</v>
      </c>
      <c r="AL26" s="56">
        <v>4.97</v>
      </c>
      <c r="AM26" s="56">
        <v>23.33</v>
      </c>
      <c r="AO26" s="61" t="s">
        <v>422</v>
      </c>
      <c r="AP26" s="58">
        <f>AP24+AP25</f>
        <v>6351.9999999999982</v>
      </c>
      <c r="AQ26" s="58">
        <f>AQ24+AQ25</f>
        <v>5051.3</v>
      </c>
      <c r="AR26" s="58">
        <f t="shared" ref="AR26:AT26" si="12">AR24+AR25</f>
        <v>2462.6999999999994</v>
      </c>
      <c r="AS26" s="58">
        <f t="shared" si="12"/>
        <v>4642.8999999999987</v>
      </c>
      <c r="AT26" s="58">
        <f t="shared" si="12"/>
        <v>7569.600000000004</v>
      </c>
      <c r="AU26" s="60"/>
    </row>
    <row r="27" spans="1:47" x14ac:dyDescent="0.3">
      <c r="A27" s="60" t="s">
        <v>229</v>
      </c>
      <c r="B27" s="56">
        <v>12.1</v>
      </c>
      <c r="C27" s="56">
        <v>-6.9</v>
      </c>
      <c r="D27" s="56">
        <v>39.700000000000003</v>
      </c>
      <c r="E27" s="56">
        <v>4</v>
      </c>
      <c r="F27" s="56">
        <v>-889.5</v>
      </c>
      <c r="G27" s="56">
        <v>-1153.8</v>
      </c>
      <c r="I27" s="60" t="s">
        <v>280</v>
      </c>
      <c r="J27" s="56">
        <v>-6896.02</v>
      </c>
      <c r="K27" s="56">
        <v>-5989.49</v>
      </c>
      <c r="L27" s="56">
        <v>-6039.8</v>
      </c>
      <c r="M27" s="56">
        <v>-6304.57</v>
      </c>
      <c r="N27" s="56">
        <v>-9945.99</v>
      </c>
      <c r="O27" s="56">
        <v>-10391.950000000001</v>
      </c>
      <c r="Q27" s="60" t="s">
        <v>214</v>
      </c>
      <c r="R27" s="56">
        <v>-21.13</v>
      </c>
      <c r="S27" s="56">
        <v>-18.37</v>
      </c>
      <c r="T27" s="56">
        <v>-34.22</v>
      </c>
      <c r="U27" s="56">
        <v>-46.42</v>
      </c>
      <c r="V27" s="56">
        <v>0</v>
      </c>
      <c r="W27" s="56">
        <v>-40</v>
      </c>
      <c r="Y27" s="60" t="s">
        <v>373</v>
      </c>
      <c r="Z27" s="56">
        <v>-241.82</v>
      </c>
      <c r="AA27" s="56">
        <v>-250.73</v>
      </c>
      <c r="AB27" s="56">
        <v>-366.15</v>
      </c>
      <c r="AC27" s="56">
        <v>-607.87</v>
      </c>
      <c r="AD27" s="56">
        <v>-959.42</v>
      </c>
      <c r="AE27" s="60"/>
      <c r="AG27" s="60" t="s">
        <v>407</v>
      </c>
      <c r="AH27" s="56">
        <v>-23.36</v>
      </c>
      <c r="AI27" s="56">
        <v>0</v>
      </c>
      <c r="AJ27" s="56">
        <f>-7.39+5.25</f>
        <v>-2.1399999999999997</v>
      </c>
      <c r="AK27" s="56">
        <v>0</v>
      </c>
      <c r="AL27" s="56">
        <v>-0.27</v>
      </c>
      <c r="AM27" s="56">
        <v>-1.5</v>
      </c>
      <c r="AO27" s="201" t="s">
        <v>423</v>
      </c>
      <c r="AP27" s="201"/>
      <c r="AQ27" s="201"/>
      <c r="AR27" s="201"/>
      <c r="AS27" s="201"/>
      <c r="AT27" s="201"/>
      <c r="AU27" s="201"/>
    </row>
    <row r="28" spans="1:47" x14ac:dyDescent="0.3">
      <c r="A28" s="60" t="s">
        <v>230</v>
      </c>
      <c r="B28" s="56">
        <v>78.7</v>
      </c>
      <c r="C28" s="56">
        <v>13.7</v>
      </c>
      <c r="D28" s="56">
        <v>51.7</v>
      </c>
      <c r="E28" s="56">
        <v>403.8</v>
      </c>
      <c r="F28" s="56">
        <v>47.7</v>
      </c>
      <c r="G28" s="56">
        <v>-17.2</v>
      </c>
      <c r="I28" s="60" t="s">
        <v>281</v>
      </c>
      <c r="J28" s="56">
        <v>101.9</v>
      </c>
      <c r="K28" s="56">
        <v>1364.15</v>
      </c>
      <c r="L28" s="56">
        <v>119.94</v>
      </c>
      <c r="M28" s="56">
        <v>137.78</v>
      </c>
      <c r="N28" s="56">
        <v>273.23</v>
      </c>
      <c r="O28" s="56">
        <v>582.96</v>
      </c>
      <c r="Q28" s="60" t="s">
        <v>324</v>
      </c>
      <c r="R28" s="56">
        <v>1865.85</v>
      </c>
      <c r="S28" s="56">
        <v>-4402.12</v>
      </c>
      <c r="T28" s="56">
        <v>-878.51</v>
      </c>
      <c r="U28" s="56">
        <v>3746.61</v>
      </c>
      <c r="V28" s="56">
        <v>-537</v>
      </c>
      <c r="W28" s="56">
        <v>-1344</v>
      </c>
      <c r="Y28" s="61" t="s">
        <v>279</v>
      </c>
      <c r="Z28" s="58">
        <f>Z26+Z27</f>
        <v>373.43</v>
      </c>
      <c r="AA28" s="58">
        <f t="shared" ref="AA28:AE28" si="13">AA26+AA27</f>
        <v>1151.29</v>
      </c>
      <c r="AB28" s="58">
        <f t="shared" si="13"/>
        <v>-1560.1599999999999</v>
      </c>
      <c r="AC28" s="58">
        <f t="shared" si="13"/>
        <v>-4404.8099999999995</v>
      </c>
      <c r="AD28" s="58">
        <f t="shared" si="13"/>
        <v>-1252.6699999999996</v>
      </c>
      <c r="AE28" s="58">
        <f t="shared" si="13"/>
        <v>0</v>
      </c>
      <c r="AG28" s="60" t="s">
        <v>399</v>
      </c>
      <c r="AH28" s="56">
        <v>0</v>
      </c>
      <c r="AI28" s="56">
        <v>-1.92</v>
      </c>
      <c r="AJ28" s="56">
        <v>-0.09</v>
      </c>
      <c r="AK28" s="56">
        <v>-0.1</v>
      </c>
      <c r="AL28" s="56">
        <v>-0.12</v>
      </c>
      <c r="AM28" s="56">
        <v>-0.28999999999999998</v>
      </c>
      <c r="AO28" s="60" t="s">
        <v>424</v>
      </c>
      <c r="AP28" s="56">
        <v>-2274.1</v>
      </c>
      <c r="AQ28" s="56">
        <v>-1970</v>
      </c>
      <c r="AR28" s="56">
        <v>-2508.1</v>
      </c>
      <c r="AS28" s="56">
        <v>-2221.1</v>
      </c>
      <c r="AT28" s="56">
        <v>-4125.3999999999996</v>
      </c>
      <c r="AU28" s="60"/>
    </row>
    <row r="29" spans="1:47" x14ac:dyDescent="0.3">
      <c r="A29" s="60" t="s">
        <v>231</v>
      </c>
      <c r="B29" s="56">
        <v>-2155.1</v>
      </c>
      <c r="C29" s="56">
        <v>2680.1</v>
      </c>
      <c r="D29" s="56">
        <v>-395.9</v>
      </c>
      <c r="E29" s="56">
        <v>2007.5</v>
      </c>
      <c r="F29" s="56">
        <v>576.70000000000005</v>
      </c>
      <c r="G29" s="56">
        <v>220.3</v>
      </c>
      <c r="I29" s="60" t="s">
        <v>282</v>
      </c>
      <c r="J29" s="56">
        <v>-198567.8</v>
      </c>
      <c r="K29" s="56">
        <v>-156289.44</v>
      </c>
      <c r="L29" s="56">
        <v>-65421.47</v>
      </c>
      <c r="M29" s="56">
        <v>-50164.56</v>
      </c>
      <c r="N29" s="56">
        <v>-49926.64</v>
      </c>
      <c r="O29" s="56">
        <v>-90594.98</v>
      </c>
      <c r="Q29" s="61" t="s">
        <v>272</v>
      </c>
      <c r="R29" s="62">
        <f>SUM(R4,R6:R28)</f>
        <v>23352.48</v>
      </c>
      <c r="S29" s="62">
        <f t="shared" ref="S29:W29" si="14">SUM(S4,S6:S28)</f>
        <v>31197.640000000003</v>
      </c>
      <c r="T29" s="62">
        <f t="shared" si="14"/>
        <v>26942.77</v>
      </c>
      <c r="U29" s="62">
        <f t="shared" si="14"/>
        <v>41694.130000000005</v>
      </c>
      <c r="V29" s="62">
        <f t="shared" si="14"/>
        <v>65106</v>
      </c>
      <c r="W29" s="62">
        <f t="shared" si="14"/>
        <v>58937</v>
      </c>
      <c r="Y29" s="201" t="s">
        <v>238</v>
      </c>
      <c r="Z29" s="201"/>
      <c r="AA29" s="201"/>
      <c r="AB29" s="201"/>
      <c r="AC29" s="201"/>
      <c r="AD29" s="201"/>
      <c r="AE29" s="201"/>
      <c r="AG29" s="60" t="s">
        <v>400</v>
      </c>
      <c r="AH29" s="56">
        <v>-8684.2099999999991</v>
      </c>
      <c r="AI29" s="56">
        <v>-7647.89</v>
      </c>
      <c r="AJ29" s="56">
        <v>-2038.34</v>
      </c>
      <c r="AK29" s="56">
        <v>-2601</v>
      </c>
      <c r="AL29" s="56">
        <v>-2381.7800000000002</v>
      </c>
      <c r="AM29" s="56">
        <v>-1967.97</v>
      </c>
      <c r="AO29" s="60" t="s">
        <v>425</v>
      </c>
      <c r="AP29" s="56">
        <v>79.900000000000006</v>
      </c>
      <c r="AQ29" s="56">
        <v>37.5</v>
      </c>
      <c r="AR29" s="56">
        <v>71.8</v>
      </c>
      <c r="AS29" s="56">
        <v>38.299999999999997</v>
      </c>
      <c r="AT29" s="56">
        <v>115.4</v>
      </c>
      <c r="AU29" s="60"/>
    </row>
    <row r="30" spans="1:47" x14ac:dyDescent="0.3">
      <c r="A30" s="60" t="s">
        <v>232</v>
      </c>
      <c r="B30" s="56">
        <v>-257.7</v>
      </c>
      <c r="C30" s="56">
        <v>311</v>
      </c>
      <c r="D30" s="56">
        <v>373.4</v>
      </c>
      <c r="E30" s="56">
        <v>-307.7</v>
      </c>
      <c r="F30" s="56">
        <v>2811</v>
      </c>
      <c r="G30" s="56">
        <v>2834.9</v>
      </c>
      <c r="I30" s="60" t="s">
        <v>283</v>
      </c>
      <c r="J30" s="56">
        <v>198131.58</v>
      </c>
      <c r="K30" s="56">
        <v>147983.67999999999</v>
      </c>
      <c r="L30" s="56">
        <v>65127.25</v>
      </c>
      <c r="M30" s="56">
        <v>46269.08</v>
      </c>
      <c r="N30" s="56">
        <v>50919.360000000001</v>
      </c>
      <c r="O30" s="56">
        <v>85257.15</v>
      </c>
      <c r="Q30" s="60" t="s">
        <v>325</v>
      </c>
      <c r="R30" s="56">
        <v>2020.77</v>
      </c>
      <c r="S30" s="56">
        <v>-4386.9399999999996</v>
      </c>
      <c r="T30" s="56">
        <v>-75.63</v>
      </c>
      <c r="U30" s="56">
        <v>617.45000000000005</v>
      </c>
      <c r="V30" s="56">
        <v>-725</v>
      </c>
      <c r="W30" s="56">
        <v>0</v>
      </c>
      <c r="Y30" s="205" t="s">
        <v>386</v>
      </c>
      <c r="Z30" s="81">
        <v>-1021.09</v>
      </c>
      <c r="AA30" s="81">
        <v>-927.98</v>
      </c>
      <c r="AB30" s="81">
        <v>-984.46</v>
      </c>
      <c r="AC30" s="81">
        <v>-1340.77</v>
      </c>
      <c r="AD30" s="81">
        <v>-1145.17</v>
      </c>
      <c r="AE30" s="203"/>
      <c r="AG30" s="60" t="s">
        <v>401</v>
      </c>
      <c r="AH30" s="56">
        <v>7207.28</v>
      </c>
      <c r="AI30" s="56">
        <v>4902.3500000000004</v>
      </c>
      <c r="AJ30" s="56">
        <v>2268.7199999999998</v>
      </c>
      <c r="AK30" s="56">
        <f>2770.97+2.55</f>
        <v>2773.52</v>
      </c>
      <c r="AL30" s="56">
        <v>2776.13</v>
      </c>
      <c r="AM30" s="56">
        <v>1941.22</v>
      </c>
      <c r="AO30" s="60" t="s">
        <v>426</v>
      </c>
      <c r="AP30" s="56">
        <v>3.3</v>
      </c>
      <c r="AQ30" s="56">
        <v>-7.3</v>
      </c>
      <c r="AR30" s="56">
        <v>13.5</v>
      </c>
      <c r="AS30" s="56">
        <v>-27.9</v>
      </c>
      <c r="AT30" s="56">
        <v>-195.8</v>
      </c>
      <c r="AU30" s="60"/>
    </row>
    <row r="31" spans="1:47" ht="28.8" customHeight="1" x14ac:dyDescent="0.3">
      <c r="A31" s="60" t="s">
        <v>233</v>
      </c>
      <c r="B31" s="56">
        <v>-16.5</v>
      </c>
      <c r="C31" s="56">
        <v>62.1</v>
      </c>
      <c r="D31" s="56">
        <v>118.5</v>
      </c>
      <c r="E31" s="56">
        <v>101.1</v>
      </c>
      <c r="F31" s="56">
        <v>-383.5</v>
      </c>
      <c r="G31" s="56">
        <v>537.70000000000005</v>
      </c>
      <c r="I31" s="60" t="s">
        <v>284</v>
      </c>
      <c r="J31" s="56">
        <v>372.38</v>
      </c>
      <c r="K31" s="56">
        <v>431.11</v>
      </c>
      <c r="L31" s="56">
        <v>419.57</v>
      </c>
      <c r="M31" s="56">
        <v>463.67</v>
      </c>
      <c r="N31" s="56">
        <v>703.28</v>
      </c>
      <c r="O31" s="56">
        <v>883.9</v>
      </c>
      <c r="Q31" s="60" t="s">
        <v>73</v>
      </c>
      <c r="R31" s="56">
        <v>7928.93</v>
      </c>
      <c r="S31" s="56">
        <v>-1118.3499999999999</v>
      </c>
      <c r="T31" s="56">
        <v>261.08</v>
      </c>
      <c r="U31" s="56">
        <v>-2830.1</v>
      </c>
      <c r="V31" s="56">
        <v>-1151</v>
      </c>
      <c r="W31" s="56">
        <v>3573</v>
      </c>
      <c r="Y31" s="206"/>
      <c r="Z31" s="77"/>
      <c r="AA31" s="77"/>
      <c r="AB31" s="77"/>
      <c r="AC31" s="77"/>
      <c r="AD31" s="77"/>
      <c r="AE31" s="204"/>
      <c r="AG31" s="60" t="s">
        <v>402</v>
      </c>
      <c r="AH31" s="56">
        <v>998.5</v>
      </c>
      <c r="AI31" s="56">
        <v>1166.73</v>
      </c>
      <c r="AJ31" s="56">
        <v>1.57</v>
      </c>
      <c r="AK31" s="56">
        <v>16.37</v>
      </c>
      <c r="AL31" s="56">
        <v>18.850000000000001</v>
      </c>
      <c r="AM31" s="56">
        <v>20.010000000000002</v>
      </c>
      <c r="AO31" s="60" t="s">
        <v>427</v>
      </c>
      <c r="AP31" s="56">
        <v>-19.899999999999999</v>
      </c>
      <c r="AQ31" s="56">
        <v>-34.9</v>
      </c>
      <c r="AR31" s="56">
        <v>49.8</v>
      </c>
      <c r="AS31" s="56">
        <v>-2.8</v>
      </c>
      <c r="AT31" s="56">
        <v>12.1</v>
      </c>
      <c r="AU31" s="60"/>
    </row>
    <row r="32" spans="1:47" x14ac:dyDescent="0.3">
      <c r="A32" s="60" t="s">
        <v>234</v>
      </c>
      <c r="B32" s="56">
        <v>-209.6</v>
      </c>
      <c r="C32" s="56">
        <v>1177.5999999999999</v>
      </c>
      <c r="D32" s="56">
        <v>188.5</v>
      </c>
      <c r="E32" s="56">
        <v>256.3</v>
      </c>
      <c r="F32" s="56">
        <f>121.2+760.2</f>
        <v>881.40000000000009</v>
      </c>
      <c r="G32" s="56">
        <f>125.6+76.1</f>
        <v>201.7</v>
      </c>
      <c r="I32" s="60" t="s">
        <v>248</v>
      </c>
      <c r="J32" s="56">
        <v>695.76</v>
      </c>
      <c r="K32" s="56">
        <v>571.89</v>
      </c>
      <c r="L32" s="56">
        <v>1245.78</v>
      </c>
      <c r="M32" s="56">
        <v>1391.01</v>
      </c>
      <c r="N32" s="56">
        <v>1200.31</v>
      </c>
      <c r="O32" s="56">
        <v>1364.65</v>
      </c>
      <c r="Q32" s="60" t="s">
        <v>326</v>
      </c>
      <c r="R32" s="56">
        <v>64.53</v>
      </c>
      <c r="S32" s="56">
        <v>-1308.92</v>
      </c>
      <c r="T32" s="56">
        <v>129.26</v>
      </c>
      <c r="U32" s="56">
        <v>-736.04</v>
      </c>
      <c r="V32" s="56">
        <v>-3083</v>
      </c>
      <c r="W32" s="56">
        <v>-3289</v>
      </c>
      <c r="Y32" s="60" t="s">
        <v>374</v>
      </c>
      <c r="Z32" s="56">
        <v>30.21</v>
      </c>
      <c r="AA32" s="56">
        <v>3.35</v>
      </c>
      <c r="AB32" s="56">
        <v>13.58</v>
      </c>
      <c r="AC32" s="56">
        <v>21.94</v>
      </c>
      <c r="AD32" s="56">
        <v>34.630000000000003</v>
      </c>
      <c r="AE32" s="60"/>
      <c r="AG32" s="61" t="s">
        <v>296</v>
      </c>
      <c r="AH32" s="58">
        <f>SUM(AH24:AH31)</f>
        <v>-1096.9099999999989</v>
      </c>
      <c r="AI32" s="58">
        <f t="shared" ref="AI32:AM32" si="15">SUM(AI24:AI31)</f>
        <v>-2080.2900000000004</v>
      </c>
      <c r="AJ32" s="58">
        <f t="shared" si="15"/>
        <v>-434.52000000000015</v>
      </c>
      <c r="AK32" s="58">
        <f t="shared" si="15"/>
        <v>-798.82</v>
      </c>
      <c r="AL32" s="58">
        <f t="shared" si="15"/>
        <v>-1458.27</v>
      </c>
      <c r="AM32" s="58">
        <f t="shared" si="15"/>
        <v>-1933.92</v>
      </c>
      <c r="AO32" s="60" t="s">
        <v>247</v>
      </c>
      <c r="AP32" s="56">
        <v>38.700000000000003</v>
      </c>
      <c r="AQ32" s="56">
        <v>63.5</v>
      </c>
      <c r="AR32" s="56">
        <v>115.7</v>
      </c>
      <c r="AS32" s="56">
        <v>69</v>
      </c>
      <c r="AT32" s="56">
        <v>169.3</v>
      </c>
      <c r="AU32" s="60"/>
    </row>
    <row r="33" spans="1:47" x14ac:dyDescent="0.3">
      <c r="A33" s="61" t="s">
        <v>235</v>
      </c>
      <c r="B33" s="58">
        <f>SUM(B18,B20:B32)</f>
        <v>4933.3</v>
      </c>
      <c r="C33" s="58">
        <f t="shared" ref="C33:G33" si="16">SUM(C18,C20:C32)</f>
        <v>9867.5</v>
      </c>
      <c r="D33" s="58">
        <f t="shared" si="16"/>
        <v>3018.7999999999993</v>
      </c>
      <c r="E33" s="58">
        <f t="shared" si="16"/>
        <v>11484.199999999997</v>
      </c>
      <c r="F33" s="58">
        <f t="shared" si="16"/>
        <v>18722.700000000004</v>
      </c>
      <c r="G33" s="58">
        <f t="shared" si="16"/>
        <v>17794.199999999993</v>
      </c>
      <c r="I33" s="60" t="s">
        <v>285</v>
      </c>
      <c r="J33" s="56">
        <v>446.31</v>
      </c>
      <c r="K33" s="56">
        <v>0</v>
      </c>
      <c r="L33" s="56">
        <v>55.05</v>
      </c>
      <c r="M33" s="56">
        <v>70.930000000000007</v>
      </c>
      <c r="N33" s="56">
        <v>12.38</v>
      </c>
      <c r="O33" s="56">
        <v>9.5500000000000007</v>
      </c>
      <c r="Q33" s="60" t="s">
        <v>327</v>
      </c>
      <c r="R33" s="56">
        <v>-2830.89</v>
      </c>
      <c r="S33" s="56">
        <v>3853.53</v>
      </c>
      <c r="T33" s="56">
        <v>-5312.17</v>
      </c>
      <c r="U33" s="56">
        <v>-3182.09</v>
      </c>
      <c r="V33" s="56">
        <v>1666</v>
      </c>
      <c r="W33" s="56">
        <v>-3183</v>
      </c>
      <c r="Y33" s="60" t="s">
        <v>375</v>
      </c>
      <c r="Z33" s="56">
        <v>-94.01</v>
      </c>
      <c r="AA33" s="56">
        <v>-5.51</v>
      </c>
      <c r="AB33" s="56">
        <v>-146.80000000000001</v>
      </c>
      <c r="AC33" s="56">
        <v>-265.58</v>
      </c>
      <c r="AD33" s="56">
        <v>-223.25</v>
      </c>
      <c r="AE33" s="60"/>
      <c r="AG33" s="198" t="s">
        <v>250</v>
      </c>
      <c r="AH33" s="199"/>
      <c r="AI33" s="199"/>
      <c r="AJ33" s="199"/>
      <c r="AK33" s="199"/>
      <c r="AL33" s="199"/>
      <c r="AM33" s="200"/>
      <c r="AO33" s="60" t="s">
        <v>248</v>
      </c>
      <c r="AP33" s="56">
        <v>0.6</v>
      </c>
      <c r="AQ33" s="56">
        <v>0</v>
      </c>
      <c r="AR33" s="56">
        <v>0.6</v>
      </c>
      <c r="AS33" s="56">
        <v>0</v>
      </c>
      <c r="AT33" s="56">
        <v>1.3</v>
      </c>
      <c r="AU33" s="60"/>
    </row>
    <row r="34" spans="1:47" x14ac:dyDescent="0.3">
      <c r="A34" s="60" t="s">
        <v>236</v>
      </c>
      <c r="B34" s="56">
        <v>-1437.5</v>
      </c>
      <c r="C34" s="56">
        <v>-1011.3</v>
      </c>
      <c r="D34" s="56">
        <v>-1178.3</v>
      </c>
      <c r="E34" s="56">
        <v>-2232.8000000000002</v>
      </c>
      <c r="F34" s="56">
        <v>-3555.7</v>
      </c>
      <c r="G34" s="56">
        <v>-3781.8</v>
      </c>
      <c r="I34" s="60" t="s">
        <v>286</v>
      </c>
      <c r="J34" s="56">
        <v>26.28</v>
      </c>
      <c r="K34" s="56">
        <v>4.68</v>
      </c>
      <c r="L34" s="56">
        <v>1.25</v>
      </c>
      <c r="M34" s="56">
        <v>5.68</v>
      </c>
      <c r="N34" s="56">
        <v>27.27</v>
      </c>
      <c r="O34" s="56">
        <v>59.71</v>
      </c>
      <c r="Q34" s="60" t="s">
        <v>29</v>
      </c>
      <c r="R34" s="56">
        <v>2325.5</v>
      </c>
      <c r="S34" s="56">
        <v>3814.5</v>
      </c>
      <c r="T34" s="56">
        <v>472.06</v>
      </c>
      <c r="U34" s="56">
        <v>-5665.36</v>
      </c>
      <c r="V34" s="56">
        <v>-7265</v>
      </c>
      <c r="W34" s="56">
        <v>2127</v>
      </c>
      <c r="Y34" s="60" t="s">
        <v>376</v>
      </c>
      <c r="Z34" s="56">
        <v>-38.97</v>
      </c>
      <c r="AA34" s="56">
        <v>-52.56</v>
      </c>
      <c r="AB34" s="56">
        <v>-75</v>
      </c>
      <c r="AC34" s="56">
        <v>-87.17</v>
      </c>
      <c r="AD34" s="56">
        <v>-387.59</v>
      </c>
      <c r="AE34" s="60"/>
      <c r="AG34" s="60" t="s">
        <v>299</v>
      </c>
      <c r="AH34" s="56">
        <v>110.69</v>
      </c>
      <c r="AI34" s="56">
        <v>205.25</v>
      </c>
      <c r="AJ34" s="56">
        <v>134.08000000000001</v>
      </c>
      <c r="AK34" s="56">
        <v>175.61</v>
      </c>
      <c r="AL34" s="56">
        <v>526.70000000000005</v>
      </c>
      <c r="AM34" s="56">
        <v>1014.19</v>
      </c>
      <c r="AO34" s="60" t="s">
        <v>428</v>
      </c>
      <c r="AP34" s="56">
        <v>55.9</v>
      </c>
      <c r="AQ34" s="56">
        <v>15</v>
      </c>
      <c r="AR34" s="56">
        <v>78.7</v>
      </c>
      <c r="AS34" s="56">
        <v>198.2</v>
      </c>
      <c r="AT34" s="56">
        <v>170.3</v>
      </c>
      <c r="AU34" s="60"/>
    </row>
    <row r="35" spans="1:47" x14ac:dyDescent="0.3">
      <c r="A35" s="61" t="s">
        <v>237</v>
      </c>
      <c r="B35" s="58">
        <f>B33+B34</f>
        <v>3495.8</v>
      </c>
      <c r="C35" s="58">
        <f t="shared" ref="C35:G35" si="17">C33+C34</f>
        <v>8856.2000000000007</v>
      </c>
      <c r="D35" s="58">
        <f t="shared" si="17"/>
        <v>1840.4999999999993</v>
      </c>
      <c r="E35" s="58">
        <f t="shared" si="17"/>
        <v>9251.3999999999978</v>
      </c>
      <c r="F35" s="58">
        <f t="shared" si="17"/>
        <v>15167.000000000004</v>
      </c>
      <c r="G35" s="58">
        <f t="shared" si="17"/>
        <v>14012.399999999994</v>
      </c>
      <c r="I35" s="60" t="s">
        <v>287</v>
      </c>
      <c r="J35" s="56">
        <v>-3341.68</v>
      </c>
      <c r="K35" s="56">
        <v>-10752.08</v>
      </c>
      <c r="L35" s="56">
        <v>-7468.23</v>
      </c>
      <c r="M35" s="56">
        <v>-12292.91</v>
      </c>
      <c r="N35" s="56">
        <v>-12270.39</v>
      </c>
      <c r="O35" s="56">
        <v>-15139.63</v>
      </c>
      <c r="Q35" s="60" t="s">
        <v>328</v>
      </c>
      <c r="R35" s="56">
        <v>-8084.81</v>
      </c>
      <c r="S35" s="56">
        <v>5748.15</v>
      </c>
      <c r="T35" s="56">
        <v>-7011.86</v>
      </c>
      <c r="U35" s="56">
        <v>6944.85</v>
      </c>
      <c r="V35" s="56">
        <v>13706</v>
      </c>
      <c r="W35" s="56">
        <v>1303</v>
      </c>
      <c r="Y35" s="60" t="s">
        <v>377</v>
      </c>
      <c r="Z35" s="56">
        <v>0</v>
      </c>
      <c r="AA35" s="56">
        <v>16.440000000000001</v>
      </c>
      <c r="AB35" s="56">
        <v>87.44</v>
      </c>
      <c r="AC35" s="56">
        <v>317.01</v>
      </c>
      <c r="AD35" s="56">
        <v>168.59</v>
      </c>
      <c r="AE35" s="60"/>
      <c r="AG35" s="60" t="s">
        <v>300</v>
      </c>
      <c r="AH35" s="56">
        <v>-128.44</v>
      </c>
      <c r="AI35" s="56">
        <v>-134.19</v>
      </c>
      <c r="AJ35" s="56">
        <v>-44.69</v>
      </c>
      <c r="AK35" s="56">
        <v>-101.62</v>
      </c>
      <c r="AL35" s="56">
        <v>-118.06</v>
      </c>
      <c r="AM35" s="56">
        <v>-164.44</v>
      </c>
      <c r="AO35" s="60" t="s">
        <v>429</v>
      </c>
      <c r="AP35" s="56">
        <v>-1.5</v>
      </c>
      <c r="AQ35" s="56">
        <v>2.7</v>
      </c>
      <c r="AR35" s="56">
        <v>-25.8</v>
      </c>
      <c r="AS35" s="56">
        <v>-39.299999999999997</v>
      </c>
      <c r="AT35" s="56">
        <v>-85.7</v>
      </c>
      <c r="AU35" s="60"/>
    </row>
    <row r="36" spans="1:47" x14ac:dyDescent="0.3">
      <c r="A36" s="201" t="s">
        <v>238</v>
      </c>
      <c r="B36" s="201"/>
      <c r="C36" s="201"/>
      <c r="D36" s="201"/>
      <c r="E36" s="201"/>
      <c r="F36" s="201"/>
      <c r="G36" s="201"/>
      <c r="I36" s="60" t="s">
        <v>288</v>
      </c>
      <c r="J36" s="56">
        <v>2583.41</v>
      </c>
      <c r="K36" s="56">
        <v>4533.0200000000004</v>
      </c>
      <c r="L36" s="56">
        <v>8813.19</v>
      </c>
      <c r="M36" s="56">
        <v>10755.17</v>
      </c>
      <c r="N36" s="56">
        <v>12199.41</v>
      </c>
      <c r="O36" s="56">
        <v>9034.06</v>
      </c>
      <c r="Q36" s="60" t="s">
        <v>329</v>
      </c>
      <c r="R36" s="56">
        <v>-6450.14</v>
      </c>
      <c r="S36" s="56">
        <v>2217.87</v>
      </c>
      <c r="T36" s="56">
        <v>-3065.37</v>
      </c>
      <c r="U36" s="56">
        <v>537.16</v>
      </c>
      <c r="V36" s="56">
        <v>4699</v>
      </c>
      <c r="W36" s="56">
        <v>2364</v>
      </c>
      <c r="Y36" s="60" t="s">
        <v>378</v>
      </c>
      <c r="Z36" s="56">
        <v>5.81</v>
      </c>
      <c r="AA36" s="56">
        <v>0.34</v>
      </c>
      <c r="AB36" s="56">
        <v>-619.99</v>
      </c>
      <c r="AC36" s="56">
        <v>-34.630000000000003</v>
      </c>
      <c r="AD36" s="56">
        <v>47.82</v>
      </c>
      <c r="AE36" s="60"/>
      <c r="AG36" s="60" t="s">
        <v>303</v>
      </c>
      <c r="AH36" s="56">
        <v>-502.11</v>
      </c>
      <c r="AI36" s="56">
        <v>-170</v>
      </c>
      <c r="AJ36" s="56">
        <v>-170</v>
      </c>
      <c r="AK36" s="56">
        <v>0</v>
      </c>
      <c r="AL36" s="56">
        <v>-170</v>
      </c>
      <c r="AM36" s="56">
        <v>-170</v>
      </c>
      <c r="AO36" s="60" t="s">
        <v>430</v>
      </c>
      <c r="AP36" s="56">
        <v>-122.8</v>
      </c>
      <c r="AQ36" s="56">
        <v>0</v>
      </c>
      <c r="AR36" s="56">
        <v>-108.1</v>
      </c>
      <c r="AS36" s="56">
        <v>-259.2</v>
      </c>
      <c r="AT36" s="56">
        <v>-2723.2</v>
      </c>
      <c r="AU36" s="60"/>
    </row>
    <row r="37" spans="1:47" x14ac:dyDescent="0.3">
      <c r="A37" s="60" t="s">
        <v>239</v>
      </c>
      <c r="B37" s="56">
        <v>-3194.7</v>
      </c>
      <c r="C37" s="56">
        <v>-2132</v>
      </c>
      <c r="D37" s="56">
        <v>-3206.33</v>
      </c>
      <c r="E37" s="56">
        <v>-6116.6</v>
      </c>
      <c r="F37" s="56">
        <v>-6726.9</v>
      </c>
      <c r="G37" s="56">
        <v>-8348.6</v>
      </c>
      <c r="I37" s="60" t="s">
        <v>289</v>
      </c>
      <c r="J37" s="56">
        <v>-150.53</v>
      </c>
      <c r="K37" s="56">
        <v>0.87</v>
      </c>
      <c r="L37" s="56">
        <v>175.39</v>
      </c>
      <c r="M37" s="56">
        <v>70.89</v>
      </c>
      <c r="N37" s="56">
        <v>10.23</v>
      </c>
      <c r="O37" s="56">
        <v>20.83</v>
      </c>
      <c r="Q37" s="60" t="s">
        <v>57</v>
      </c>
      <c r="R37" s="56">
        <v>272.74</v>
      </c>
      <c r="S37" s="56">
        <v>-1168.3900000000001</v>
      </c>
      <c r="T37" s="56">
        <v>-178.55</v>
      </c>
      <c r="U37" s="56">
        <v>706.43</v>
      </c>
      <c r="V37" s="56">
        <v>1845</v>
      </c>
      <c r="W37" s="56">
        <v>-553</v>
      </c>
      <c r="Y37" s="60" t="s">
        <v>379</v>
      </c>
      <c r="Z37" s="56">
        <v>0</v>
      </c>
      <c r="AA37" s="56">
        <v>54.51</v>
      </c>
      <c r="AB37" s="56">
        <v>228</v>
      </c>
      <c r="AC37" s="56">
        <v>68.8</v>
      </c>
      <c r="AD37" s="56">
        <v>480</v>
      </c>
      <c r="AE37" s="60"/>
      <c r="AG37" s="60" t="s">
        <v>403</v>
      </c>
      <c r="AH37" s="56">
        <f>-35.75+28.21</f>
        <v>-7.5399999999999991</v>
      </c>
      <c r="AI37" s="56">
        <f>-58.03</f>
        <v>-58.03</v>
      </c>
      <c r="AJ37" s="56">
        <v>-33.69</v>
      </c>
      <c r="AK37" s="56">
        <f>-34.83-21.57</f>
        <v>-56.4</v>
      </c>
      <c r="AL37" s="56">
        <v>-59.19</v>
      </c>
      <c r="AM37" s="56">
        <v>-52.8</v>
      </c>
      <c r="AO37" s="61" t="s">
        <v>296</v>
      </c>
      <c r="AP37" s="58">
        <f>SUM(AP28:AP36)</f>
        <v>-2239.9</v>
      </c>
      <c r="AQ37" s="58">
        <f t="shared" ref="AQ37:AT37" si="18">SUM(AQ28:AQ36)</f>
        <v>-1893.5</v>
      </c>
      <c r="AR37" s="58">
        <f t="shared" si="18"/>
        <v>-2311.9</v>
      </c>
      <c r="AS37" s="58">
        <f t="shared" si="18"/>
        <v>-2244.7999999999997</v>
      </c>
      <c r="AT37" s="58">
        <f t="shared" si="18"/>
        <v>-6661.699999999998</v>
      </c>
      <c r="AU37" s="60"/>
    </row>
    <row r="38" spans="1:47" x14ac:dyDescent="0.3">
      <c r="A38" s="60" t="s">
        <v>240</v>
      </c>
      <c r="B38" s="56">
        <v>-242.3</v>
      </c>
      <c r="C38" s="56">
        <v>-238.3</v>
      </c>
      <c r="D38" s="56">
        <v>-253</v>
      </c>
      <c r="E38" s="56">
        <v>-230.7</v>
      </c>
      <c r="F38" s="56">
        <v>-280.8</v>
      </c>
      <c r="G38" s="56">
        <v>-384.5</v>
      </c>
      <c r="I38" s="60" t="s">
        <v>290</v>
      </c>
      <c r="J38" s="56">
        <v>-608</v>
      </c>
      <c r="K38" s="56">
        <v>-569.4</v>
      </c>
      <c r="L38" s="56">
        <v>-818.28</v>
      </c>
      <c r="M38" s="56">
        <v>-987</v>
      </c>
      <c r="N38" s="56">
        <v>-410.08</v>
      </c>
      <c r="O38" s="56">
        <v>-471</v>
      </c>
      <c r="Q38" s="60" t="s">
        <v>49</v>
      </c>
      <c r="R38" s="56">
        <v>9818.77</v>
      </c>
      <c r="S38" s="56">
        <v>-7744.02</v>
      </c>
      <c r="T38" s="56">
        <v>4030.88</v>
      </c>
      <c r="U38" s="56">
        <v>480.57</v>
      </c>
      <c r="V38" s="56">
        <v>-2367</v>
      </c>
      <c r="W38" s="56">
        <v>5814</v>
      </c>
      <c r="Y38" s="60" t="s">
        <v>247</v>
      </c>
      <c r="Z38" s="56">
        <v>26.64</v>
      </c>
      <c r="AA38" s="56">
        <v>28.84</v>
      </c>
      <c r="AB38" s="56">
        <v>7.88</v>
      </c>
      <c r="AC38" s="56">
        <v>12.64</v>
      </c>
      <c r="AD38" s="56">
        <v>23.61</v>
      </c>
      <c r="AE38" s="60"/>
      <c r="AG38" s="60" t="s">
        <v>360</v>
      </c>
      <c r="AH38" s="56">
        <v>-4.41</v>
      </c>
      <c r="AI38" s="56">
        <v>-13.01</v>
      </c>
      <c r="AJ38" s="56">
        <v>-35.32</v>
      </c>
      <c r="AK38" s="56">
        <v>-47.69</v>
      </c>
      <c r="AL38" s="56">
        <v>-71.349999999999994</v>
      </c>
      <c r="AM38" s="56">
        <v>-112.33</v>
      </c>
      <c r="AO38" s="201" t="s">
        <v>431</v>
      </c>
      <c r="AP38" s="201"/>
      <c r="AQ38" s="201"/>
      <c r="AR38" s="201"/>
      <c r="AS38" s="201"/>
      <c r="AT38" s="201"/>
      <c r="AU38" s="201"/>
    </row>
    <row r="39" spans="1:47" x14ac:dyDescent="0.3">
      <c r="A39" s="60" t="s">
        <v>241</v>
      </c>
      <c r="B39" s="56">
        <v>37</v>
      </c>
      <c r="C39" s="56">
        <v>42</v>
      </c>
      <c r="D39" s="56">
        <v>136</v>
      </c>
      <c r="E39" s="56">
        <v>99.6</v>
      </c>
      <c r="F39" s="56">
        <v>44</v>
      </c>
      <c r="G39" s="56">
        <v>32.6</v>
      </c>
      <c r="I39" s="60" t="s">
        <v>291</v>
      </c>
      <c r="J39" s="56">
        <v>614</v>
      </c>
      <c r="K39" s="56">
        <v>307.5</v>
      </c>
      <c r="L39" s="56">
        <v>266.5</v>
      </c>
      <c r="M39" s="56">
        <v>893.92</v>
      </c>
      <c r="N39" s="56">
        <v>895.55</v>
      </c>
      <c r="O39" s="56">
        <v>227</v>
      </c>
      <c r="Q39" s="61" t="s">
        <v>277</v>
      </c>
      <c r="R39" s="58">
        <f>SUM(R29,R30:R38)</f>
        <v>28417.88</v>
      </c>
      <c r="S39" s="58">
        <f t="shared" ref="S39:W39" si="19">SUM(S29,S30:S38)</f>
        <v>31105.070000000011</v>
      </c>
      <c r="T39" s="58">
        <f t="shared" si="19"/>
        <v>16192.470000000001</v>
      </c>
      <c r="U39" s="58">
        <f t="shared" si="19"/>
        <v>38567.000000000007</v>
      </c>
      <c r="V39" s="58">
        <f t="shared" si="19"/>
        <v>72431</v>
      </c>
      <c r="W39" s="58">
        <f t="shared" si="19"/>
        <v>67093</v>
      </c>
      <c r="Y39" s="60" t="s">
        <v>380</v>
      </c>
      <c r="Z39" s="56">
        <v>1.26</v>
      </c>
      <c r="AA39" s="56">
        <v>0.2</v>
      </c>
      <c r="AB39" s="56">
        <v>3.81</v>
      </c>
      <c r="AC39" s="56">
        <v>0</v>
      </c>
      <c r="AD39" s="56">
        <v>0</v>
      </c>
      <c r="AE39" s="60"/>
      <c r="AG39" s="61" t="s">
        <v>404</v>
      </c>
      <c r="AH39" s="58">
        <f>SUM(AH34:AH38)</f>
        <v>-531.80999999999995</v>
      </c>
      <c r="AI39" s="58">
        <f t="shared" ref="AI39:AM39" si="20">SUM(AI34:AI38)</f>
        <v>-169.98</v>
      </c>
      <c r="AJ39" s="58">
        <f t="shared" si="20"/>
        <v>-149.61999999999998</v>
      </c>
      <c r="AK39" s="58">
        <f t="shared" si="20"/>
        <v>-30.099999999999987</v>
      </c>
      <c r="AL39" s="58">
        <f t="shared" si="20"/>
        <v>108.10000000000005</v>
      </c>
      <c r="AM39" s="58">
        <f t="shared" si="20"/>
        <v>514.62</v>
      </c>
      <c r="AO39" s="60" t="s">
        <v>432</v>
      </c>
      <c r="AP39" s="56">
        <v>0</v>
      </c>
      <c r="AQ39" s="56">
        <v>3.7</v>
      </c>
      <c r="AR39" s="56">
        <v>0</v>
      </c>
      <c r="AS39" s="56">
        <v>-145.30000000000001</v>
      </c>
      <c r="AT39" s="56">
        <v>23.6</v>
      </c>
      <c r="AU39" s="60"/>
    </row>
    <row r="40" spans="1:47" x14ac:dyDescent="0.3">
      <c r="A40" s="60" t="s">
        <v>242</v>
      </c>
      <c r="B40" s="56">
        <v>-15</v>
      </c>
      <c r="C40" s="56">
        <v>-65.3</v>
      </c>
      <c r="D40" s="56">
        <v>-145.9</v>
      </c>
      <c r="E40" s="56">
        <v>0</v>
      </c>
      <c r="F40" s="56">
        <v>-80</v>
      </c>
      <c r="G40" s="56">
        <v>-18</v>
      </c>
      <c r="I40" s="60" t="s">
        <v>292</v>
      </c>
      <c r="J40" s="56">
        <v>-418.27</v>
      </c>
      <c r="K40" s="56">
        <v>-359.13</v>
      </c>
      <c r="L40" s="56">
        <v>-222.38</v>
      </c>
      <c r="M40" s="56">
        <v>-62.05</v>
      </c>
      <c r="N40" s="56">
        <v>-248.84</v>
      </c>
      <c r="O40" s="56">
        <v>-29.1</v>
      </c>
      <c r="Q40" s="60" t="s">
        <v>330</v>
      </c>
      <c r="R40" s="56">
        <v>-1784.94</v>
      </c>
      <c r="S40" s="56">
        <v>-2104.56</v>
      </c>
      <c r="T40" s="56">
        <v>-1909.64</v>
      </c>
      <c r="U40" s="56">
        <v>-3178.99</v>
      </c>
      <c r="V40" s="56">
        <v>-4516</v>
      </c>
      <c r="W40" s="56">
        <v>-3991</v>
      </c>
      <c r="Y40" s="61" t="s">
        <v>346</v>
      </c>
      <c r="Z40" s="58">
        <f>SUM(Z30:Z39)</f>
        <v>-1090.1500000000001</v>
      </c>
      <c r="AA40" s="58">
        <f t="shared" ref="AA40:AD40" si="21">SUM(AA30:AA39)</f>
        <v>-882.36999999999989</v>
      </c>
      <c r="AB40" s="58">
        <f t="shared" si="21"/>
        <v>-1485.54</v>
      </c>
      <c r="AC40" s="58">
        <f t="shared" si="21"/>
        <v>-1307.76</v>
      </c>
      <c r="AD40" s="58">
        <f t="shared" si="21"/>
        <v>-1001.36</v>
      </c>
      <c r="AE40" s="60"/>
      <c r="AG40" s="61" t="s">
        <v>257</v>
      </c>
      <c r="AH40" s="58">
        <f>AH23+AH32+AH39</f>
        <v>-9.5299999999986085</v>
      </c>
      <c r="AI40" s="58">
        <f t="shared" ref="AI40:AM40" si="22">AI23+AI32+AI39</f>
        <v>12.859999999999701</v>
      </c>
      <c r="AJ40" s="58">
        <f t="shared" si="22"/>
        <v>179.85999999999999</v>
      </c>
      <c r="AK40" s="58">
        <f t="shared" si="22"/>
        <v>-60.680000000000142</v>
      </c>
      <c r="AL40" s="58">
        <f t="shared" si="22"/>
        <v>182.97000000000062</v>
      </c>
      <c r="AM40" s="58">
        <f t="shared" si="22"/>
        <v>-146.39999999999998</v>
      </c>
      <c r="AO40" s="60" t="s">
        <v>303</v>
      </c>
      <c r="AP40" s="56">
        <v>-945.7</v>
      </c>
      <c r="AQ40" s="56">
        <v>-0.5</v>
      </c>
      <c r="AR40" s="56">
        <v>-472.4</v>
      </c>
      <c r="AS40" s="56">
        <v>-293.8</v>
      </c>
      <c r="AT40" s="56">
        <v>-440.9</v>
      </c>
      <c r="AU40" s="60"/>
    </row>
    <row r="41" spans="1:47" x14ac:dyDescent="0.3">
      <c r="A41" s="60" t="s">
        <v>243</v>
      </c>
      <c r="B41" s="56">
        <v>0</v>
      </c>
      <c r="C41" s="56">
        <v>-21.8</v>
      </c>
      <c r="D41" s="56">
        <f>3003.7-30</f>
        <v>2973.7</v>
      </c>
      <c r="E41" s="56">
        <f>-102+3002.9</f>
        <v>2900.9</v>
      </c>
      <c r="F41" s="56">
        <v>61932.7</v>
      </c>
      <c r="G41" s="56">
        <v>59844.4</v>
      </c>
      <c r="I41" s="60" t="s">
        <v>293</v>
      </c>
      <c r="J41" s="56">
        <v>-58.74</v>
      </c>
      <c r="K41" s="56">
        <v>0</v>
      </c>
      <c r="L41" s="56">
        <v>-41.83</v>
      </c>
      <c r="M41" s="56">
        <v>-586.58000000000004</v>
      </c>
      <c r="N41" s="56">
        <v>-52.87</v>
      </c>
      <c r="O41" s="56">
        <v>0</v>
      </c>
      <c r="Q41" s="61" t="s">
        <v>279</v>
      </c>
      <c r="R41" s="58">
        <f>R39+R40</f>
        <v>26632.940000000002</v>
      </c>
      <c r="S41" s="58">
        <f t="shared" ref="S41:W41" si="23">S39+S40</f>
        <v>29000.510000000009</v>
      </c>
      <c r="T41" s="58">
        <f t="shared" si="23"/>
        <v>14282.830000000002</v>
      </c>
      <c r="U41" s="58">
        <f t="shared" si="23"/>
        <v>35388.010000000009</v>
      </c>
      <c r="V41" s="58">
        <f t="shared" si="23"/>
        <v>67915</v>
      </c>
      <c r="W41" s="58">
        <f t="shared" si="23"/>
        <v>63102</v>
      </c>
      <c r="Y41" s="201" t="s">
        <v>250</v>
      </c>
      <c r="Z41" s="201"/>
      <c r="AA41" s="201"/>
      <c r="AB41" s="201"/>
      <c r="AC41" s="201"/>
      <c r="AD41" s="201"/>
      <c r="AE41" s="201"/>
      <c r="AG41" s="61" t="s">
        <v>308</v>
      </c>
      <c r="AH41" s="58">
        <v>340.94</v>
      </c>
      <c r="AI41" s="58">
        <f>AH43</f>
        <v>331.47000000000139</v>
      </c>
      <c r="AJ41" s="58">
        <f t="shared" ref="AJ41:AM41" si="24">AI43</f>
        <v>342.43000000000109</v>
      </c>
      <c r="AK41" s="58">
        <f t="shared" si="24"/>
        <v>510.18000000000109</v>
      </c>
      <c r="AL41" s="58">
        <f t="shared" si="24"/>
        <v>452.85000000000093</v>
      </c>
      <c r="AM41" s="58">
        <f t="shared" si="24"/>
        <v>644.06000000000154</v>
      </c>
      <c r="AO41" s="60" t="s">
        <v>433</v>
      </c>
      <c r="AP41" s="56">
        <v>-137</v>
      </c>
      <c r="AQ41" s="56">
        <v>0</v>
      </c>
      <c r="AR41" s="56">
        <v>-173.3</v>
      </c>
      <c r="AS41" s="56">
        <v>-37</v>
      </c>
      <c r="AT41" s="56">
        <v>-234.2</v>
      </c>
      <c r="AU41" s="60"/>
    </row>
    <row r="42" spans="1:47" x14ac:dyDescent="0.3">
      <c r="A42" s="60" t="s">
        <v>244</v>
      </c>
      <c r="B42" s="56">
        <v>46968.7</v>
      </c>
      <c r="C42" s="56">
        <v>42919.5</v>
      </c>
      <c r="D42" s="56">
        <v>63578.7</v>
      </c>
      <c r="E42" s="56">
        <v>61605.4</v>
      </c>
      <c r="F42" s="56">
        <v>-65709.899999999994</v>
      </c>
      <c r="G42" s="56">
        <v>-61200</v>
      </c>
      <c r="I42" s="60" t="s">
        <v>294</v>
      </c>
      <c r="J42" s="56">
        <v>174.59</v>
      </c>
      <c r="K42" s="56">
        <v>178.06</v>
      </c>
      <c r="L42" s="56">
        <v>5.72</v>
      </c>
      <c r="M42" s="56">
        <v>740.28</v>
      </c>
      <c r="N42" s="56">
        <v>20.239999999999998</v>
      </c>
      <c r="O42" s="56">
        <v>0</v>
      </c>
      <c r="Q42" s="201" t="s">
        <v>238</v>
      </c>
      <c r="R42" s="201"/>
      <c r="S42" s="201"/>
      <c r="T42" s="201"/>
      <c r="U42" s="201"/>
      <c r="V42" s="201"/>
      <c r="W42" s="201"/>
      <c r="Y42" s="201" t="s">
        <v>381</v>
      </c>
      <c r="Z42" s="201"/>
      <c r="AA42" s="201"/>
      <c r="AB42" s="201"/>
      <c r="AC42" s="201"/>
      <c r="AD42" s="201"/>
      <c r="AE42" s="201"/>
      <c r="AG42" s="60" t="s">
        <v>405</v>
      </c>
      <c r="AH42" s="56">
        <v>0.06</v>
      </c>
      <c r="AI42" s="56">
        <v>-1.9</v>
      </c>
      <c r="AJ42" s="56">
        <v>-12.11</v>
      </c>
      <c r="AK42" s="56">
        <v>3.35</v>
      </c>
      <c r="AL42" s="56">
        <v>8.24</v>
      </c>
      <c r="AM42" s="56">
        <v>4.2300000000000004</v>
      </c>
      <c r="AO42" s="60" t="s">
        <v>434</v>
      </c>
      <c r="AP42" s="56">
        <v>-196.7</v>
      </c>
      <c r="AQ42" s="56">
        <v>-160.69999999999999</v>
      </c>
      <c r="AR42" s="56">
        <v>-552.79999999999995</v>
      </c>
      <c r="AS42" s="56">
        <v>-808.3</v>
      </c>
      <c r="AT42" s="56">
        <v>-1509.6</v>
      </c>
      <c r="AU42" s="60"/>
    </row>
    <row r="43" spans="1:47" x14ac:dyDescent="0.3">
      <c r="A43" s="60" t="s">
        <v>245</v>
      </c>
      <c r="B43" s="56">
        <v>-44205</v>
      </c>
      <c r="C43" s="56">
        <v>-44868.7</v>
      </c>
      <c r="D43" s="56">
        <v>-60495.4</v>
      </c>
      <c r="E43" s="56">
        <v>-66494.8</v>
      </c>
      <c r="F43" s="56">
        <v>-26</v>
      </c>
      <c r="G43" s="56">
        <v>-2</v>
      </c>
      <c r="I43" s="60" t="s">
        <v>295</v>
      </c>
      <c r="J43" s="56">
        <v>0</v>
      </c>
      <c r="K43" s="56">
        <v>137.82</v>
      </c>
      <c r="L43" s="56">
        <v>556.53</v>
      </c>
      <c r="M43" s="56">
        <v>1052</v>
      </c>
      <c r="N43" s="56">
        <v>995.78</v>
      </c>
      <c r="O43" s="56">
        <v>560.74</v>
      </c>
      <c r="Q43" s="60" t="s">
        <v>331</v>
      </c>
      <c r="R43" s="56">
        <v>-14319.17</v>
      </c>
      <c r="S43" s="56">
        <v>-11775.65</v>
      </c>
      <c r="T43" s="56">
        <v>-9039.4</v>
      </c>
      <c r="U43" s="56">
        <v>-8492.6299999999992</v>
      </c>
      <c r="V43" s="56">
        <v>-12975</v>
      </c>
      <c r="W43" s="56">
        <v>-15189</v>
      </c>
      <c r="Y43" s="60" t="s">
        <v>382</v>
      </c>
      <c r="Z43" s="56">
        <v>1458.99</v>
      </c>
      <c r="AA43" s="56">
        <v>1270.57</v>
      </c>
      <c r="AB43" s="56">
        <v>1012.31</v>
      </c>
      <c r="AC43" s="56">
        <v>5467.9</v>
      </c>
      <c r="AD43" s="56">
        <v>3844.07</v>
      </c>
      <c r="AE43" s="60"/>
      <c r="AG43" s="61" t="s">
        <v>259</v>
      </c>
      <c r="AH43" s="58">
        <f>AH40+AH42+AH41</f>
        <v>331.47000000000139</v>
      </c>
      <c r="AI43" s="58">
        <f t="shared" ref="AI43:AM43" si="25">AI40+AI42+AI41</f>
        <v>342.43000000000109</v>
      </c>
      <c r="AJ43" s="58">
        <f t="shared" si="25"/>
        <v>510.18000000000109</v>
      </c>
      <c r="AK43" s="58">
        <f t="shared" si="25"/>
        <v>452.85000000000093</v>
      </c>
      <c r="AL43" s="58">
        <f t="shared" si="25"/>
        <v>644.06000000000154</v>
      </c>
      <c r="AM43" s="58">
        <f t="shared" si="25"/>
        <v>501.89000000000158</v>
      </c>
      <c r="AO43" s="60" t="s">
        <v>360</v>
      </c>
      <c r="AP43" s="56">
        <v>-566.70000000000005</v>
      </c>
      <c r="AQ43" s="56">
        <v>-414.1</v>
      </c>
      <c r="AR43" s="56">
        <v>1164.5999999999999</v>
      </c>
      <c r="AS43" s="56">
        <v>1154.4000000000001</v>
      </c>
      <c r="AT43" s="56">
        <v>10477.1</v>
      </c>
      <c r="AU43" s="60"/>
    </row>
    <row r="44" spans="1:47" x14ac:dyDescent="0.3">
      <c r="A44" s="60" t="s">
        <v>246</v>
      </c>
      <c r="B44" s="56">
        <v>-5.3</v>
      </c>
      <c r="C44" s="56">
        <v>-2996.9</v>
      </c>
      <c r="D44" s="56">
        <v>-3004.4</v>
      </c>
      <c r="E44" s="56">
        <v>0</v>
      </c>
      <c r="F44" s="56">
        <v>0</v>
      </c>
      <c r="G44" s="56">
        <v>-365</v>
      </c>
      <c r="I44" s="61" t="s">
        <v>296</v>
      </c>
      <c r="J44" s="58">
        <f>SUM(J27:J43)</f>
        <v>-6894.8299999999945</v>
      </c>
      <c r="K44" s="58">
        <f t="shared" ref="K44:O44" si="26">SUM(K27:K43)</f>
        <v>-18446.760000000009</v>
      </c>
      <c r="L44" s="58">
        <f t="shared" si="26"/>
        <v>-3225.8200000000015</v>
      </c>
      <c r="M44" s="58">
        <f t="shared" si="26"/>
        <v>-8547.2599999999948</v>
      </c>
      <c r="N44" s="58">
        <f t="shared" si="26"/>
        <v>-5597.7699999999995</v>
      </c>
      <c r="O44" s="58">
        <f t="shared" si="26"/>
        <v>-18626.110000000004</v>
      </c>
      <c r="Q44" s="60" t="s">
        <v>332</v>
      </c>
      <c r="R44" s="56">
        <v>-15382.86</v>
      </c>
      <c r="S44" s="56">
        <v>-8429.75</v>
      </c>
      <c r="T44" s="56">
        <v>-6129.02</v>
      </c>
      <c r="U44" s="56">
        <v>-9603.0499999999993</v>
      </c>
      <c r="V44" s="56">
        <v>-18439</v>
      </c>
      <c r="W44" s="56">
        <v>-22853</v>
      </c>
      <c r="Y44" s="60" t="s">
        <v>383</v>
      </c>
      <c r="Z44" s="56">
        <v>512.69000000000005</v>
      </c>
      <c r="AA44" s="56">
        <v>-683.9</v>
      </c>
      <c r="AB44" s="56">
        <v>2341.0300000000002</v>
      </c>
      <c r="AC44" s="56">
        <v>1119.78</v>
      </c>
      <c r="AD44" s="56">
        <v>-182.03</v>
      </c>
      <c r="AE44" s="60"/>
      <c r="AO44" s="60" t="s">
        <v>435</v>
      </c>
      <c r="AP44" s="56">
        <v>35.5</v>
      </c>
      <c r="AQ44" s="56">
        <v>4111.6000000000004</v>
      </c>
      <c r="AR44" s="56">
        <v>4128.3999999999996</v>
      </c>
      <c r="AS44" s="56">
        <v>3707.8</v>
      </c>
      <c r="AT44" s="56">
        <v>1234.8</v>
      </c>
      <c r="AU44" s="60"/>
    </row>
    <row r="45" spans="1:47" x14ac:dyDescent="0.3">
      <c r="A45" s="60" t="s">
        <v>247</v>
      </c>
      <c r="B45" s="56">
        <v>96.3</v>
      </c>
      <c r="C45" s="56">
        <v>67</v>
      </c>
      <c r="D45" s="56">
        <v>174.5</v>
      </c>
      <c r="E45" s="56">
        <v>194.1</v>
      </c>
      <c r="F45" s="56">
        <v>98.3</v>
      </c>
      <c r="G45" s="56">
        <v>147.19999999999999</v>
      </c>
      <c r="I45" s="201" t="s">
        <v>250</v>
      </c>
      <c r="J45" s="201"/>
      <c r="K45" s="201"/>
      <c r="L45" s="201"/>
      <c r="M45" s="201"/>
      <c r="N45" s="201"/>
      <c r="O45" s="201"/>
      <c r="Q45" s="60" t="s">
        <v>241</v>
      </c>
      <c r="R45" s="56">
        <v>171.48</v>
      </c>
      <c r="S45" s="56">
        <v>350.58</v>
      </c>
      <c r="T45" s="56">
        <v>230.1</v>
      </c>
      <c r="U45" s="56">
        <v>285.02999999999997</v>
      </c>
      <c r="V45" s="56">
        <v>231</v>
      </c>
      <c r="W45" s="56">
        <v>974</v>
      </c>
      <c r="Y45" s="60" t="s">
        <v>32</v>
      </c>
      <c r="Z45" s="56">
        <v>15.39</v>
      </c>
      <c r="AA45" s="56">
        <v>-55.21</v>
      </c>
      <c r="AB45" s="56">
        <v>-7.24</v>
      </c>
      <c r="AC45" s="56">
        <v>62.27</v>
      </c>
      <c r="AD45" s="56">
        <v>-43.96</v>
      </c>
      <c r="AE45" s="60"/>
      <c r="AO45" s="60" t="s">
        <v>352</v>
      </c>
      <c r="AP45" s="56">
        <v>3386.9</v>
      </c>
      <c r="AQ45" s="56">
        <v>2682.8</v>
      </c>
      <c r="AR45" s="56">
        <v>-2008.9</v>
      </c>
      <c r="AS45" s="56">
        <v>-1075.5</v>
      </c>
      <c r="AT45" s="56">
        <v>-4977.1000000000004</v>
      </c>
      <c r="AU45" s="60"/>
    </row>
    <row r="46" spans="1:47" x14ac:dyDescent="0.3">
      <c r="A46" s="60" t="s">
        <v>248</v>
      </c>
      <c r="B46" s="56">
        <v>3.7</v>
      </c>
      <c r="C46" s="56">
        <v>3.2</v>
      </c>
      <c r="D46" s="56">
        <v>2.9</v>
      </c>
      <c r="E46" s="56">
        <v>6</v>
      </c>
      <c r="F46" s="56">
        <v>65.8</v>
      </c>
      <c r="G46" s="56">
        <v>52.4</v>
      </c>
      <c r="I46" s="60" t="s">
        <v>297</v>
      </c>
      <c r="J46" s="56">
        <v>1242.51</v>
      </c>
      <c r="K46" s="56">
        <v>0</v>
      </c>
      <c r="L46" s="56">
        <v>0.92</v>
      </c>
      <c r="M46" s="56">
        <v>0.53</v>
      </c>
      <c r="N46" s="56">
        <v>0.51</v>
      </c>
      <c r="O46" s="56">
        <v>0.73</v>
      </c>
      <c r="Q46" s="60" t="s">
        <v>333</v>
      </c>
      <c r="R46" s="56">
        <v>-1339.29</v>
      </c>
      <c r="S46" s="56">
        <v>-7432.85</v>
      </c>
      <c r="T46" s="56">
        <v>0</v>
      </c>
      <c r="U46" s="56">
        <v>-836.29</v>
      </c>
      <c r="V46" s="56">
        <v>-207</v>
      </c>
      <c r="W46" s="56">
        <v>0</v>
      </c>
      <c r="Y46" s="60" t="s">
        <v>253</v>
      </c>
      <c r="Z46" s="56">
        <v>-124.33</v>
      </c>
      <c r="AA46" s="56">
        <v>-126.75</v>
      </c>
      <c r="AB46" s="56">
        <v>-155.74</v>
      </c>
      <c r="AC46" s="56">
        <v>-112.08</v>
      </c>
      <c r="AD46" s="56">
        <v>-283.67</v>
      </c>
      <c r="AE46" s="60"/>
      <c r="AO46" s="60" t="s">
        <v>436</v>
      </c>
      <c r="AP46" s="56">
        <v>418.2</v>
      </c>
      <c r="AQ46" s="56">
        <v>439.6</v>
      </c>
      <c r="AR46" s="56">
        <v>-3038.5</v>
      </c>
      <c r="AS46" s="56">
        <v>-4842.8999999999996</v>
      </c>
      <c r="AT46" s="56">
        <v>-2697.1</v>
      </c>
      <c r="AU46" s="60"/>
    </row>
    <row r="47" spans="1:47" x14ac:dyDescent="0.3">
      <c r="A47" s="61" t="s">
        <v>249</v>
      </c>
      <c r="B47" s="58">
        <f>SUM(B37:B46)</f>
        <v>-556.60000000000286</v>
      </c>
      <c r="C47" s="58">
        <f t="shared" ref="C47:G47" si="27">SUM(C37:C46)</f>
        <v>-7291.2999999999984</v>
      </c>
      <c r="D47" s="58">
        <f t="shared" si="27"/>
        <v>-239.23000000000329</v>
      </c>
      <c r="E47" s="58">
        <f t="shared" si="27"/>
        <v>-8036.100000000004</v>
      </c>
      <c r="F47" s="58">
        <f t="shared" si="27"/>
        <v>-10682.799999999996</v>
      </c>
      <c r="G47" s="58">
        <f t="shared" si="27"/>
        <v>-10241.499999999998</v>
      </c>
      <c r="I47" s="60" t="s">
        <v>298</v>
      </c>
      <c r="J47" s="56">
        <v>0.53</v>
      </c>
      <c r="K47" s="56">
        <v>0.57999999999999996</v>
      </c>
      <c r="L47" s="56">
        <v>53879.94</v>
      </c>
      <c r="M47" s="56">
        <v>55622.41</v>
      </c>
      <c r="N47" s="56">
        <v>61307.839999999997</v>
      </c>
      <c r="O47" s="56">
        <v>82589.64</v>
      </c>
      <c r="Q47" s="60" t="s">
        <v>334</v>
      </c>
      <c r="R47" s="56">
        <v>-27.04</v>
      </c>
      <c r="S47" s="56">
        <v>0</v>
      </c>
      <c r="T47" s="56">
        <v>-2968.54</v>
      </c>
      <c r="U47" s="56">
        <v>3963.25</v>
      </c>
      <c r="V47" s="56">
        <v>207</v>
      </c>
      <c r="W47" s="56">
        <v>0</v>
      </c>
      <c r="Y47" s="60" t="s">
        <v>384</v>
      </c>
      <c r="Z47" s="56">
        <v>-43.11</v>
      </c>
      <c r="AA47" s="56">
        <v>-52.24</v>
      </c>
      <c r="AB47" s="56">
        <v>-81.94</v>
      </c>
      <c r="AC47" s="56">
        <v>-127.98</v>
      </c>
      <c r="AD47" s="56">
        <v>-195.7</v>
      </c>
      <c r="AE47" s="60"/>
      <c r="AO47" s="60" t="s">
        <v>437</v>
      </c>
      <c r="AP47" s="56">
        <v>-335.4</v>
      </c>
      <c r="AQ47" s="56">
        <v>-393.4</v>
      </c>
      <c r="AR47" s="56">
        <v>-264.5</v>
      </c>
      <c r="AS47" s="56">
        <v>-393.6</v>
      </c>
      <c r="AT47" s="56">
        <v>-595.9</v>
      </c>
      <c r="AU47" s="60"/>
    </row>
    <row r="48" spans="1:47" x14ac:dyDescent="0.3">
      <c r="A48" s="201" t="s">
        <v>250</v>
      </c>
      <c r="B48" s="201"/>
      <c r="C48" s="201"/>
      <c r="D48" s="201"/>
      <c r="E48" s="201"/>
      <c r="F48" s="201"/>
      <c r="G48" s="201"/>
      <c r="I48" s="60" t="s">
        <v>299</v>
      </c>
      <c r="J48" s="56">
        <v>52617.59</v>
      </c>
      <c r="K48" s="56">
        <v>38100.370000000003</v>
      </c>
      <c r="L48" s="56">
        <v>-56937.78</v>
      </c>
      <c r="M48" s="56">
        <v>-37572.29</v>
      </c>
      <c r="N48" s="56">
        <v>-46443.19</v>
      </c>
      <c r="O48" s="56">
        <v>-64227.06</v>
      </c>
      <c r="Q48" s="60" t="s">
        <v>335</v>
      </c>
      <c r="R48" s="56">
        <v>-606.4</v>
      </c>
      <c r="S48" s="56">
        <v>-9.9</v>
      </c>
      <c r="T48" s="56">
        <v>-98.45</v>
      </c>
      <c r="U48" s="56">
        <v>19.37</v>
      </c>
      <c r="V48" s="56">
        <v>5143</v>
      </c>
      <c r="W48" s="56">
        <v>-12603</v>
      </c>
      <c r="Y48" s="60" t="s">
        <v>385</v>
      </c>
      <c r="Z48" s="56">
        <v>-200.46</v>
      </c>
      <c r="AA48" s="56">
        <v>-99.77</v>
      </c>
      <c r="AB48" s="56">
        <v>-190.4</v>
      </c>
      <c r="AC48" s="56">
        <v>-291.81</v>
      </c>
      <c r="AD48" s="56">
        <v>-380.07</v>
      </c>
      <c r="AE48" s="60"/>
      <c r="AO48" s="60" t="s">
        <v>349</v>
      </c>
      <c r="AP48" s="56">
        <v>-580.9</v>
      </c>
      <c r="AQ48" s="56">
        <v>-2974.5</v>
      </c>
      <c r="AR48" s="56">
        <v>0</v>
      </c>
      <c r="AS48" s="56">
        <v>0</v>
      </c>
      <c r="AT48" s="56">
        <v>0</v>
      </c>
      <c r="AU48" s="56"/>
    </row>
    <row r="49" spans="1:47" x14ac:dyDescent="0.3">
      <c r="A49" s="60" t="s">
        <v>251</v>
      </c>
      <c r="B49" s="56">
        <v>-45.6</v>
      </c>
      <c r="C49" s="56">
        <v>380.3</v>
      </c>
      <c r="D49" s="56">
        <v>109.7</v>
      </c>
      <c r="E49" s="56">
        <v>831.2</v>
      </c>
      <c r="F49" s="56">
        <v>-1182.7</v>
      </c>
      <c r="G49" s="56">
        <v>-33.1</v>
      </c>
      <c r="I49" s="60" t="s">
        <v>300</v>
      </c>
      <c r="J49" s="56">
        <v>-43415.94</v>
      </c>
      <c r="K49" s="56">
        <v>-35772.089999999997</v>
      </c>
      <c r="L49" s="56">
        <v>-285.20999999999998</v>
      </c>
      <c r="M49" s="56">
        <v>516.71</v>
      </c>
      <c r="N49" s="56">
        <v>-362.03</v>
      </c>
      <c r="O49" s="56">
        <v>-462.16</v>
      </c>
      <c r="Q49" s="60" t="s">
        <v>336</v>
      </c>
      <c r="R49" s="56">
        <v>-99.41</v>
      </c>
      <c r="S49" s="56">
        <v>-97.3</v>
      </c>
      <c r="T49" s="56">
        <v>-1228.21</v>
      </c>
      <c r="U49" s="56">
        <v>-2839.87</v>
      </c>
      <c r="V49" s="56">
        <v>-150</v>
      </c>
      <c r="W49" s="56">
        <v>0</v>
      </c>
      <c r="Y49" s="61" t="s">
        <v>256</v>
      </c>
      <c r="Z49" s="58">
        <f>SUM(Z43:Z48)</f>
        <v>1619.1700000000003</v>
      </c>
      <c r="AA49" s="58">
        <f t="shared" ref="AA49:AD49" si="28">SUM(AA43:AA48)</f>
        <v>252.69999999999993</v>
      </c>
      <c r="AB49" s="58">
        <f t="shared" si="28"/>
        <v>2918.0200000000004</v>
      </c>
      <c r="AC49" s="58">
        <f t="shared" si="28"/>
        <v>6118.08</v>
      </c>
      <c r="AD49" s="58">
        <f t="shared" si="28"/>
        <v>2758.64</v>
      </c>
      <c r="AE49" s="60"/>
      <c r="AO49" s="60" t="s">
        <v>353</v>
      </c>
      <c r="AP49" s="56">
        <v>-3087.1</v>
      </c>
      <c r="AQ49" s="56">
        <v>-4748.8999999999996</v>
      </c>
      <c r="AR49" s="56">
        <v>0</v>
      </c>
      <c r="AS49" s="56">
        <v>0</v>
      </c>
      <c r="AT49" s="56">
        <v>0</v>
      </c>
      <c r="AU49" s="56"/>
    </row>
    <row r="50" spans="1:47" x14ac:dyDescent="0.3">
      <c r="A50" s="60" t="s">
        <v>252</v>
      </c>
      <c r="B50" s="56">
        <v>-9.8000000000000007</v>
      </c>
      <c r="C50" s="56">
        <v>-11.1</v>
      </c>
      <c r="D50" s="56">
        <v>-8.1</v>
      </c>
      <c r="E50" s="56">
        <v>-46</v>
      </c>
      <c r="F50" s="56">
        <v>-2718.7</v>
      </c>
      <c r="G50" s="56">
        <v>-3930</v>
      </c>
      <c r="I50" s="60" t="s">
        <v>301</v>
      </c>
      <c r="J50" s="56">
        <v>-628.14</v>
      </c>
      <c r="K50" s="56">
        <v>-1733.29</v>
      </c>
      <c r="L50" s="56">
        <v>0</v>
      </c>
      <c r="M50" s="56">
        <v>400</v>
      </c>
      <c r="N50" s="56">
        <v>1600</v>
      </c>
      <c r="O50" s="56">
        <v>2050</v>
      </c>
      <c r="Q50" s="60" t="s">
        <v>337</v>
      </c>
      <c r="R50" s="56">
        <v>3.42</v>
      </c>
      <c r="S50" s="56">
        <v>0</v>
      </c>
      <c r="T50" s="56">
        <v>-39.71</v>
      </c>
      <c r="U50" s="56">
        <v>-50</v>
      </c>
      <c r="V50" s="56">
        <v>0</v>
      </c>
      <c r="W50" s="56">
        <v>-688</v>
      </c>
      <c r="Y50" s="61" t="s">
        <v>257</v>
      </c>
      <c r="Z50" s="58">
        <f>Z28+Z40+Z49</f>
        <v>902.45000000000027</v>
      </c>
      <c r="AA50" s="58">
        <f t="shared" ref="AA50:AD50" si="29">AA28+AA40+AA49</f>
        <v>521.62</v>
      </c>
      <c r="AB50" s="58">
        <f t="shared" si="29"/>
        <v>-127.67999999999938</v>
      </c>
      <c r="AC50" s="58">
        <f t="shared" si="29"/>
        <v>405.51000000000022</v>
      </c>
      <c r="AD50" s="58">
        <f t="shared" si="29"/>
        <v>504.61000000000013</v>
      </c>
      <c r="AE50" s="60"/>
      <c r="AO50" s="60" t="s">
        <v>441</v>
      </c>
      <c r="AP50" s="56">
        <v>-794</v>
      </c>
      <c r="AQ50" s="56">
        <v>-643.1</v>
      </c>
      <c r="AR50" s="56">
        <v>0</v>
      </c>
      <c r="AS50" s="56">
        <v>0</v>
      </c>
      <c r="AT50" s="56">
        <v>0</v>
      </c>
      <c r="AU50" s="56"/>
    </row>
    <row r="51" spans="1:47" x14ac:dyDescent="0.3">
      <c r="A51" s="60" t="s">
        <v>253</v>
      </c>
      <c r="B51" s="56">
        <v>-135.5</v>
      </c>
      <c r="C51" s="56">
        <v>-101.6</v>
      </c>
      <c r="D51" s="56">
        <v>-129.80000000000001</v>
      </c>
      <c r="E51" s="56">
        <v>-185.8</v>
      </c>
      <c r="F51" s="56">
        <v>-13.3</v>
      </c>
      <c r="G51" s="56">
        <v>-19.8</v>
      </c>
      <c r="I51" s="60" t="s">
        <v>302</v>
      </c>
      <c r="J51" s="56">
        <v>-557.73</v>
      </c>
      <c r="K51" s="56">
        <v>-552.98</v>
      </c>
      <c r="L51" s="56">
        <v>-583.23</v>
      </c>
      <c r="M51" s="56">
        <v>-750.78</v>
      </c>
      <c r="N51" s="56">
        <v>-785.5</v>
      </c>
      <c r="O51" s="56">
        <v>-887.11</v>
      </c>
      <c r="Q51" s="60" t="s">
        <v>338</v>
      </c>
      <c r="R51" s="56">
        <v>-1.7</v>
      </c>
      <c r="S51" s="56">
        <v>0</v>
      </c>
      <c r="T51" s="56">
        <v>103.55</v>
      </c>
      <c r="U51" s="56">
        <v>59.33</v>
      </c>
      <c r="V51" s="56">
        <v>107</v>
      </c>
      <c r="W51" s="56">
        <v>765</v>
      </c>
      <c r="Y51" s="60" t="s">
        <v>308</v>
      </c>
      <c r="Z51" s="56">
        <v>138.88999999999999</v>
      </c>
      <c r="AA51" s="56">
        <f>Z52</f>
        <v>1041.3400000000001</v>
      </c>
      <c r="AB51" s="56">
        <f t="shared" ref="AB51:AD51" si="30">AA52</f>
        <v>1562.96</v>
      </c>
      <c r="AC51" s="56">
        <f t="shared" si="30"/>
        <v>1435.2800000000007</v>
      </c>
      <c r="AD51" s="56">
        <f t="shared" si="30"/>
        <v>1840.7900000000009</v>
      </c>
      <c r="AE51" s="60"/>
      <c r="AO51" s="61" t="s">
        <v>438</v>
      </c>
      <c r="AP51" s="58">
        <f>SUM(AP39:AP50)</f>
        <v>-2802.9</v>
      </c>
      <c r="AQ51" s="58">
        <f t="shared" ref="AQ51:AT51" si="31">SUM(AQ39:AQ50)</f>
        <v>-2097.4999999999977</v>
      </c>
      <c r="AR51" s="58">
        <f t="shared" si="31"/>
        <v>-1217.4000000000005</v>
      </c>
      <c r="AS51" s="58">
        <f t="shared" si="31"/>
        <v>-2734.1999999999994</v>
      </c>
      <c r="AT51" s="58">
        <f t="shared" si="31"/>
        <v>1280.6999999999989</v>
      </c>
      <c r="AU51" s="60"/>
    </row>
    <row r="52" spans="1:47" x14ac:dyDescent="0.3">
      <c r="A52" s="60" t="s">
        <v>254</v>
      </c>
      <c r="B52" s="56">
        <v>-2416.6</v>
      </c>
      <c r="C52" s="56">
        <v>-1812.5</v>
      </c>
      <c r="D52" s="56">
        <v>-1359.4</v>
      </c>
      <c r="E52" s="56">
        <v>-1812.5</v>
      </c>
      <c r="F52" s="56">
        <v>-5.2</v>
      </c>
      <c r="G52" s="56">
        <v>-7.9</v>
      </c>
      <c r="I52" s="60" t="s">
        <v>303</v>
      </c>
      <c r="J52" s="56">
        <v>-1135.0899999999999</v>
      </c>
      <c r="K52" s="56">
        <v>-264.33</v>
      </c>
      <c r="L52" s="56">
        <v>-980.44</v>
      </c>
      <c r="M52" s="56">
        <v>-1284.75</v>
      </c>
      <c r="N52" s="56">
        <v>-1810.54</v>
      </c>
      <c r="O52" s="56">
        <v>-2348.5500000000002</v>
      </c>
      <c r="Q52" s="60" t="s">
        <v>339</v>
      </c>
      <c r="R52" s="56">
        <v>21.45</v>
      </c>
      <c r="S52" s="56">
        <v>225.82</v>
      </c>
      <c r="T52" s="56">
        <v>0</v>
      </c>
      <c r="U52" s="56">
        <v>2872.88</v>
      </c>
      <c r="V52" s="56">
        <v>-5492</v>
      </c>
      <c r="W52" s="56">
        <v>0</v>
      </c>
      <c r="Y52" s="61" t="s">
        <v>259</v>
      </c>
      <c r="Z52" s="58">
        <f>Z50+Z51</f>
        <v>1041.3400000000001</v>
      </c>
      <c r="AA52" s="58">
        <f t="shared" ref="AA52:AD52" si="32">AA50+AA51</f>
        <v>1562.96</v>
      </c>
      <c r="AB52" s="58">
        <f t="shared" si="32"/>
        <v>1435.2800000000007</v>
      </c>
      <c r="AC52" s="58">
        <f t="shared" si="32"/>
        <v>1840.7900000000009</v>
      </c>
      <c r="AD52" s="58">
        <f t="shared" si="32"/>
        <v>2345.400000000001</v>
      </c>
      <c r="AE52" s="60"/>
      <c r="AO52" s="61" t="s">
        <v>257</v>
      </c>
      <c r="AP52" s="58">
        <f>AP26+AP37+AP51</f>
        <v>1309.1999999999985</v>
      </c>
      <c r="AQ52" s="58">
        <f>AQ26+AQ37+AQ51</f>
        <v>1060.3000000000025</v>
      </c>
      <c r="AR52" s="58">
        <f>AR26+AR37+AR51</f>
        <v>-1066.6000000000013</v>
      </c>
      <c r="AS52" s="58">
        <f>AS26+AS37+AS51</f>
        <v>-336.10000000000036</v>
      </c>
      <c r="AT52" s="58">
        <f>AT26+AT37+AT51</f>
        <v>2188.6000000000049</v>
      </c>
      <c r="AU52" s="60"/>
    </row>
    <row r="53" spans="1:47" x14ac:dyDescent="0.3">
      <c r="A53" s="60" t="s">
        <v>255</v>
      </c>
      <c r="B53" s="56">
        <v>-496.8</v>
      </c>
      <c r="C53" s="56">
        <v>0</v>
      </c>
      <c r="D53" s="56">
        <v>0</v>
      </c>
      <c r="E53" s="56">
        <v>0</v>
      </c>
      <c r="F53" s="56">
        <v>-142</v>
      </c>
      <c r="G53" s="56">
        <v>-157.80000000000001</v>
      </c>
      <c r="I53" s="60" t="s">
        <v>304</v>
      </c>
      <c r="J53" s="56">
        <v>-262.93</v>
      </c>
      <c r="K53" s="56">
        <v>-6.71</v>
      </c>
      <c r="L53" s="56">
        <v>-57.02</v>
      </c>
      <c r="M53" s="56">
        <v>-237.38</v>
      </c>
      <c r="N53" s="56">
        <v>-436.46</v>
      </c>
      <c r="O53" s="56">
        <v>-457.88</v>
      </c>
      <c r="Q53" s="60" t="s">
        <v>247</v>
      </c>
      <c r="R53" s="56">
        <v>1104.48</v>
      </c>
      <c r="S53" s="56">
        <v>427.51</v>
      </c>
      <c r="T53" s="56">
        <v>652.94000000000005</v>
      </c>
      <c r="U53" s="56">
        <v>973.44</v>
      </c>
      <c r="V53" s="56">
        <v>5400</v>
      </c>
      <c r="W53" s="56">
        <v>106</v>
      </c>
      <c r="AO53" s="60" t="s">
        <v>439</v>
      </c>
      <c r="AP53" s="56">
        <v>19.7</v>
      </c>
      <c r="AQ53" s="56">
        <v>7.5</v>
      </c>
      <c r="AR53" s="56">
        <v>7.5</v>
      </c>
      <c r="AS53" s="56">
        <v>-3.5</v>
      </c>
      <c r="AT53" s="56">
        <v>17.2</v>
      </c>
      <c r="AU53" s="60"/>
    </row>
    <row r="54" spans="1:47" x14ac:dyDescent="0.3">
      <c r="A54" s="61" t="s">
        <v>256</v>
      </c>
      <c r="B54" s="58">
        <f>SUM(B49:B53)</f>
        <v>-3104.3</v>
      </c>
      <c r="C54" s="58">
        <f t="shared" ref="C54:G54" si="33">SUM(C49:C53)</f>
        <v>-1544.9</v>
      </c>
      <c r="D54" s="58">
        <f t="shared" si="33"/>
        <v>-1387.6000000000001</v>
      </c>
      <c r="E54" s="58">
        <f t="shared" si="33"/>
        <v>-1213.0999999999999</v>
      </c>
      <c r="F54" s="58">
        <f t="shared" si="33"/>
        <v>-4061.8999999999996</v>
      </c>
      <c r="G54" s="58">
        <f t="shared" si="33"/>
        <v>-4148.6000000000004</v>
      </c>
      <c r="I54" s="60" t="s">
        <v>305</v>
      </c>
      <c r="J54" s="56">
        <v>-303.57</v>
      </c>
      <c r="K54" s="56">
        <v>1443.91</v>
      </c>
      <c r="L54" s="56">
        <v>-240.28</v>
      </c>
      <c r="M54" s="56">
        <v>-13.94</v>
      </c>
      <c r="N54" s="56">
        <v>-192.35</v>
      </c>
      <c r="O54" s="56">
        <v>12.47</v>
      </c>
      <c r="Q54" s="60" t="s">
        <v>248</v>
      </c>
      <c r="R54" s="56">
        <v>21.14</v>
      </c>
      <c r="S54" s="56">
        <v>18.37</v>
      </c>
      <c r="T54" s="56">
        <v>32.01</v>
      </c>
      <c r="U54" s="56">
        <v>46.42</v>
      </c>
      <c r="V54" s="56">
        <v>-74</v>
      </c>
      <c r="W54" s="56">
        <v>-74</v>
      </c>
      <c r="AO54" s="60" t="s">
        <v>440</v>
      </c>
      <c r="AP54" s="56">
        <v>3539.9</v>
      </c>
      <c r="AQ54" s="56">
        <v>4868.8</v>
      </c>
      <c r="AR54" s="56">
        <v>5936.6</v>
      </c>
      <c r="AS54" s="56">
        <v>4877.5</v>
      </c>
      <c r="AT54" s="56">
        <f>AS55</f>
        <v>4537.8999999999996</v>
      </c>
      <c r="AU54" s="60"/>
    </row>
    <row r="55" spans="1:47" x14ac:dyDescent="0.3">
      <c r="A55" s="60" t="s">
        <v>257</v>
      </c>
      <c r="B55" s="56">
        <f>B35+B47+B54</f>
        <v>-165.10000000000309</v>
      </c>
      <c r="C55" s="56">
        <f t="shared" ref="C55:G55" si="34">C35+C47+C54</f>
        <v>20.000000000002274</v>
      </c>
      <c r="D55" s="56">
        <f t="shared" si="34"/>
        <v>213.66999999999598</v>
      </c>
      <c r="E55" s="56">
        <f t="shared" si="34"/>
        <v>2.1999999999939064</v>
      </c>
      <c r="F55" s="56">
        <f t="shared" si="34"/>
        <v>422.30000000000837</v>
      </c>
      <c r="G55" s="56">
        <f t="shared" si="34"/>
        <v>-377.70000000000437</v>
      </c>
      <c r="I55" s="60" t="s">
        <v>306</v>
      </c>
      <c r="J55" s="56">
        <v>-624.48</v>
      </c>
      <c r="K55" s="56">
        <v>-809.23</v>
      </c>
      <c r="L55" s="56">
        <v>-679.5</v>
      </c>
      <c r="M55" s="56">
        <v>-734.4</v>
      </c>
      <c r="N55" s="56">
        <v>-596.87</v>
      </c>
      <c r="O55" s="56">
        <v>-435.97</v>
      </c>
      <c r="Q55" s="60" t="s">
        <v>340</v>
      </c>
      <c r="R55" s="56">
        <v>622.44000000000005</v>
      </c>
      <c r="S55" s="56">
        <v>1.51</v>
      </c>
      <c r="T55" s="56">
        <v>0</v>
      </c>
      <c r="U55" s="56">
        <v>21.69</v>
      </c>
      <c r="V55" s="56">
        <v>278</v>
      </c>
      <c r="W55" s="56">
        <v>5</v>
      </c>
      <c r="AO55" s="61" t="s">
        <v>259</v>
      </c>
      <c r="AP55" s="58">
        <f>AP52+AP53+AP54</f>
        <v>4868.7999999999984</v>
      </c>
      <c r="AQ55" s="58">
        <f t="shared" ref="AQ55:AT55" si="35">AQ52+AQ53+AQ54</f>
        <v>5936.6000000000022</v>
      </c>
      <c r="AR55" s="58">
        <f t="shared" si="35"/>
        <v>4877.4999999999991</v>
      </c>
      <c r="AS55" s="58">
        <f t="shared" si="35"/>
        <v>4537.8999999999996</v>
      </c>
      <c r="AT55" s="58">
        <f t="shared" si="35"/>
        <v>6743.7000000000044</v>
      </c>
      <c r="AU55" s="60"/>
    </row>
    <row r="56" spans="1:47" x14ac:dyDescent="0.3">
      <c r="A56" s="60" t="s">
        <v>258</v>
      </c>
      <c r="B56" s="56">
        <v>185.9</v>
      </c>
      <c r="C56" s="56">
        <f>B57</f>
        <v>20.799999999996913</v>
      </c>
      <c r="D56" s="56">
        <f t="shared" ref="D56:G56" si="36">C57</f>
        <v>40.799999999999187</v>
      </c>
      <c r="E56" s="56">
        <f t="shared" si="36"/>
        <v>254.46999999999517</v>
      </c>
      <c r="F56" s="56">
        <f t="shared" si="36"/>
        <v>256.66999999998905</v>
      </c>
      <c r="G56" s="56">
        <f t="shared" si="36"/>
        <v>678.96999999999741</v>
      </c>
      <c r="I56" s="61" t="s">
        <v>307</v>
      </c>
      <c r="J56" s="58">
        <f>SUM(J46:J55)</f>
        <v>6932.7499999999964</v>
      </c>
      <c r="K56" s="58">
        <f t="shared" ref="K56:O56" si="37">SUM(K46:K55)</f>
        <v>406.23000000000798</v>
      </c>
      <c r="L56" s="58">
        <f t="shared" si="37"/>
        <v>-5882.5999999999985</v>
      </c>
      <c r="M56" s="58">
        <f t="shared" si="37"/>
        <v>15946.110000000002</v>
      </c>
      <c r="N56" s="58">
        <f t="shared" si="37"/>
        <v>12281.409999999996</v>
      </c>
      <c r="O56" s="58">
        <f t="shared" si="37"/>
        <v>15834.109999999999</v>
      </c>
      <c r="Q56" s="60" t="s">
        <v>341</v>
      </c>
      <c r="R56" s="56">
        <v>-1000</v>
      </c>
      <c r="S56" s="56">
        <v>-1000</v>
      </c>
      <c r="T56" s="56">
        <v>-600</v>
      </c>
      <c r="U56" s="56">
        <v>-2169.5700000000002</v>
      </c>
      <c r="V56" s="56">
        <v>2493</v>
      </c>
      <c r="W56" s="56">
        <v>2420</v>
      </c>
    </row>
    <row r="57" spans="1:47" x14ac:dyDescent="0.3">
      <c r="A57" s="61" t="s">
        <v>259</v>
      </c>
      <c r="B57" s="58">
        <f>B55+B56</f>
        <v>20.799999999996913</v>
      </c>
      <c r="C57" s="58">
        <f t="shared" ref="C57:G57" si="38">C55+C56</f>
        <v>40.799999999999187</v>
      </c>
      <c r="D57" s="58">
        <f t="shared" si="38"/>
        <v>254.46999999999517</v>
      </c>
      <c r="E57" s="58">
        <f t="shared" si="38"/>
        <v>256.66999999998905</v>
      </c>
      <c r="F57" s="58">
        <f t="shared" si="38"/>
        <v>678.96999999999741</v>
      </c>
      <c r="G57" s="58">
        <f t="shared" si="38"/>
        <v>301.26999999999305</v>
      </c>
      <c r="I57" s="61" t="s">
        <v>257</v>
      </c>
      <c r="J57" s="58">
        <f>J25+J44+J56</f>
        <v>-1419.0099999999984</v>
      </c>
      <c r="K57" s="58">
        <f t="shared" ref="K57:O57" si="39">K25+K44+K56</f>
        <v>-131.69999999999959</v>
      </c>
      <c r="L57" s="58">
        <f t="shared" si="39"/>
        <v>139.13000000000466</v>
      </c>
      <c r="M57" s="58">
        <f t="shared" si="39"/>
        <v>324.83000000001084</v>
      </c>
      <c r="N57" s="58">
        <f t="shared" si="39"/>
        <v>1053.6899999999914</v>
      </c>
      <c r="O57" s="58">
        <f t="shared" si="39"/>
        <v>383.80999999999221</v>
      </c>
      <c r="Q57" s="60" t="s">
        <v>342</v>
      </c>
      <c r="R57" s="56">
        <v>750</v>
      </c>
      <c r="S57" s="56">
        <v>750</v>
      </c>
      <c r="T57" s="56">
        <v>1300</v>
      </c>
      <c r="U57" s="56">
        <v>1469.59</v>
      </c>
      <c r="V57" s="56">
        <v>47</v>
      </c>
      <c r="W57" s="56">
        <v>64</v>
      </c>
    </row>
    <row r="58" spans="1:47" x14ac:dyDescent="0.3">
      <c r="B58" s="3"/>
      <c r="C58" s="3"/>
      <c r="D58" s="3"/>
      <c r="E58" s="3"/>
      <c r="F58" s="3"/>
      <c r="G58" s="3"/>
      <c r="I58" s="60" t="s">
        <v>308</v>
      </c>
      <c r="J58" s="56">
        <v>6139</v>
      </c>
      <c r="K58" s="56">
        <v>4745.03</v>
      </c>
      <c r="L58" s="56">
        <v>3374.59</v>
      </c>
      <c r="M58" s="56">
        <v>3487.59</v>
      </c>
      <c r="N58" s="56">
        <v>3493.41</v>
      </c>
      <c r="O58" s="56">
        <v>4530.1000000000004</v>
      </c>
      <c r="Q58" s="60" t="s">
        <v>343</v>
      </c>
      <c r="R58" s="56">
        <v>-40676.65</v>
      </c>
      <c r="S58" s="56">
        <v>-38243.269999999997</v>
      </c>
      <c r="T58" s="56">
        <v>-13203.08</v>
      </c>
      <c r="U58" s="56">
        <v>-17723.34</v>
      </c>
      <c r="V58" s="56">
        <v>49</v>
      </c>
      <c r="W58" s="56">
        <v>111</v>
      </c>
    </row>
    <row r="59" spans="1:47" x14ac:dyDescent="0.3">
      <c r="B59" s="3"/>
      <c r="C59" s="3"/>
      <c r="D59" s="3"/>
      <c r="E59" s="3"/>
      <c r="F59" s="3"/>
      <c r="G59" s="3"/>
      <c r="I59" s="60" t="s">
        <v>309</v>
      </c>
      <c r="J59" s="56">
        <v>0</v>
      </c>
      <c r="K59" s="56">
        <v>-1252.79</v>
      </c>
      <c r="L59" s="56">
        <v>-13.36</v>
      </c>
      <c r="M59" s="56">
        <v>-352.87</v>
      </c>
      <c r="N59" s="56">
        <v>-4.97</v>
      </c>
      <c r="O59" s="56">
        <v>0</v>
      </c>
      <c r="Q59" s="60" t="s">
        <v>344</v>
      </c>
      <c r="R59" s="56">
        <v>36602.33</v>
      </c>
      <c r="S59" s="56">
        <v>39088.68</v>
      </c>
      <c r="T59" s="56">
        <v>25978.6</v>
      </c>
      <c r="U59" s="56">
        <v>15497.79</v>
      </c>
      <c r="V59" s="56">
        <v>-25</v>
      </c>
      <c r="W59" s="56">
        <v>-20</v>
      </c>
    </row>
    <row r="60" spans="1:47" x14ac:dyDescent="0.3">
      <c r="B60" s="3"/>
      <c r="C60" s="3"/>
      <c r="D60" s="3"/>
      <c r="E60" s="3"/>
      <c r="F60" s="3"/>
      <c r="G60" s="3"/>
      <c r="I60" s="60" t="s">
        <v>310</v>
      </c>
      <c r="J60" s="56">
        <v>25.04</v>
      </c>
      <c r="K60" s="56">
        <v>14.05</v>
      </c>
      <c r="L60" s="56">
        <v>-12.77</v>
      </c>
      <c r="M60" s="56">
        <v>33.86</v>
      </c>
      <c r="N60" s="56">
        <v>-12.03</v>
      </c>
      <c r="O60" s="56">
        <v>9.98</v>
      </c>
      <c r="Q60" s="60" t="s">
        <v>345</v>
      </c>
      <c r="R60" s="56">
        <v>-14.44</v>
      </c>
      <c r="S60" s="56">
        <v>0</v>
      </c>
      <c r="T60" s="56">
        <v>234.09</v>
      </c>
      <c r="U60" s="56">
        <v>-298.2</v>
      </c>
      <c r="V60" s="56">
        <f>-7326+7905</f>
        <v>579</v>
      </c>
      <c r="W60" s="56">
        <f>-8626+8014</f>
        <v>-612</v>
      </c>
    </row>
    <row r="61" spans="1:47" x14ac:dyDescent="0.3">
      <c r="B61" s="3"/>
      <c r="C61" s="3"/>
      <c r="D61" s="3"/>
      <c r="E61" s="3"/>
      <c r="F61" s="3"/>
      <c r="G61" s="3"/>
      <c r="I61" s="61" t="s">
        <v>259</v>
      </c>
      <c r="J61" s="58">
        <f>SUM(J57:J60)</f>
        <v>4745.0300000000016</v>
      </c>
      <c r="K61" s="58">
        <f t="shared" ref="K61:O61" si="40">SUM(K57:K60)</f>
        <v>3374.59</v>
      </c>
      <c r="L61" s="58">
        <f t="shared" si="40"/>
        <v>3487.5900000000047</v>
      </c>
      <c r="M61" s="58">
        <f t="shared" si="40"/>
        <v>3493.4100000000112</v>
      </c>
      <c r="N61" s="58">
        <f t="shared" si="40"/>
        <v>4530.0999999999913</v>
      </c>
      <c r="O61" s="58">
        <f t="shared" si="40"/>
        <v>4923.8899999999921</v>
      </c>
      <c r="Q61" s="61" t="s">
        <v>346</v>
      </c>
      <c r="R61" s="58">
        <f>SUM(R43:R60)</f>
        <v>-34170.220000000016</v>
      </c>
      <c r="S61" s="58">
        <f t="shared" ref="S61:V61" si="41">SUM(S43:S60)</f>
        <v>-26126.25</v>
      </c>
      <c r="T61" s="58">
        <f t="shared" si="41"/>
        <v>-4775.1200000000063</v>
      </c>
      <c r="U61" s="58">
        <f t="shared" si="41"/>
        <v>-16804.16</v>
      </c>
      <c r="V61" s="58">
        <f t="shared" si="41"/>
        <v>-22828</v>
      </c>
      <c r="W61" s="58">
        <f>SUM(W43:W60)</f>
        <v>-47594</v>
      </c>
    </row>
    <row r="62" spans="1:47" x14ac:dyDescent="0.3">
      <c r="B62" s="3"/>
      <c r="C62" s="3"/>
      <c r="D62" s="3"/>
      <c r="E62" s="3"/>
      <c r="F62" s="3"/>
      <c r="G62" s="3"/>
      <c r="Q62" s="201" t="s">
        <v>250</v>
      </c>
      <c r="R62" s="201"/>
      <c r="S62" s="201"/>
      <c r="T62" s="201"/>
      <c r="U62" s="201"/>
      <c r="V62" s="201"/>
      <c r="W62" s="201"/>
    </row>
    <row r="63" spans="1:47" x14ac:dyDescent="0.3">
      <c r="B63" s="3"/>
      <c r="C63" s="3"/>
      <c r="D63" s="3"/>
      <c r="E63" s="3"/>
      <c r="F63" s="3"/>
      <c r="G63" s="3"/>
      <c r="Q63" s="60" t="s">
        <v>347</v>
      </c>
      <c r="R63" s="56">
        <v>3888.77</v>
      </c>
      <c r="S63" s="56">
        <v>2602.5100000000002</v>
      </c>
      <c r="T63" s="56">
        <v>18.59</v>
      </c>
      <c r="U63" s="56">
        <v>19.600000000000001</v>
      </c>
      <c r="V63" s="56">
        <v>82</v>
      </c>
      <c r="W63" s="56">
        <v>35</v>
      </c>
    </row>
    <row r="64" spans="1:47" x14ac:dyDescent="0.3">
      <c r="B64" s="3"/>
      <c r="C64" s="3"/>
      <c r="D64" s="3"/>
      <c r="E64" s="3"/>
      <c r="F64" s="3"/>
      <c r="G64" s="3"/>
      <c r="Q64" s="60" t="s">
        <v>348</v>
      </c>
      <c r="R64" s="56">
        <v>28741.21</v>
      </c>
      <c r="S64" s="56">
        <v>29642.36</v>
      </c>
      <c r="T64" s="56">
        <v>3750</v>
      </c>
      <c r="U64" s="56">
        <v>3750</v>
      </c>
      <c r="V64" s="56">
        <v>11629</v>
      </c>
      <c r="W64" s="56">
        <v>7386</v>
      </c>
    </row>
    <row r="65" spans="2:23" x14ac:dyDescent="0.3">
      <c r="B65" s="3"/>
      <c r="C65" s="3"/>
      <c r="D65" s="3"/>
      <c r="E65" s="3"/>
      <c r="F65" s="3"/>
      <c r="G65" s="3"/>
      <c r="Q65" s="60" t="s">
        <v>349</v>
      </c>
      <c r="R65" s="56">
        <v>-16993.77</v>
      </c>
      <c r="S65" s="56">
        <v>-18629.61</v>
      </c>
      <c r="T65" s="56">
        <v>0</v>
      </c>
      <c r="U65" s="56">
        <v>-295.92</v>
      </c>
      <c r="V65" s="56">
        <v>-31675</v>
      </c>
      <c r="W65" s="56">
        <v>-19600</v>
      </c>
    </row>
    <row r="66" spans="2:23" x14ac:dyDescent="0.3">
      <c r="B66" s="3"/>
      <c r="C66" s="3"/>
      <c r="D66" s="3"/>
      <c r="E66" s="3"/>
      <c r="F66" s="3"/>
      <c r="G66" s="3"/>
      <c r="Q66" s="60" t="s">
        <v>350</v>
      </c>
      <c r="R66" s="56">
        <v>190.9</v>
      </c>
      <c r="S66" s="56">
        <v>35.01</v>
      </c>
      <c r="T66" s="56">
        <v>0</v>
      </c>
      <c r="U66" s="56">
        <v>-99.5</v>
      </c>
      <c r="V66" s="56">
        <v>-83</v>
      </c>
      <c r="W66" s="56">
        <v>186</v>
      </c>
    </row>
    <row r="67" spans="2:23" x14ac:dyDescent="0.3">
      <c r="B67" s="3"/>
      <c r="C67" s="3"/>
      <c r="D67" s="3"/>
      <c r="E67" s="3"/>
      <c r="F67" s="3"/>
      <c r="G67" s="3"/>
      <c r="Q67" s="60" t="s">
        <v>351</v>
      </c>
      <c r="R67" s="56">
        <v>-6.75</v>
      </c>
      <c r="S67" s="56">
        <v>-0.48</v>
      </c>
      <c r="T67" s="56">
        <v>31308.62</v>
      </c>
      <c r="U67" s="56">
        <v>16315.06</v>
      </c>
      <c r="V67" s="56">
        <v>0</v>
      </c>
      <c r="W67" s="56">
        <v>0</v>
      </c>
    </row>
    <row r="68" spans="2:23" x14ac:dyDescent="0.3">
      <c r="B68" s="3"/>
      <c r="C68" s="3"/>
      <c r="D68" s="3"/>
      <c r="E68" s="3"/>
      <c r="F68" s="3"/>
      <c r="G68" s="3"/>
      <c r="Q68" s="60" t="s">
        <v>352</v>
      </c>
      <c r="R68" s="56">
        <v>10707.3</v>
      </c>
      <c r="S68" s="56">
        <v>20807.150000000001</v>
      </c>
      <c r="T68" s="56">
        <v>-23355.8</v>
      </c>
      <c r="U68" s="56">
        <v>-31559.46</v>
      </c>
      <c r="V68" s="56">
        <v>10194</v>
      </c>
      <c r="W68" s="56">
        <v>846</v>
      </c>
    </row>
    <row r="69" spans="2:23" x14ac:dyDescent="0.3">
      <c r="B69" s="3"/>
      <c r="C69" s="3"/>
      <c r="D69" s="3"/>
      <c r="E69" s="3"/>
      <c r="F69" s="3"/>
      <c r="G69" s="3"/>
      <c r="Q69" s="60" t="s">
        <v>353</v>
      </c>
      <c r="R69" s="56">
        <v>-12852.93</v>
      </c>
      <c r="S69" s="56">
        <v>-11078.93</v>
      </c>
      <c r="T69" s="56">
        <v>-97.77</v>
      </c>
      <c r="U69" s="56">
        <v>-106.51</v>
      </c>
      <c r="V69" s="56">
        <v>-15656</v>
      </c>
      <c r="W69" s="56">
        <v>-1843</v>
      </c>
    </row>
    <row r="70" spans="2:23" x14ac:dyDescent="0.3">
      <c r="B70" s="3"/>
      <c r="C70" s="3"/>
      <c r="D70" s="3"/>
      <c r="E70" s="3"/>
      <c r="F70" s="3"/>
      <c r="G70" s="3"/>
      <c r="Q70" s="60" t="s">
        <v>354</v>
      </c>
      <c r="R70" s="56">
        <v>-1587.12</v>
      </c>
      <c r="S70" s="56">
        <v>-4544.2700000000004</v>
      </c>
      <c r="T70" s="56">
        <v>16866.240000000002</v>
      </c>
      <c r="U70" s="56">
        <v>28125.45</v>
      </c>
      <c r="V70" s="56">
        <v>-2994</v>
      </c>
      <c r="W70" s="56">
        <v>4966</v>
      </c>
    </row>
    <row r="71" spans="2:23" x14ac:dyDescent="0.3">
      <c r="B71" s="3"/>
      <c r="C71" s="3"/>
      <c r="D71" s="3"/>
      <c r="E71" s="3"/>
      <c r="F71" s="3"/>
      <c r="G71" s="3"/>
      <c r="Q71" s="60" t="s">
        <v>355</v>
      </c>
      <c r="R71" s="56">
        <v>-1345.61</v>
      </c>
      <c r="S71" s="56">
        <v>-1477.28</v>
      </c>
      <c r="T71" s="56">
        <v>-19460.45</v>
      </c>
      <c r="U71" s="56">
        <v>-30997.82</v>
      </c>
      <c r="V71" s="56">
        <v>-1924</v>
      </c>
      <c r="W71" s="56">
        <v>-2393</v>
      </c>
    </row>
    <row r="72" spans="2:23" x14ac:dyDescent="0.3">
      <c r="B72" s="3"/>
      <c r="C72" s="3"/>
      <c r="D72" s="3"/>
      <c r="E72" s="3"/>
      <c r="F72" s="3"/>
      <c r="G72" s="3"/>
      <c r="Q72" s="60" t="s">
        <v>356</v>
      </c>
      <c r="R72" s="56">
        <v>-53.32</v>
      </c>
      <c r="S72" s="56">
        <v>-28.75</v>
      </c>
      <c r="T72" s="56">
        <v>-1975.59</v>
      </c>
      <c r="U72" s="56">
        <v>-753.73</v>
      </c>
      <c r="V72" s="56">
        <v>3812</v>
      </c>
      <c r="W72" s="56">
        <v>0</v>
      </c>
    </row>
    <row r="73" spans="2:23" ht="28.8" x14ac:dyDescent="0.3">
      <c r="B73" s="3"/>
      <c r="C73" s="3"/>
      <c r="D73" s="3"/>
      <c r="E73" s="3"/>
      <c r="F73" s="3"/>
      <c r="G73" s="3"/>
      <c r="Q73" s="55" t="s">
        <v>357</v>
      </c>
      <c r="R73" s="56">
        <v>-22.15</v>
      </c>
      <c r="S73" s="56">
        <v>0.24</v>
      </c>
      <c r="T73" s="56">
        <v>-1558.95</v>
      </c>
      <c r="U73" s="56">
        <v>-1516.61</v>
      </c>
      <c r="V73" s="56">
        <v>0</v>
      </c>
      <c r="W73" s="56">
        <v>-63</v>
      </c>
    </row>
    <row r="74" spans="2:23" x14ac:dyDescent="0.3">
      <c r="B74" s="3"/>
      <c r="C74" s="3"/>
      <c r="D74" s="3"/>
      <c r="E74" s="3"/>
      <c r="F74" s="3"/>
      <c r="G74" s="3"/>
      <c r="Q74" s="60" t="s">
        <v>358</v>
      </c>
      <c r="R74" s="56">
        <v>-3.52</v>
      </c>
      <c r="S74" s="56">
        <v>-1.56</v>
      </c>
      <c r="T74" s="56">
        <v>-98.39</v>
      </c>
      <c r="U74" s="56">
        <v>-140.88</v>
      </c>
      <c r="V74" s="56">
        <v>-769</v>
      </c>
      <c r="W74" s="56">
        <v>-2303</v>
      </c>
    </row>
    <row r="75" spans="2:23" x14ac:dyDescent="0.3">
      <c r="B75" s="3"/>
      <c r="C75" s="3"/>
      <c r="D75" s="3"/>
      <c r="E75" s="3"/>
      <c r="F75" s="3"/>
      <c r="G75" s="3"/>
      <c r="Q75" s="60" t="s">
        <v>359</v>
      </c>
      <c r="R75" s="56">
        <v>245</v>
      </c>
      <c r="S75" s="56">
        <v>700.75</v>
      </c>
      <c r="T75" s="56">
        <f>-1.53+476.28</f>
        <v>474.75</v>
      </c>
      <c r="U75" s="56">
        <f>353.38</f>
        <v>353.38</v>
      </c>
      <c r="V75" s="56">
        <v>-290</v>
      </c>
      <c r="W75" s="56">
        <v>-189</v>
      </c>
    </row>
    <row r="76" spans="2:23" x14ac:dyDescent="0.3">
      <c r="B76" s="3"/>
      <c r="C76" s="3"/>
      <c r="D76" s="3"/>
      <c r="E76" s="3"/>
      <c r="F76" s="3"/>
      <c r="G76" s="3"/>
      <c r="Q76" s="60" t="s">
        <v>360</v>
      </c>
      <c r="R76" s="56">
        <v>-7518.4</v>
      </c>
      <c r="S76" s="56">
        <v>-8122.94</v>
      </c>
      <c r="T76" s="56">
        <v>-9251.42</v>
      </c>
      <c r="U76" s="56">
        <v>-9335.9599999999991</v>
      </c>
      <c r="V76" s="56">
        <v>-9332</v>
      </c>
      <c r="W76" s="56">
        <v>-5814</v>
      </c>
    </row>
    <row r="77" spans="2:23" x14ac:dyDescent="0.3">
      <c r="B77" s="3"/>
      <c r="C77" s="3"/>
      <c r="D77" s="3"/>
      <c r="E77" s="3"/>
      <c r="F77" s="3"/>
      <c r="G77" s="3"/>
      <c r="Q77" s="61" t="s">
        <v>361</v>
      </c>
      <c r="R77" s="58">
        <f>SUM(R63:R76)</f>
        <v>3389.6099999999969</v>
      </c>
      <c r="S77" s="58">
        <f t="shared" ref="S77:W77" si="42">SUM(S63:S76)</f>
        <v>9904.2000000000044</v>
      </c>
      <c r="T77" s="58">
        <f t="shared" si="42"/>
        <v>-3380.17</v>
      </c>
      <c r="U77" s="58">
        <f t="shared" si="42"/>
        <v>-26242.899999999998</v>
      </c>
      <c r="V77" s="58">
        <f t="shared" si="42"/>
        <v>-37006</v>
      </c>
      <c r="W77" s="58">
        <f t="shared" si="42"/>
        <v>-18786</v>
      </c>
    </row>
    <row r="78" spans="2:23" x14ac:dyDescent="0.3">
      <c r="B78" s="3"/>
      <c r="C78" s="3"/>
      <c r="D78" s="3"/>
      <c r="E78" s="3"/>
      <c r="F78" s="3"/>
      <c r="G78" s="3"/>
      <c r="Q78" s="61" t="s">
        <v>257</v>
      </c>
      <c r="R78" s="58">
        <f>R41+R61+R77</f>
        <v>-4147.6700000000164</v>
      </c>
      <c r="S78" s="58">
        <f t="shared" ref="S78:W78" si="43">S41+S61+S77</f>
        <v>12778.460000000014</v>
      </c>
      <c r="T78" s="58">
        <f t="shared" si="43"/>
        <v>6127.5399999999954</v>
      </c>
      <c r="U78" s="58">
        <f t="shared" si="43"/>
        <v>-7659.0499999999884</v>
      </c>
      <c r="V78" s="58">
        <f t="shared" si="43"/>
        <v>8081</v>
      </c>
      <c r="W78" s="58">
        <f t="shared" si="43"/>
        <v>-3278</v>
      </c>
    </row>
    <row r="79" spans="2:23" x14ac:dyDescent="0.3">
      <c r="B79" s="3"/>
      <c r="C79" s="3"/>
      <c r="D79" s="3"/>
      <c r="E79" s="3"/>
      <c r="F79" s="3"/>
      <c r="G79" s="3"/>
      <c r="Q79" s="60" t="s">
        <v>362</v>
      </c>
      <c r="R79" s="56">
        <v>21559.8</v>
      </c>
      <c r="S79" s="56">
        <v>18467.8</v>
      </c>
      <c r="T79" s="56">
        <f>S81</f>
        <v>31700.010000000013</v>
      </c>
      <c r="U79" s="56">
        <f>T81</f>
        <v>38159.010000000009</v>
      </c>
      <c r="V79" s="56">
        <f>U81</f>
        <v>31886.950000000023</v>
      </c>
      <c r="W79" s="56">
        <f>V81</f>
        <v>40014.950000000026</v>
      </c>
    </row>
    <row r="80" spans="2:23" x14ac:dyDescent="0.3">
      <c r="B80" s="3"/>
      <c r="C80" s="3"/>
      <c r="D80" s="3"/>
      <c r="E80" s="3"/>
      <c r="F80" s="3"/>
      <c r="G80" s="3"/>
      <c r="Q80" s="60" t="s">
        <v>363</v>
      </c>
      <c r="R80" s="56">
        <v>1055.67</v>
      </c>
      <c r="S80" s="56">
        <v>453.75</v>
      </c>
      <c r="T80" s="56">
        <v>331.46</v>
      </c>
      <c r="U80" s="56">
        <v>1386.99</v>
      </c>
      <c r="V80" s="56">
        <v>47</v>
      </c>
      <c r="W80" s="56">
        <f>-232-2999+843</f>
        <v>-2388</v>
      </c>
    </row>
    <row r="81" spans="2:23" x14ac:dyDescent="0.3">
      <c r="B81" s="3"/>
      <c r="C81" s="3"/>
      <c r="D81" s="3"/>
      <c r="E81" s="3"/>
      <c r="F81" s="3"/>
      <c r="G81" s="3"/>
      <c r="Q81" s="61" t="s">
        <v>259</v>
      </c>
      <c r="R81" s="58">
        <f>R78+R79+R80</f>
        <v>18467.799999999981</v>
      </c>
      <c r="S81" s="58">
        <f t="shared" ref="S81:W81" si="44">S78+S79+S80</f>
        <v>31700.010000000013</v>
      </c>
      <c r="T81" s="58">
        <f t="shared" si="44"/>
        <v>38159.010000000009</v>
      </c>
      <c r="U81" s="58">
        <f t="shared" si="44"/>
        <v>31886.950000000023</v>
      </c>
      <c r="V81" s="58">
        <f t="shared" si="44"/>
        <v>40014.950000000026</v>
      </c>
      <c r="W81" s="58">
        <f t="shared" si="44"/>
        <v>34348.950000000026</v>
      </c>
    </row>
    <row r="82" spans="2:23" x14ac:dyDescent="0.3">
      <c r="B82" s="3"/>
      <c r="C82" s="3"/>
      <c r="D82" s="3"/>
      <c r="E82" s="3"/>
      <c r="F82" s="3"/>
      <c r="G82" s="3"/>
    </row>
    <row r="83" spans="2:23" x14ac:dyDescent="0.3">
      <c r="B83" s="3"/>
      <c r="C83" s="3"/>
      <c r="D83" s="3"/>
      <c r="E83" s="3"/>
      <c r="F83" s="3"/>
      <c r="G83" s="3"/>
    </row>
    <row r="84" spans="2:23" x14ac:dyDescent="0.3">
      <c r="B84" s="3"/>
      <c r="C84" s="3"/>
      <c r="D84" s="3"/>
      <c r="E84" s="3"/>
      <c r="F84" s="3"/>
      <c r="G84" s="3"/>
    </row>
    <row r="85" spans="2:23" x14ac:dyDescent="0.3">
      <c r="B85" s="3"/>
      <c r="C85" s="3"/>
      <c r="D85" s="3"/>
      <c r="E85" s="3"/>
      <c r="F85" s="3"/>
      <c r="G85" s="3"/>
    </row>
    <row r="86" spans="2:23" x14ac:dyDescent="0.3">
      <c r="B86" s="3"/>
      <c r="C86" s="3"/>
      <c r="D86" s="3"/>
      <c r="E86" s="3"/>
      <c r="F86" s="3"/>
      <c r="G86" s="3"/>
    </row>
    <row r="87" spans="2:23" x14ac:dyDescent="0.3">
      <c r="B87" s="3"/>
      <c r="C87" s="3"/>
      <c r="D87" s="3"/>
      <c r="E87" s="3"/>
      <c r="F87" s="3"/>
      <c r="G87" s="3"/>
    </row>
    <row r="88" spans="2:23" x14ac:dyDescent="0.3">
      <c r="B88" s="3"/>
      <c r="C88" s="3"/>
      <c r="D88" s="3"/>
      <c r="E88" s="3"/>
      <c r="F88" s="3"/>
      <c r="G88" s="3"/>
    </row>
    <row r="89" spans="2:23" x14ac:dyDescent="0.3">
      <c r="B89" s="3"/>
      <c r="C89" s="3"/>
      <c r="D89" s="3"/>
      <c r="E89" s="3"/>
      <c r="F89" s="3"/>
      <c r="G89" s="3"/>
    </row>
    <row r="90" spans="2:23" x14ac:dyDescent="0.3">
      <c r="B90" s="3"/>
      <c r="C90" s="3"/>
      <c r="D90" s="3"/>
      <c r="E90" s="3"/>
      <c r="F90" s="3"/>
      <c r="G90" s="3"/>
    </row>
    <row r="91" spans="2:23" x14ac:dyDescent="0.3">
      <c r="B91" s="3"/>
      <c r="C91" s="3"/>
      <c r="D91" s="3"/>
      <c r="E91" s="3"/>
      <c r="F91" s="3"/>
      <c r="G91" s="3"/>
    </row>
    <row r="92" spans="2:23" x14ac:dyDescent="0.3">
      <c r="B92" s="3"/>
      <c r="C92" s="3"/>
      <c r="D92" s="3"/>
      <c r="E92" s="3"/>
      <c r="F92" s="3"/>
      <c r="G92" s="3"/>
    </row>
    <row r="93" spans="2:23" x14ac:dyDescent="0.3">
      <c r="B93" s="3"/>
      <c r="C93" s="3"/>
      <c r="D93" s="3"/>
      <c r="E93" s="3"/>
      <c r="F93" s="3"/>
      <c r="G93" s="3"/>
    </row>
    <row r="94" spans="2:23" x14ac:dyDescent="0.3">
      <c r="B94" s="3"/>
      <c r="C94" s="3"/>
      <c r="D94" s="3"/>
      <c r="E94" s="3"/>
      <c r="F94" s="3"/>
      <c r="G94" s="3"/>
    </row>
    <row r="95" spans="2:23" x14ac:dyDescent="0.3">
      <c r="B95" s="3"/>
      <c r="C95" s="3"/>
      <c r="D95" s="3"/>
      <c r="E95" s="3"/>
      <c r="F95" s="3"/>
      <c r="G95" s="3"/>
    </row>
    <row r="96" spans="2:23" x14ac:dyDescent="0.3">
      <c r="B96" s="3"/>
      <c r="C96" s="3"/>
      <c r="D96" s="3"/>
      <c r="E96" s="3"/>
      <c r="F96" s="3"/>
      <c r="G96" s="3"/>
    </row>
    <row r="97" spans="2:7" x14ac:dyDescent="0.3">
      <c r="B97" s="3"/>
      <c r="C97" s="3"/>
      <c r="D97" s="3"/>
      <c r="E97" s="3"/>
      <c r="F97" s="3"/>
      <c r="G97" s="3"/>
    </row>
    <row r="98" spans="2:7" x14ac:dyDescent="0.3">
      <c r="B98" s="3"/>
      <c r="C98" s="3"/>
      <c r="D98" s="3"/>
      <c r="E98" s="3"/>
      <c r="F98" s="3"/>
      <c r="G98" s="3"/>
    </row>
    <row r="99" spans="2:7" x14ac:dyDescent="0.3">
      <c r="B99" s="3"/>
      <c r="C99" s="3"/>
      <c r="D99" s="3"/>
      <c r="E99" s="3"/>
      <c r="F99" s="3"/>
      <c r="G99" s="3"/>
    </row>
    <row r="100" spans="2:7" x14ac:dyDescent="0.3">
      <c r="B100" s="3"/>
      <c r="C100" s="3"/>
      <c r="D100" s="3"/>
      <c r="E100" s="3"/>
      <c r="F100" s="3"/>
      <c r="G100" s="3"/>
    </row>
    <row r="101" spans="2:7" x14ac:dyDescent="0.3">
      <c r="B101" s="3"/>
      <c r="C101" s="3"/>
      <c r="D101" s="3"/>
      <c r="E101" s="3"/>
      <c r="F101" s="3"/>
      <c r="G101" s="3"/>
    </row>
    <row r="102" spans="2:7" x14ac:dyDescent="0.3">
      <c r="B102" s="3"/>
      <c r="C102" s="3"/>
      <c r="D102" s="3"/>
      <c r="E102" s="3"/>
      <c r="F102" s="3"/>
      <c r="G102" s="3"/>
    </row>
  </sheetData>
  <mergeCells count="41">
    <mergeCell ref="AO38:AU38"/>
    <mergeCell ref="AG33:AM33"/>
    <mergeCell ref="AG24:AM24"/>
    <mergeCell ref="AO3:AU3"/>
    <mergeCell ref="AO6:AU6"/>
    <mergeCell ref="AO27:AU27"/>
    <mergeCell ref="AG3:AM3"/>
    <mergeCell ref="AG5:AM5"/>
    <mergeCell ref="AT1:AU1"/>
    <mergeCell ref="A1:E1"/>
    <mergeCell ref="F1:G1"/>
    <mergeCell ref="I1:M1"/>
    <mergeCell ref="N1:O1"/>
    <mergeCell ref="Q1:U1"/>
    <mergeCell ref="V1:W1"/>
    <mergeCell ref="Y1:AC1"/>
    <mergeCell ref="AD1:AE1"/>
    <mergeCell ref="AG1:AK1"/>
    <mergeCell ref="AL1:AM1"/>
    <mergeCell ref="AO1:AS1"/>
    <mergeCell ref="I7:O7"/>
    <mergeCell ref="I3:O3"/>
    <mergeCell ref="I18:O18"/>
    <mergeCell ref="I26:O26"/>
    <mergeCell ref="I45:O45"/>
    <mergeCell ref="A3:G3"/>
    <mergeCell ref="A5:G5"/>
    <mergeCell ref="A19:G19"/>
    <mergeCell ref="A36:G36"/>
    <mergeCell ref="A48:G48"/>
    <mergeCell ref="Q3:W3"/>
    <mergeCell ref="Q5:W5"/>
    <mergeCell ref="Q42:W42"/>
    <mergeCell ref="Q62:W62"/>
    <mergeCell ref="Y16:AE16"/>
    <mergeCell ref="Y3:AE3"/>
    <mergeCell ref="Y29:AE29"/>
    <mergeCell ref="Y41:AE41"/>
    <mergeCell ref="Y42:AE42"/>
    <mergeCell ref="AE30:AE31"/>
    <mergeCell ref="Y30:Y3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51FF4-32F8-4033-A7D5-178E8B773E16}">
  <dimension ref="A1:BA32"/>
  <sheetViews>
    <sheetView tabSelected="1" topLeftCell="AV1" workbookViewId="0">
      <selection activeCell="A28" sqref="A28"/>
    </sheetView>
  </sheetViews>
  <sheetFormatPr defaultRowHeight="14.4" x14ac:dyDescent="0.3"/>
  <cols>
    <col min="1" max="1" width="10.44140625" style="67" bestFit="1" customWidth="1"/>
    <col min="2" max="2" width="29.109375" style="2" customWidth="1"/>
    <col min="3" max="6" width="10.88671875" style="2" bestFit="1" customWidth="1"/>
    <col min="7" max="8" width="11" style="2" bestFit="1" customWidth="1"/>
    <col min="9" max="9" width="8.88671875" style="2"/>
    <col min="10" max="10" width="10.44140625" style="2" bestFit="1" customWidth="1"/>
    <col min="11" max="11" width="29.109375" style="2" customWidth="1"/>
    <col min="12" max="13" width="10.44140625" style="3" bestFit="1" customWidth="1"/>
    <col min="14" max="14" width="10.5546875" style="3" bestFit="1" customWidth="1"/>
    <col min="15" max="15" width="10.88671875" style="3" bestFit="1" customWidth="1"/>
    <col min="16" max="17" width="11" style="3" bestFit="1" customWidth="1"/>
    <col min="18" max="18" width="8.88671875" style="2"/>
    <col min="19" max="19" width="10.44140625" style="2" bestFit="1" customWidth="1"/>
    <col min="20" max="20" width="29.109375" style="2" customWidth="1"/>
    <col min="21" max="21" width="10.44140625" style="3" bestFit="1" customWidth="1"/>
    <col min="22" max="24" width="10.88671875" style="3" bestFit="1" customWidth="1"/>
    <col min="25" max="26" width="11" style="3" bestFit="1" customWidth="1"/>
    <col min="27" max="27" width="8.88671875" style="2"/>
    <col min="28" max="28" width="10.44140625" style="2" bestFit="1" customWidth="1"/>
    <col min="29" max="29" width="29.109375" style="2" customWidth="1"/>
    <col min="30" max="31" width="10.44140625" style="3" bestFit="1" customWidth="1"/>
    <col min="32" max="32" width="10.5546875" style="3" bestFit="1" customWidth="1"/>
    <col min="33" max="33" width="10.88671875" style="3" bestFit="1" customWidth="1"/>
    <col min="34" max="34" width="11" style="3" bestFit="1" customWidth="1"/>
    <col min="35" max="35" width="11" style="2" bestFit="1" customWidth="1"/>
    <col min="36" max="36" width="8.88671875" style="2"/>
    <col min="37" max="37" width="10.44140625" style="2" bestFit="1" customWidth="1"/>
    <col min="38" max="38" width="29.109375" style="2" customWidth="1"/>
    <col min="39" max="40" width="10.44140625" style="3" bestFit="1" customWidth="1"/>
    <col min="41" max="41" width="10.5546875" style="3" bestFit="1" customWidth="1"/>
    <col min="42" max="42" width="10.88671875" style="3" bestFit="1" customWidth="1"/>
    <col min="43" max="44" width="11" style="3" bestFit="1" customWidth="1"/>
    <col min="45" max="45" width="8.88671875" style="2"/>
    <col min="46" max="46" width="10.44140625" style="2" bestFit="1" customWidth="1"/>
    <col min="47" max="47" width="29.109375" style="2" customWidth="1"/>
    <col min="48" max="49" width="10.44140625" style="3" bestFit="1" customWidth="1"/>
    <col min="50" max="50" width="10.5546875" style="3" bestFit="1" customWidth="1"/>
    <col min="51" max="51" width="10.88671875" style="3" bestFit="1" customWidth="1"/>
    <col min="52" max="52" width="11" style="3" bestFit="1" customWidth="1"/>
    <col min="53" max="53" width="11" style="2" bestFit="1" customWidth="1"/>
    <col min="54" max="16384" width="8.88671875" style="2"/>
  </cols>
  <sheetData>
    <row r="1" spans="1:53" ht="40.200000000000003" customHeight="1" x14ac:dyDescent="0.3">
      <c r="A1" s="189" t="s">
        <v>442</v>
      </c>
      <c r="B1" s="189"/>
      <c r="C1" s="189"/>
      <c r="D1" s="189"/>
      <c r="E1" s="189"/>
      <c r="F1" s="189"/>
      <c r="G1" s="190" t="e" vm="1">
        <v>#VALUE!</v>
      </c>
      <c r="H1" s="190"/>
      <c r="J1" s="189" t="s">
        <v>442</v>
      </c>
      <c r="K1" s="189"/>
      <c r="L1" s="189"/>
      <c r="M1" s="189"/>
      <c r="N1" s="189"/>
      <c r="O1" s="189"/>
      <c r="P1" s="190" t="e" vm="2">
        <v>#VALUE!</v>
      </c>
      <c r="Q1" s="190"/>
      <c r="S1" s="189" t="s">
        <v>442</v>
      </c>
      <c r="T1" s="189"/>
      <c r="U1" s="189"/>
      <c r="V1" s="189"/>
      <c r="W1" s="189"/>
      <c r="X1" s="189"/>
      <c r="Y1" s="190" t="e" vm="3">
        <v>#VALUE!</v>
      </c>
      <c r="Z1" s="190"/>
      <c r="AB1" s="189" t="s">
        <v>442</v>
      </c>
      <c r="AC1" s="189"/>
      <c r="AD1" s="189"/>
      <c r="AE1" s="189"/>
      <c r="AF1" s="189"/>
      <c r="AG1" s="189"/>
      <c r="AH1" s="190" t="e" vm="4">
        <v>#VALUE!</v>
      </c>
      <c r="AI1" s="190"/>
      <c r="AK1" s="189" t="s">
        <v>442</v>
      </c>
      <c r="AL1" s="189"/>
      <c r="AM1" s="189"/>
      <c r="AN1" s="189"/>
      <c r="AO1" s="189"/>
      <c r="AP1" s="189"/>
      <c r="AQ1" s="190" t="e" vm="5">
        <v>#VALUE!</v>
      </c>
      <c r="AR1" s="190"/>
      <c r="AT1" s="189" t="s">
        <v>442</v>
      </c>
      <c r="AU1" s="189"/>
      <c r="AV1" s="189"/>
      <c r="AW1" s="189"/>
      <c r="AX1" s="189"/>
      <c r="AY1" s="189"/>
      <c r="AZ1" s="190" t="e" vm="6">
        <v>#VALUE!</v>
      </c>
      <c r="BA1" s="190"/>
    </row>
    <row r="2" spans="1:53" ht="15" thickBot="1" x14ac:dyDescent="0.35">
      <c r="A2" s="66" t="s">
        <v>444</v>
      </c>
      <c r="B2" s="54" t="s">
        <v>443</v>
      </c>
      <c r="C2" s="52">
        <v>2020</v>
      </c>
      <c r="D2" s="52">
        <v>2021</v>
      </c>
      <c r="E2" s="52">
        <v>2022</v>
      </c>
      <c r="F2" s="52">
        <v>2023</v>
      </c>
      <c r="G2" s="52">
        <v>2024</v>
      </c>
      <c r="H2" s="52">
        <v>2025</v>
      </c>
      <c r="J2" s="66" t="s">
        <v>444</v>
      </c>
      <c r="K2" s="54" t="s">
        <v>443</v>
      </c>
      <c r="L2" s="52">
        <v>2020</v>
      </c>
      <c r="M2" s="52">
        <v>2021</v>
      </c>
      <c r="N2" s="52">
        <v>2022</v>
      </c>
      <c r="O2" s="52">
        <v>2023</v>
      </c>
      <c r="P2" s="52">
        <v>2024</v>
      </c>
      <c r="Q2" s="52">
        <v>2025</v>
      </c>
      <c r="S2" s="66" t="s">
        <v>444</v>
      </c>
      <c r="T2" s="54" t="s">
        <v>443</v>
      </c>
      <c r="U2" s="52">
        <v>2020</v>
      </c>
      <c r="V2" s="52">
        <v>2021</v>
      </c>
      <c r="W2" s="52">
        <v>2022</v>
      </c>
      <c r="X2" s="52">
        <v>2023</v>
      </c>
      <c r="Y2" s="52">
        <v>2024</v>
      </c>
      <c r="Z2" s="52">
        <v>2025</v>
      </c>
      <c r="AB2" s="66" t="s">
        <v>444</v>
      </c>
      <c r="AC2" s="54" t="s">
        <v>443</v>
      </c>
      <c r="AD2" s="52">
        <v>2020</v>
      </c>
      <c r="AE2" s="52">
        <v>2021</v>
      </c>
      <c r="AF2" s="52">
        <v>2022</v>
      </c>
      <c r="AG2" s="52">
        <v>2023</v>
      </c>
      <c r="AH2" s="52">
        <v>2024</v>
      </c>
      <c r="AI2" s="52" t="s">
        <v>80</v>
      </c>
      <c r="AK2" s="66" t="s">
        <v>444</v>
      </c>
      <c r="AL2" s="54" t="s">
        <v>443</v>
      </c>
      <c r="AM2" s="52">
        <v>2020</v>
      </c>
      <c r="AN2" s="52">
        <v>2021</v>
      </c>
      <c r="AO2" s="52">
        <v>2022</v>
      </c>
      <c r="AP2" s="52">
        <v>2023</v>
      </c>
      <c r="AQ2" s="52">
        <v>2024</v>
      </c>
      <c r="AR2" s="52">
        <v>2025</v>
      </c>
      <c r="AT2" s="66" t="s">
        <v>444</v>
      </c>
      <c r="AU2" s="54" t="s">
        <v>443</v>
      </c>
      <c r="AV2" s="52">
        <v>2020</v>
      </c>
      <c r="AW2" s="52">
        <v>2021</v>
      </c>
      <c r="AX2" s="52">
        <v>2022</v>
      </c>
      <c r="AY2" s="52">
        <v>2023</v>
      </c>
      <c r="AZ2" s="52">
        <v>2024</v>
      </c>
      <c r="BA2" s="52" t="s">
        <v>80</v>
      </c>
    </row>
    <row r="3" spans="1:53" x14ac:dyDescent="0.3">
      <c r="A3" s="210" t="s">
        <v>445</v>
      </c>
      <c r="B3" s="96" t="s">
        <v>446</v>
      </c>
      <c r="C3" s="87">
        <f>'Balance Sheet'!B27/'Balance Sheet'!B56</f>
        <v>0.74659897040352396</v>
      </c>
      <c r="D3" s="71">
        <f>'Balance Sheet'!C27/'Balance Sheet'!C56</f>
        <v>1.1503551378679324</v>
      </c>
      <c r="E3" s="71">
        <f>'Balance Sheet'!D27/'Balance Sheet'!D56</f>
        <v>0.986483390607102</v>
      </c>
      <c r="F3" s="71">
        <f>'Balance Sheet'!E27/'Balance Sheet'!E56</f>
        <v>0.57768074281479853</v>
      </c>
      <c r="G3" s="71">
        <f>'Balance Sheet'!F27/'Balance Sheet'!F56</f>
        <v>0.77467976815083295</v>
      </c>
      <c r="H3" s="72">
        <f>'Balance Sheet'!G27/'Balance Sheet'!G56</f>
        <v>0.870194268862717</v>
      </c>
      <c r="J3" s="214" t="s">
        <v>445</v>
      </c>
      <c r="K3" s="96" t="s">
        <v>446</v>
      </c>
      <c r="L3" s="87">
        <f>'Balance Sheet'!J31/'Balance Sheet'!J61</f>
        <v>1.1858174262611481</v>
      </c>
      <c r="M3" s="71">
        <f>'Balance Sheet'!K31/'Balance Sheet'!K61</f>
        <v>1.402206118608615</v>
      </c>
      <c r="N3" s="71">
        <f>'Balance Sheet'!L31/'Balance Sheet'!L61</f>
        <v>1.335054708498191</v>
      </c>
      <c r="O3" s="71">
        <f>'Balance Sheet'!M31/'Balance Sheet'!M61</f>
        <v>1.2939388413703092</v>
      </c>
      <c r="P3" s="71">
        <f>'Balance Sheet'!N31/'Balance Sheet'!N61</f>
        <v>1.3007451785774562</v>
      </c>
      <c r="Q3" s="72">
        <f>'Balance Sheet'!O31/'Balance Sheet'!O61</f>
        <v>1.4013557714227129</v>
      </c>
      <c r="S3" s="214" t="s">
        <v>445</v>
      </c>
      <c r="T3" s="96" t="s">
        <v>446</v>
      </c>
      <c r="U3" s="87">
        <f>'Balance Sheet'!R34/'Balance Sheet'!R65</f>
        <v>0.85142956005896575</v>
      </c>
      <c r="V3" s="87">
        <f>'Balance Sheet'!S34/'Balance Sheet'!S65</f>
        <v>0.93114677363140641</v>
      </c>
      <c r="W3" s="87">
        <f>'Balance Sheet'!T34/'Balance Sheet'!T65</f>
        <v>0.97541013470614191</v>
      </c>
      <c r="X3" s="87">
        <f>'Balance Sheet'!U34/'Balance Sheet'!U65</f>
        <v>0.97743068915655074</v>
      </c>
      <c r="Y3" s="87">
        <f>'Balance Sheet'!V34/'Balance Sheet'!V65</f>
        <v>0.96991060731729795</v>
      </c>
      <c r="Z3" s="102">
        <f>'Balance Sheet'!W34/'Balance Sheet'!W65</f>
        <v>0.96184996760336927</v>
      </c>
      <c r="AB3" s="214" t="s">
        <v>445</v>
      </c>
      <c r="AC3" s="96" t="s">
        <v>446</v>
      </c>
      <c r="AD3" s="121">
        <f>'Balance Sheet'!Z32/'Balance Sheet'!Z61</f>
        <v>0.97144806508372883</v>
      </c>
      <c r="AE3" s="87">
        <f>'Balance Sheet'!AA32/'Balance Sheet'!AA61</f>
        <v>0.96591072638286279</v>
      </c>
      <c r="AF3" s="87">
        <f>'Balance Sheet'!AB32/'Balance Sheet'!AB61</f>
        <v>0.92754329426237347</v>
      </c>
      <c r="AG3" s="87">
        <f>'Balance Sheet'!AC32/'Balance Sheet'!AC61</f>
        <v>0.8858184996904056</v>
      </c>
      <c r="AH3" s="102">
        <f>'Balance Sheet'!AD32/'Balance Sheet'!AD61</f>
        <v>1.0209600340825904</v>
      </c>
      <c r="AI3" s="102"/>
      <c r="AK3" s="214" t="s">
        <v>445</v>
      </c>
      <c r="AL3" s="96" t="s">
        <v>446</v>
      </c>
      <c r="AM3" s="87">
        <f>'Balance Sheet'!AH33/'Balance Sheet'!AH72</f>
        <v>1.6638064922882931</v>
      </c>
      <c r="AN3" s="87">
        <f>'Balance Sheet'!AI33/'Balance Sheet'!AI72</f>
        <v>1.3020140234473372</v>
      </c>
      <c r="AO3" s="87">
        <f>'Balance Sheet'!AJ33/'Balance Sheet'!AJ72</f>
        <v>1.8174381795985579</v>
      </c>
      <c r="AP3" s="87">
        <f>'Balance Sheet'!AK33/'Balance Sheet'!AK72</f>
        <v>1.881698458201488</v>
      </c>
      <c r="AQ3" s="87">
        <f>'Balance Sheet'!AL33/'Balance Sheet'!AL72</f>
        <v>1.4056066697245233</v>
      </c>
      <c r="AR3" s="102">
        <f>'Balance Sheet'!AM33/'Balance Sheet'!AM72</f>
        <v>1.2251014817094843</v>
      </c>
      <c r="AT3" s="214" t="s">
        <v>445</v>
      </c>
      <c r="AU3" s="96" t="s">
        <v>446</v>
      </c>
      <c r="AV3" s="121">
        <f>'Balance Sheet'!AP32/'Balance Sheet'!AP67</f>
        <v>0.994614425572792</v>
      </c>
      <c r="AW3" s="87">
        <f>'Balance Sheet'!AQ32/'Balance Sheet'!AQ67</f>
        <v>0.99774320868421174</v>
      </c>
      <c r="AX3" s="87">
        <f>'Balance Sheet'!AR32/'Balance Sheet'!AR67</f>
        <v>1.0148483529501509</v>
      </c>
      <c r="AY3" s="87">
        <f>'Balance Sheet'!AS32/'Balance Sheet'!AS67</f>
        <v>0.97324407422752357</v>
      </c>
      <c r="AZ3" s="102">
        <f>'Balance Sheet'!AT32/'Balance Sheet'!AT67</f>
        <v>0.96528796464079925</v>
      </c>
      <c r="BA3" s="102"/>
    </row>
    <row r="4" spans="1:53" ht="15" thickBot="1" x14ac:dyDescent="0.35">
      <c r="A4" s="211"/>
      <c r="B4" s="97" t="s">
        <v>447</v>
      </c>
      <c r="C4" s="88">
        <f>('Balance Sheet'!B27-'Balance Sheet'!B17)/'Balance Sheet'!B56</f>
        <v>0.46231889185698871</v>
      </c>
      <c r="D4" s="79">
        <f>('Balance Sheet'!C27-'Balance Sheet'!C17)/'Balance Sheet'!C56</f>
        <v>0.96121708383735016</v>
      </c>
      <c r="E4" s="79">
        <f>('Balance Sheet'!D27-'Balance Sheet'!D17)/'Balance Sheet'!D56</f>
        <v>0.77898786970951928</v>
      </c>
      <c r="F4" s="79">
        <f>('Balance Sheet'!E27-'Balance Sheet'!E17)/'Balance Sheet'!E56</f>
        <v>0.36464865993942497</v>
      </c>
      <c r="G4" s="79">
        <f>('Balance Sheet'!F27-'Balance Sheet'!F17)/'Balance Sheet'!F56</f>
        <v>0.59500974760889203</v>
      </c>
      <c r="H4" s="80">
        <f>('Balance Sheet'!G27-'Balance Sheet'!G17)/'Balance Sheet'!G56</f>
        <v>0.67847024965663338</v>
      </c>
      <c r="J4" s="215"/>
      <c r="K4" s="97" t="s">
        <v>447</v>
      </c>
      <c r="L4" s="88">
        <f>('Balance Sheet'!J31-'Balance Sheet'!J21)/'Balance Sheet'!J61</f>
        <v>0.98007851208453611</v>
      </c>
      <c r="M4" s="79">
        <f>('Balance Sheet'!K31-'Balance Sheet'!K21)/'Balance Sheet'!K61</f>
        <v>1.2153031887215353</v>
      </c>
      <c r="N4" s="79">
        <f>('Balance Sheet'!L31-'Balance Sheet'!L21)/'Balance Sheet'!L61</f>
        <v>1.1290471754980114</v>
      </c>
      <c r="O4" s="79">
        <f>('Balance Sheet'!M31-'Balance Sheet'!M21)/'Balance Sheet'!M61</f>
        <v>1.0551302426585885</v>
      </c>
      <c r="P4" s="79">
        <f>('Balance Sheet'!N31-'Balance Sheet'!N21)/'Balance Sheet'!N61</f>
        <v>1.0546625781894789</v>
      </c>
      <c r="Q4" s="80">
        <f>('Balance Sheet'!O31-'Balance Sheet'!O21)/'Balance Sheet'!O61</f>
        <v>1.1762619100261387</v>
      </c>
      <c r="S4" s="215"/>
      <c r="T4" s="97" t="s">
        <v>447</v>
      </c>
      <c r="U4" s="88">
        <f>('Balance Sheet'!R34-'Balance Sheet'!R22)/'Balance Sheet'!R65</f>
        <v>0.58474533130230133</v>
      </c>
      <c r="V4" s="88">
        <f>('Balance Sheet'!S34-'Balance Sheet'!S22)/'Balance Sheet'!S65</f>
        <v>0.70237480790708384</v>
      </c>
      <c r="W4" s="88">
        <f>('Balance Sheet'!T34-'Balance Sheet'!T22)/'Balance Sheet'!T65</f>
        <v>0.74153913110593039</v>
      </c>
      <c r="X4" s="88">
        <f>('Balance Sheet'!U34-'Balance Sheet'!U22)/'Balance Sheet'!U65</f>
        <v>0.71453904289005044</v>
      </c>
      <c r="Y4" s="88">
        <f>('Balance Sheet'!V34-'Balance Sheet'!V22)/'Balance Sheet'!V65</f>
        <v>0.69465947838908859</v>
      </c>
      <c r="Z4" s="103">
        <f>('Balance Sheet'!W34-'Balance Sheet'!W22)/'Balance Sheet'!W65</f>
        <v>0.67826546039211921</v>
      </c>
      <c r="AB4" s="215"/>
      <c r="AC4" s="97" t="s">
        <v>447</v>
      </c>
      <c r="AD4" s="122">
        <f>('Balance Sheet'!Z32-'Balance Sheet'!Z23)/'Balance Sheet'!Z61</f>
        <v>0.85290027969405247</v>
      </c>
      <c r="AE4" s="88">
        <f>('Balance Sheet'!AA32-'Balance Sheet'!AA23)/'Balance Sheet'!AA61</f>
        <v>0.84055859950443257</v>
      </c>
      <c r="AF4" s="88">
        <f>('Balance Sheet'!AB32-'Balance Sheet'!AB23)/'Balance Sheet'!AB61</f>
        <v>0.80897606939788003</v>
      </c>
      <c r="AG4" s="88">
        <f>('Balance Sheet'!AC32-'Balance Sheet'!AC23)/'Balance Sheet'!AC61</f>
        <v>0.78583723144645568</v>
      </c>
      <c r="AH4" s="103">
        <f>('Balance Sheet'!AD32-'Balance Sheet'!AD23)/'Balance Sheet'!AD61</f>
        <v>0.91429063473606142</v>
      </c>
      <c r="AI4" s="103"/>
      <c r="AK4" s="215"/>
      <c r="AL4" s="97" t="s">
        <v>447</v>
      </c>
      <c r="AM4" s="88">
        <f>('Balance Sheet'!AH33-'Balance Sheet'!AH22)/'Balance Sheet'!AH72</f>
        <v>0.92121911088557751</v>
      </c>
      <c r="AN4" s="88">
        <f>('Balance Sheet'!AI33-'Balance Sheet'!AI22)/'Balance Sheet'!AI72</f>
        <v>0.75321812933289767</v>
      </c>
      <c r="AO4" s="88">
        <f>('Balance Sheet'!AJ33-'Balance Sheet'!AJ22)/'Balance Sheet'!AJ72</f>
        <v>0.80414785793373655</v>
      </c>
      <c r="AP4" s="88">
        <f>('Balance Sheet'!AK33-'Balance Sheet'!AK22)/'Balance Sheet'!AK72</f>
        <v>0.74546933431204265</v>
      </c>
      <c r="AQ4" s="88">
        <f>('Balance Sheet'!AL33-'Balance Sheet'!AL22)/'Balance Sheet'!AL72</f>
        <v>0.53579715619350843</v>
      </c>
      <c r="AR4" s="103">
        <f>('Balance Sheet'!AM33-'Balance Sheet'!AM22)/'Balance Sheet'!AM72</f>
        <v>0.44880679276984281</v>
      </c>
      <c r="AT4" s="215"/>
      <c r="AU4" s="97" t="s">
        <v>447</v>
      </c>
      <c r="AV4" s="122">
        <f>('Balance Sheet'!AP32-'Balance Sheet'!AP23)/'Balance Sheet'!AP67</f>
        <v>0.73113005089214533</v>
      </c>
      <c r="AW4" s="88">
        <f>('Balance Sheet'!AQ32-'Balance Sheet'!AQ23)/'Balance Sheet'!AQ67</f>
        <v>0.75158542053680089</v>
      </c>
      <c r="AX4" s="88">
        <f>('Balance Sheet'!AR32-'Balance Sheet'!AR23)/'Balance Sheet'!AR67</f>
        <v>0.72579233844731716</v>
      </c>
      <c r="AY4" s="88">
        <f>('Balance Sheet'!AS32-'Balance Sheet'!AS23)/'Balance Sheet'!AS67</f>
        <v>0.68893783117817664</v>
      </c>
      <c r="AZ4" s="103">
        <f>('Balance Sheet'!AT32-'Balance Sheet'!AT23)/'Balance Sheet'!AT67</f>
        <v>0.74624404368126873</v>
      </c>
      <c r="BA4" s="103"/>
    </row>
    <row r="5" spans="1:53" x14ac:dyDescent="0.3">
      <c r="A5" s="207" t="s">
        <v>468</v>
      </c>
      <c r="B5" s="98" t="s">
        <v>448</v>
      </c>
      <c r="C5" s="89">
        <f>('Balance Sheet'!B39+'Balance Sheet'!B47)/'Balance Sheet'!B35</f>
        <v>2.2596607069885625E-3</v>
      </c>
      <c r="D5" s="77">
        <f>('Balance Sheet'!C39+'Balance Sheet'!C47)/'Balance Sheet'!C35</f>
        <v>9.363702510066553E-3</v>
      </c>
      <c r="E5" s="77">
        <f>('Balance Sheet'!D39+'Balance Sheet'!D47)/'Balance Sheet'!D35</f>
        <v>6.9017864404022876E-3</v>
      </c>
      <c r="F5" s="77">
        <f>('Balance Sheet'!E39+'Balance Sheet'!E47)/'Balance Sheet'!E35</f>
        <v>1.9675909068105055E-2</v>
      </c>
      <c r="G5" s="77">
        <f>('Balance Sheet'!F39+'Balance Sheet'!F47)/'Balance Sheet'!F35</f>
        <v>3.9413207592103069E-4</v>
      </c>
      <c r="H5" s="78">
        <f>('Balance Sheet'!G39+'Balance Sheet'!G47)/'Balance Sheet'!G35</f>
        <v>0</v>
      </c>
      <c r="J5" s="212" t="s">
        <v>468</v>
      </c>
      <c r="K5" s="98" t="s">
        <v>448</v>
      </c>
      <c r="L5" s="89">
        <f>('Balance Sheet'!J43+'Balance Sheet'!J52)/'Balance Sheet'!J39</f>
        <v>1.3116702212813189</v>
      </c>
      <c r="M5" s="77">
        <f>('Balance Sheet'!K43+'Balance Sheet'!K52)/'Balance Sheet'!K39</f>
        <v>1.1757261230157092</v>
      </c>
      <c r="N5" s="77">
        <f>('Balance Sheet'!L43+'Balance Sheet'!L52)/'Balance Sheet'!L39</f>
        <v>1.3139786777922351</v>
      </c>
      <c r="O5" s="77">
        <f>('Balance Sheet'!M43+'Balance Sheet'!M52)/'Balance Sheet'!M39</f>
        <v>1.3232590626621614</v>
      </c>
      <c r="P5" s="77">
        <f>('Balance Sheet'!N43+'Balance Sheet'!N52)/'Balance Sheet'!N39</f>
        <v>1.3314941141286976</v>
      </c>
      <c r="Q5" s="78">
        <f>('Balance Sheet'!O43+'Balance Sheet'!O52)/'Balance Sheet'!O39</f>
        <v>1.3599962962131587</v>
      </c>
      <c r="S5" s="212" t="s">
        <v>468</v>
      </c>
      <c r="T5" s="98" t="s">
        <v>448</v>
      </c>
      <c r="U5" s="89">
        <f>('Balance Sheet'!R46+'Balance Sheet'!R55)/'Balance Sheet'!R42</f>
        <v>1.5601015712586643</v>
      </c>
      <c r="V5" s="89">
        <f>('Balance Sheet'!S46+'Balance Sheet'!S55)/'Balance Sheet'!S42</f>
        <v>2.0199777508742049</v>
      </c>
      <c r="W5" s="89">
        <f>('Balance Sheet'!T46+'Balance Sheet'!T55)/'Balance Sheet'!T42</f>
        <v>2.8603412085853015</v>
      </c>
      <c r="X5" s="89">
        <f>('Balance Sheet'!U46+'Balance Sheet'!U55)/'Balance Sheet'!U42</f>
        <v>2.3890045743772141</v>
      </c>
      <c r="Y5" s="89">
        <f>('Balance Sheet'!V46+'Balance Sheet'!V55)/'Balance Sheet'!V42</f>
        <v>1.0580810793391626</v>
      </c>
      <c r="Z5" s="104">
        <f>('Balance Sheet'!W46+'Balance Sheet'!W55)/'Balance Sheet'!W42</f>
        <v>0.50914023168287792</v>
      </c>
      <c r="AB5" s="212" t="s">
        <v>468</v>
      </c>
      <c r="AC5" s="98" t="s">
        <v>448</v>
      </c>
      <c r="AD5" s="123">
        <f>('Balance Sheet'!Z52+'Balance Sheet'!Z44)/'Balance Sheet'!Z40</f>
        <v>2.4984263288778363</v>
      </c>
      <c r="AE5" s="89">
        <f>('Balance Sheet'!AA52+'Balance Sheet'!AA44)/'Balance Sheet'!AA40</f>
        <v>2.218409732092224</v>
      </c>
      <c r="AF5" s="89">
        <f>('Balance Sheet'!AB52+'Balance Sheet'!AB44)/'Balance Sheet'!AB40</f>
        <v>3.0273599300219076</v>
      </c>
      <c r="AG5" s="89">
        <f>('Balance Sheet'!AC52+'Balance Sheet'!AC44)/'Balance Sheet'!AC40</f>
        <v>3.6593534522872826</v>
      </c>
      <c r="AH5" s="104">
        <f>('Balance Sheet'!AD52+'Balance Sheet'!AD44)/'Balance Sheet'!AD40</f>
        <v>3.3665623323317058</v>
      </c>
      <c r="AI5" s="104"/>
      <c r="AK5" s="212" t="s">
        <v>468</v>
      </c>
      <c r="AL5" s="98" t="s">
        <v>448</v>
      </c>
      <c r="AM5" s="89">
        <f>('Balance Sheet'!AH45+'Balance Sheet'!AH61)/'Balance Sheet'!AH41</f>
        <v>1.0343461882086378E-2</v>
      </c>
      <c r="AN5" s="89">
        <f>('Balance Sheet'!AI45+'Balance Sheet'!AI61)/'Balance Sheet'!AI41</f>
        <v>1.8070667583066996E-2</v>
      </c>
      <c r="AO5" s="89">
        <f>('Balance Sheet'!AJ45+'Balance Sheet'!AJ61)/'Balance Sheet'!AJ41</f>
        <v>1.9694181542646572E-2</v>
      </c>
      <c r="AP5" s="89">
        <f>('Balance Sheet'!AK45+'Balance Sheet'!AK61)/'Balance Sheet'!AK41</f>
        <v>2.5076068322368122E-2</v>
      </c>
      <c r="AQ5" s="89">
        <f>('Balance Sheet'!AL45+'Balance Sheet'!AL61)/'Balance Sheet'!AL41</f>
        <v>5.4021625392396237E-2</v>
      </c>
      <c r="AR5" s="104">
        <f>('Balance Sheet'!AM45+'Balance Sheet'!AM61)/'Balance Sheet'!AM41</f>
        <v>0.112039368112231</v>
      </c>
      <c r="AT5" s="212" t="s">
        <v>468</v>
      </c>
      <c r="AU5" s="98" t="s">
        <v>448</v>
      </c>
      <c r="AV5" s="123">
        <f>('Balance Sheet'!AP58+'Balance Sheet'!AP47)/'Balance Sheet'!AP43</f>
        <v>0.78707532089114329</v>
      </c>
      <c r="AW5" s="89">
        <f>('Balance Sheet'!AQ58+'Balance Sheet'!AQ47)/'Balance Sheet'!AQ43</f>
        <v>0.53221497958863728</v>
      </c>
      <c r="AX5" s="89">
        <f>('Balance Sheet'!AR58+'Balance Sheet'!AR47)/'Balance Sheet'!AR43</f>
        <v>0.57058476342076325</v>
      </c>
      <c r="AY5" s="89">
        <f>('Balance Sheet'!AS58+'Balance Sheet'!AS47)/'Balance Sheet'!AS43</f>
        <v>0.49906673941313301</v>
      </c>
      <c r="AZ5" s="104">
        <f>('Balance Sheet'!AT58+'Balance Sheet'!AT47)/'Balance Sheet'!AT43</f>
        <v>0.61495631833566666</v>
      </c>
      <c r="BA5" s="104"/>
    </row>
    <row r="6" spans="1:53" x14ac:dyDescent="0.3">
      <c r="A6" s="208"/>
      <c r="B6" s="99" t="s">
        <v>449</v>
      </c>
      <c r="C6" s="90">
        <f>('Income Statement'!B19+'Income Statement'!B12)/'Income Statement'!B12</f>
        <v>53.926974664679541</v>
      </c>
      <c r="D6" s="56">
        <f>('Income Statement'!C19+'Income Statement'!C12)/'Income Statement'!C12</f>
        <v>53.26915520628684</v>
      </c>
      <c r="E6" s="56">
        <f>('Income Statement'!D19+'Income Statement'!D12)/'Income Statement'!D12</f>
        <v>38.102685624012665</v>
      </c>
      <c r="F6" s="56">
        <f>('Income Statement'!E19+'Income Statement'!E12)/'Income Statement'!E12</f>
        <v>56.203743315508007</v>
      </c>
      <c r="G6" s="56">
        <f>('Income Statement'!F19+'Income Statement'!F12)/'Income Statement'!F12</f>
        <v>89.200310559006155</v>
      </c>
      <c r="H6" s="73">
        <f>('Income Statement'!G19+'Income Statement'!G12)/'Income Statement'!G12</f>
        <v>100.34334541688234</v>
      </c>
      <c r="J6" s="213"/>
      <c r="K6" s="99" t="s">
        <v>449</v>
      </c>
      <c r="L6" s="90">
        <f>('Income Statement'!J17+'Income Statement'!J12+'Income Statement'!J13)/'Income Statement'!J12</f>
        <v>2.3617182764089906</v>
      </c>
      <c r="M6" s="56">
        <f>('Income Statement'!K17+'Income Statement'!K12+'Income Statement'!K13)/'Income Statement'!K12</f>
        <v>2.4105423927685341</v>
      </c>
      <c r="N6" s="56">
        <f>('Income Statement'!L17+'Income Statement'!L12+'Income Statement'!L13)/'Income Statement'!L12</f>
        <v>3.1122368250615242</v>
      </c>
      <c r="O6" s="56">
        <f>('Income Statement'!M17+'Income Statement'!M12+'Income Statement'!M13)/'Income Statement'!M12</f>
        <v>3.6866013688526031</v>
      </c>
      <c r="P6" s="56">
        <f>('Income Statement'!N17+'Income Statement'!N12+'Income Statement'!N13)/'Income Statement'!N12</f>
        <v>3.6147957923188585</v>
      </c>
      <c r="Q6" s="73">
        <f>('Income Statement'!O17+'Income Statement'!O12+'Income Statement'!O13)/'Income Statement'!O12</f>
        <v>3.5998938722217129</v>
      </c>
      <c r="S6" s="213"/>
      <c r="T6" s="99" t="s">
        <v>449</v>
      </c>
      <c r="U6" s="90">
        <f>('Income Statement'!R23+'Income Statement'!R16)/'Income Statement'!R16</f>
        <v>-6.4225984457422086E-2</v>
      </c>
      <c r="V6" s="90">
        <f>('Income Statement'!S23+'Income Statement'!S16)/'Income Statement'!S16</f>
        <v>1.4059121890734652</v>
      </c>
      <c r="W6" s="90">
        <f>('Income Statement'!T23+'Income Statement'!T16)/'Income Statement'!T16</f>
        <v>0.31551483806672803</v>
      </c>
      <c r="X6" s="90">
        <f>('Income Statement'!U23+'Income Statement'!U16)/'Income Statement'!U16</f>
        <v>1.143467103744765</v>
      </c>
      <c r="Y6" s="90">
        <f>('Income Statement'!V23+'Income Statement'!V16)/'Income Statement'!V16</f>
        <v>4.775085593889913</v>
      </c>
      <c r="Z6" s="105">
        <f>('Income Statement'!W23+'Income Statement'!W16)/'Income Statement'!W16</f>
        <v>7.6974227818217589</v>
      </c>
      <c r="AB6" s="213"/>
      <c r="AC6" s="99" t="s">
        <v>449</v>
      </c>
      <c r="AD6" s="124">
        <f>('Income Statement'!Z16+'Income Statement'!Z12)/'Income Statement'!Z12</f>
        <v>2.0699791700798134</v>
      </c>
      <c r="AE6" s="90">
        <f>('Income Statement'!AA16+'Income Statement'!AA12)/'Income Statement'!AA12</f>
        <v>1.9515025695129897</v>
      </c>
      <c r="AF6" s="90">
        <f>('Income Statement'!AB16+'Income Statement'!AB12)/'Income Statement'!AB12</f>
        <v>2.1746399778775163</v>
      </c>
      <c r="AG6" s="90">
        <f>('Income Statement'!AC16+'Income Statement'!AC12)/'Income Statement'!AC12</f>
        <v>2.4464832698535708</v>
      </c>
      <c r="AH6" s="105">
        <f>('Income Statement'!AD16+'Income Statement'!AD12)/'Income Statement'!AD12</f>
        <v>2.4246830452555348</v>
      </c>
      <c r="AI6" s="105"/>
      <c r="AK6" s="213"/>
      <c r="AL6" s="99" t="s">
        <v>449</v>
      </c>
      <c r="AM6" s="90">
        <f>('Income Statement'!AH19+'Income Statement'!AH15)/'Income Statement'!AH15</f>
        <v>11.286572108913953</v>
      </c>
      <c r="AN6" s="90">
        <f>('Income Statement'!AI19+'Income Statement'!AI15)/'Income Statement'!AI15</f>
        <v>8.5560165975103661</v>
      </c>
      <c r="AO6" s="90">
        <f>('Income Statement'!AJ19+'Income Statement'!AJ15)/'Income Statement'!AJ15</f>
        <v>16.765796816018348</v>
      </c>
      <c r="AP6" s="90">
        <f>('Income Statement'!AK19+'Income Statement'!AK15)/'Income Statement'!AK15</f>
        <v>16.406148429035731</v>
      </c>
      <c r="AQ6" s="90">
        <f>('Income Statement'!AL19+'Income Statement'!AL15)/'Income Statement'!AL15</f>
        <v>11.613534482758611</v>
      </c>
      <c r="AR6" s="105">
        <f>('Income Statement'!AM19+'Income Statement'!AM15)/'Income Statement'!AM15</f>
        <v>8.6845063059530698</v>
      </c>
      <c r="AT6" s="213"/>
      <c r="AU6" s="99" t="s">
        <v>449</v>
      </c>
      <c r="AV6" s="124">
        <f>('Income Statement'!AP18+'Income Statement'!AP15)/'Income Statement'!AP15</f>
        <v>3.6396761133603173</v>
      </c>
      <c r="AW6" s="90">
        <f>('Income Statement'!AQ18+'Income Statement'!AQ15)/'Income Statement'!AQ15</f>
        <v>3.2496578690127165</v>
      </c>
      <c r="AX6" s="90">
        <f>('Income Statement'!AR18+'Income Statement'!AR15)/'Income Statement'!AR15</f>
        <v>3.6839292296350954</v>
      </c>
      <c r="AY6" s="90">
        <f>('Income Statement'!AS18+'Income Statement'!AS15)/'Income Statement'!AS15</f>
        <v>4.2629017799974394</v>
      </c>
      <c r="AZ6" s="105">
        <f>('Income Statement'!AT18+'Income Statement'!AT15)/'Income Statement'!AT15</f>
        <v>3.1270428445229759</v>
      </c>
      <c r="BA6" s="105"/>
    </row>
    <row r="7" spans="1:53" ht="15" thickBot="1" x14ac:dyDescent="0.35">
      <c r="A7" s="209"/>
      <c r="B7" s="100" t="s">
        <v>459</v>
      </c>
      <c r="C7" s="91">
        <f>('Balance Sheet'!B39+'Balance Sheet'!B47)/'Balance Sheet'!B28</f>
        <v>1.7555247164363951E-3</v>
      </c>
      <c r="D7" s="81">
        <f>('Balance Sheet'!C39+'Balance Sheet'!C47)/'Balance Sheet'!C28</f>
        <v>6.896483999624033E-3</v>
      </c>
      <c r="E7" s="81">
        <f>('Balance Sheet'!D39+'Balance Sheet'!D47)/'Balance Sheet'!D28</f>
        <v>5.115497183730602E-3</v>
      </c>
      <c r="F7" s="81">
        <f>('Balance Sheet'!E39+'Balance Sheet'!E47)/'Balance Sheet'!E28</f>
        <v>1.4371685014462702E-2</v>
      </c>
      <c r="G7" s="81">
        <f>('Balance Sheet'!F39+'Balance Sheet'!F47)/'Balance Sheet'!F28</f>
        <v>3.0013202181986996E-4</v>
      </c>
      <c r="H7" s="82">
        <f>('Balance Sheet'!G39+'Balance Sheet'!G47)/'Balance Sheet'!G28</f>
        <v>0</v>
      </c>
      <c r="J7" s="216"/>
      <c r="K7" s="100" t="s">
        <v>459</v>
      </c>
      <c r="L7" s="91">
        <f>('Balance Sheet'!J43+'Balance Sheet'!J52)/'Balance Sheet'!J32</f>
        <v>0.37432986205460311</v>
      </c>
      <c r="M7" s="81">
        <f>('Balance Sheet'!K43+'Balance Sheet'!K52)/'Balance Sheet'!K32</f>
        <v>0.35775717400358481</v>
      </c>
      <c r="N7" s="81">
        <f>('Balance Sheet'!L43+'Balance Sheet'!L52)/'Balance Sheet'!L32</f>
        <v>0.42884371510882602</v>
      </c>
      <c r="O7" s="81">
        <f>('Balance Sheet'!M43+'Balance Sheet'!M52)/'Balance Sheet'!M32</f>
        <v>0.43113432848724359</v>
      </c>
      <c r="P7" s="81">
        <f>('Balance Sheet'!N43+'Balance Sheet'!N52)/'Balance Sheet'!N32</f>
        <v>0.43674528639839588</v>
      </c>
      <c r="Q7" s="82">
        <f>('Balance Sheet'!O43+'Balance Sheet'!O52)/'Balance Sheet'!O32</f>
        <v>0.43652357157290239</v>
      </c>
      <c r="S7" s="216"/>
      <c r="T7" s="100" t="s">
        <v>459</v>
      </c>
      <c r="U7" s="91">
        <f>('Balance Sheet'!R46+'Balance Sheet'!R55)/'Balance Sheet'!R35</f>
        <v>0.30944344036959559</v>
      </c>
      <c r="V7" s="91">
        <f>('Balance Sheet'!S46+'Balance Sheet'!S55)/'Balance Sheet'!S35</f>
        <v>0.33449994142090161</v>
      </c>
      <c r="W7" s="91">
        <f>('Balance Sheet'!T46+'Balance Sheet'!T55)/'Balance Sheet'!T35</f>
        <v>0.42247011545855684</v>
      </c>
      <c r="X7" s="91">
        <f>('Balance Sheet'!U46+'Balance Sheet'!U55)/'Balance Sheet'!U35</f>
        <v>0.37389893483536635</v>
      </c>
      <c r="Y7" s="91">
        <f>('Balance Sheet'!V46+'Balance Sheet'!V55)/'Balance Sheet'!V35</f>
        <v>0.26574201972676065</v>
      </c>
      <c r="Z7" s="106">
        <f>('Balance Sheet'!W46+'Balance Sheet'!W55)/'Balance Sheet'!W35</f>
        <v>0.16506092826469329</v>
      </c>
      <c r="AB7" s="216"/>
      <c r="AC7" s="100" t="s">
        <v>459</v>
      </c>
      <c r="AD7" s="125">
        <f>('Balance Sheet'!Z44+'Balance Sheet'!Z52)/'Balance Sheet'!Z33</f>
        <v>0.46500406533042821</v>
      </c>
      <c r="AE7" s="91">
        <f>('Balance Sheet'!AA44+'Balance Sheet'!AA52)/'Balance Sheet'!AA33</f>
        <v>0.42511898271652987</v>
      </c>
      <c r="AF7" s="91">
        <f>('Balance Sheet'!AB44+'Balance Sheet'!AB52)/'Balance Sheet'!AB33</f>
        <v>0.56506139763422503</v>
      </c>
      <c r="AG7" s="91">
        <f>('Balance Sheet'!AC44+'Balance Sheet'!AC52)/'Balance Sheet'!AC33</f>
        <v>0.61380765880536126</v>
      </c>
      <c r="AH7" s="106">
        <f>('Balance Sheet'!AD44+'Balance Sheet'!AD52)/'Balance Sheet'!AD33</f>
        <v>0.59891862855118105</v>
      </c>
      <c r="AI7" s="106"/>
      <c r="AK7" s="216"/>
      <c r="AL7" s="100" t="s">
        <v>459</v>
      </c>
      <c r="AM7" s="91">
        <f>('Balance Sheet'!AH45+'Balance Sheet'!AH61)/'Balance Sheet'!AH34</f>
        <v>2.7651482973900985E-3</v>
      </c>
      <c r="AN7" s="91">
        <f>('Balance Sheet'!AI45+'Balance Sheet'!AI61)/'Balance Sheet'!AI34</f>
        <v>4.6100844595360069E-3</v>
      </c>
      <c r="AO7" s="91">
        <f>('Balance Sheet'!AJ45+'Balance Sheet'!AJ61)/'Balance Sheet'!AJ34</f>
        <v>1.5041037021381523E-2</v>
      </c>
      <c r="AP7" s="91">
        <f>('Balance Sheet'!AK45+'Balance Sheet'!AK61)/'Balance Sheet'!AK34</f>
        <v>1.8918340592428876E-2</v>
      </c>
      <c r="AQ7" s="91">
        <f>('Balance Sheet'!AL45+'Balance Sheet'!AL61)/'Balance Sheet'!AL34</f>
        <v>3.8399957685997035E-2</v>
      </c>
      <c r="AR7" s="106">
        <f>('Balance Sheet'!AM45+'Balance Sheet'!AM61)/'Balance Sheet'!AM34</f>
        <v>7.2964723224605454E-2</v>
      </c>
      <c r="AT7" s="216"/>
      <c r="AU7" s="100" t="s">
        <v>459</v>
      </c>
      <c r="AV7" s="125">
        <f>('Balance Sheet'!AP47+'Balance Sheet'!AP58)/'Balance Sheet'!AP34</f>
        <v>0.25648741202484626</v>
      </c>
      <c r="AW7" s="91">
        <f>('Balance Sheet'!AQ47+'Balance Sheet'!AQ58)/'Balance Sheet'!AQ34</f>
        <v>0.1835541229073516</v>
      </c>
      <c r="AX7" s="91">
        <f>('Balance Sheet'!AR47+'Balance Sheet'!AR58)/'Balance Sheet'!AR34</f>
        <v>0.22677940860243723</v>
      </c>
      <c r="AY7" s="91">
        <f>('Balance Sheet'!AS47+'Balance Sheet'!AS58)/'Balance Sheet'!AS34</f>
        <v>0.19669144097898686</v>
      </c>
      <c r="AZ7" s="106">
        <f>('Balance Sheet'!AT47+'Balance Sheet'!AT58)/'Balance Sheet'!AT34</f>
        <v>0.20408084053835668</v>
      </c>
      <c r="BA7" s="106"/>
    </row>
    <row r="8" spans="1:53" x14ac:dyDescent="0.3">
      <c r="A8" s="210" t="s">
        <v>450</v>
      </c>
      <c r="B8" s="96" t="s">
        <v>451</v>
      </c>
      <c r="C8" s="92">
        <f>('Income Statement'!B24/'Income Statement'!B4)</f>
        <v>7.5040972772931452E-2</v>
      </c>
      <c r="D8" s="83">
        <f>('Income Statement'!C24/'Income Statement'!C4)</f>
        <v>6.2369976695276538E-2</v>
      </c>
      <c r="E8" s="83">
        <f>('Income Statement'!D24/'Income Statement'!D4)</f>
        <v>4.3920624749518314E-2</v>
      </c>
      <c r="F8" s="83">
        <f>('Income Statement'!E24/'Income Statement'!E4)</f>
        <v>6.9838472484356262E-2</v>
      </c>
      <c r="G8" s="83">
        <f>('Income Statement'!F24/'Income Statement'!F4)</f>
        <v>9.7891769393009143E-2</v>
      </c>
      <c r="H8" s="84">
        <f>('Income Statement'!G24/'Income Statement'!G4)</f>
        <v>9.6166356108801712E-2</v>
      </c>
      <c r="J8" s="214" t="s">
        <v>450</v>
      </c>
      <c r="K8" s="96" t="s">
        <v>451</v>
      </c>
      <c r="L8" s="92">
        <f>'Income Statement'!J29/'Income Statement'!J4</f>
        <v>-4.2583149569135051E-3</v>
      </c>
      <c r="M8" s="83">
        <f>'Income Statement'!K29/'Income Statement'!K4</f>
        <v>2.0361270894202827E-2</v>
      </c>
      <c r="N8" s="83">
        <f>'Income Statement'!L29/'Income Statement'!L4</f>
        <v>8.0436554853761943E-2</v>
      </c>
      <c r="O8" s="83">
        <f>'Income Statement'!M29/'Income Statement'!M4</f>
        <v>9.3795794540299349E-2</v>
      </c>
      <c r="P8" s="83">
        <f>'Income Statement'!N29/'Income Statement'!N4</f>
        <v>8.8732152968665615E-2</v>
      </c>
      <c r="Q8" s="84">
        <f>'Income Statement'!O29/'Income Statement'!O4</f>
        <v>8.8650029370124867E-2</v>
      </c>
      <c r="S8" s="214" t="s">
        <v>450</v>
      </c>
      <c r="T8" s="96" t="s">
        <v>451</v>
      </c>
      <c r="U8" s="92">
        <f>'Income Statement'!R42/'Income Statement'!R4</f>
        <v>-4.0913421313597008E-2</v>
      </c>
      <c r="V8" s="92">
        <f>'Income Statement'!S42/'Income Statement'!S4</f>
        <v>-4.2410770411905142E-2</v>
      </c>
      <c r="W8" s="92">
        <f>'Income Statement'!T42/'Income Statement'!T4</f>
        <v>-4.1087618034943992E-2</v>
      </c>
      <c r="X8" s="92">
        <f>'Income Statement'!U42/'Income Statement'!U4</f>
        <v>7.8450549514328793E-3</v>
      </c>
      <c r="Y8" s="92">
        <f>'Income Statement'!V42/'Income Statement'!V4</f>
        <v>7.3761861914789006E-2</v>
      </c>
      <c r="Z8" s="107">
        <f>'Income Statement'!W42/'Income Statement'!W4</f>
        <v>6.4440583213719121E-2</v>
      </c>
      <c r="AB8" s="214" t="s">
        <v>450</v>
      </c>
      <c r="AC8" s="96" t="s">
        <v>451</v>
      </c>
      <c r="AD8" s="126">
        <f>'Income Statement'!Z27/'Income Statement'!Z4</f>
        <v>3.3137552515185104E-2</v>
      </c>
      <c r="AE8" s="92">
        <f>'Income Statement'!AA27/'Income Statement'!AA4</f>
        <v>3.0599119913577555E-2</v>
      </c>
      <c r="AF8" s="92">
        <f>'Income Statement'!AB27/'Income Statement'!AB4</f>
        <v>3.1074127161592208E-2</v>
      </c>
      <c r="AG8" s="92">
        <f>'Income Statement'!AC27/'Income Statement'!AC4</f>
        <v>4.1554713690721772E-2</v>
      </c>
      <c r="AH8" s="107">
        <f>'Income Statement'!AD27/'Income Statement'!AD4</f>
        <v>4.3080372995196785E-2</v>
      </c>
      <c r="AI8" s="107"/>
      <c r="AK8" s="214" t="s">
        <v>450</v>
      </c>
      <c r="AL8" s="96" t="s">
        <v>451</v>
      </c>
      <c r="AM8" s="92">
        <f>'Income Statement'!AH26/'Income Statement'!AH4</f>
        <v>5.269017159134011E-2</v>
      </c>
      <c r="AN8" s="92">
        <f>'Income Statement'!AI26/'Income Statement'!AI4</f>
        <v>5.2500867823459474E-2</v>
      </c>
      <c r="AO8" s="92">
        <f>'Income Statement'!AJ26/'Income Statement'!AJ4</f>
        <v>5.428869000611438E-2</v>
      </c>
      <c r="AP8" s="92">
        <f>'Income Statement'!AK26/'Income Statement'!AK4</f>
        <v>5.4567002870376663E-2</v>
      </c>
      <c r="AQ8" s="92">
        <f>'Income Statement'!AL26/'Income Statement'!AL4</f>
        <v>5.2643662122168866E-2</v>
      </c>
      <c r="AR8" s="107">
        <f>'Income Statement'!AM26/'Income Statement'!AM4</f>
        <v>4.6438505962170355E-2</v>
      </c>
      <c r="AT8" s="214" t="s">
        <v>450</v>
      </c>
      <c r="AU8" s="96" t="s">
        <v>451</v>
      </c>
      <c r="AV8" s="126">
        <f>'Income Statement'!AP34/'Income Statement'!AP4</f>
        <v>2.1475389982796394E-2</v>
      </c>
      <c r="AW8" s="92">
        <f>'Income Statement'!AQ34/'Income Statement'!AQ4</f>
        <v>2.755687754274273E-2</v>
      </c>
      <c r="AX8" s="92">
        <f>'Income Statement'!AR34/'Income Statement'!AR4</f>
        <v>1.8772830478878032E-2</v>
      </c>
      <c r="AY8" s="92">
        <f>'Income Statement'!AS34/'Income Statement'!AS4</f>
        <v>2.144067023925559E-2</v>
      </c>
      <c r="AZ8" s="107">
        <f>'Income Statement'!AT34/'Income Statement'!AT4</f>
        <v>3.0881760370793997E-2</v>
      </c>
      <c r="BA8" s="107"/>
    </row>
    <row r="9" spans="1:53" x14ac:dyDescent="0.3">
      <c r="A9" s="208"/>
      <c r="B9" s="99" t="s">
        <v>460</v>
      </c>
      <c r="C9" s="93">
        <f>('Income Statement'!B19+'Income Statement'!B12+'Income Statement'!B13)/'Income Statement'!B4</f>
        <v>0.14228654507005015</v>
      </c>
      <c r="D9" s="69">
        <f>('Income Statement'!C19+'Income Statement'!C12+'Income Statement'!C13)/'Income Statement'!C4</f>
        <v>0.1201742170181322</v>
      </c>
      <c r="E9" s="69">
        <f>('Income Statement'!D19+'Income Statement'!D12+'Income Statement'!D13)/'Income Statement'!D4</f>
        <v>8.618608895299211E-2</v>
      </c>
      <c r="F9" s="69">
        <f>('Income Statement'!E19+'Income Statement'!E12+'Income Statement'!E13)/'Income Statement'!E4</f>
        <v>0.11342734153658245</v>
      </c>
      <c r="G9" s="69">
        <f>('Income Statement'!F19+'Income Statement'!F12+'Income Statement'!F13)/'Income Statement'!F4</f>
        <v>0.15011212573496818</v>
      </c>
      <c r="H9" s="74">
        <f>('Income Statement'!G19+'Income Statement'!G12+'Income Statement'!G13)/'Income Statement'!G4</f>
        <v>0.15529455219025973</v>
      </c>
      <c r="J9" s="213"/>
      <c r="K9" s="99" t="s">
        <v>460</v>
      </c>
      <c r="L9" s="93">
        <f>('Income Statement'!J17+'Income Statement'!J12+'Income Statement'!J13)/'Income Statement'!J4</f>
        <v>0.18864282196011689</v>
      </c>
      <c r="M9" s="69">
        <f>('Income Statement'!K17+'Income Statement'!K12+'Income Statement'!K13)/'Income Statement'!K4</f>
        <v>0.19803580559354364</v>
      </c>
      <c r="N9" s="69">
        <f>('Income Statement'!L17+'Income Statement'!L12+'Income Statement'!L13)/'Income Statement'!L4</f>
        <v>0.17319797357386096</v>
      </c>
      <c r="O9" s="69">
        <f>('Income Statement'!M17+'Income Statement'!M12+'Income Statement'!M13)/'Income Statement'!M4</f>
        <v>0.17722468026541111</v>
      </c>
      <c r="P9" s="69">
        <f>('Income Statement'!N17+'Income Statement'!N12+'Income Statement'!N13)/'Income Statement'!N4</f>
        <v>0.19575128019884394</v>
      </c>
      <c r="Q9" s="74">
        <f>('Income Statement'!O17+'Income Statement'!O12+'Income Statement'!O13)/'Income Statement'!O4</f>
        <v>0.20597978894454941</v>
      </c>
      <c r="S9" s="213"/>
      <c r="T9" s="99" t="s">
        <v>460</v>
      </c>
      <c r="U9" s="93">
        <f>('Income Statement'!R23+'Income Statement'!R18+'Income Statement'!R16)/'Income Statement'!R4</f>
        <v>8.1054435990019366E-2</v>
      </c>
      <c r="V9" s="93">
        <f>('Income Statement'!S23+'Income Statement'!S18+'Income Statement'!S16)/'Income Statement'!S4</f>
        <v>0.141435449994224</v>
      </c>
      <c r="W9" s="93">
        <f>('Income Statement'!T23+'Income Statement'!T18+'Income Statement'!T16)/'Income Statement'!T4</f>
        <v>0.10090902970524537</v>
      </c>
      <c r="X9" s="93">
        <f>('Income Statement'!U23+'Income Statement'!U18+'Income Statement'!U16)/'Income Statement'!U4</f>
        <v>0.10660708336537861</v>
      </c>
      <c r="Y9" s="93">
        <f>('Income Statement'!V23+'Income Statement'!V18+'Income Statement'!V16)/'Income Statement'!V4</f>
        <v>0.1472616717531052</v>
      </c>
      <c r="Z9" s="108">
        <f>('Income Statement'!W23+'Income Statement'!W18+'Income Statement'!W16)/'Income Statement'!W4</f>
        <v>0.14280906824534534</v>
      </c>
      <c r="AB9" s="213"/>
      <c r="AC9" s="99" t="s">
        <v>460</v>
      </c>
      <c r="AD9" s="127">
        <f>('Income Statement'!Z16+'Income Statement'!Z12+'Income Statement'!Z13)/'Income Statement'!Z4</f>
        <v>0.12334032386331402</v>
      </c>
      <c r="AE9" s="93">
        <f>('Income Statement'!AA16+'Income Statement'!AA12+'Income Statement'!AA13)/'Income Statement'!AA4</f>
        <v>0.11765981045084632</v>
      </c>
      <c r="AF9" s="93">
        <f>('Income Statement'!AB16+'Income Statement'!AB12+'Income Statement'!AB13)/'Income Statement'!AB4</f>
        <v>0.11445142763528766</v>
      </c>
      <c r="AG9" s="93">
        <f>('Income Statement'!AC16+'Income Statement'!AC12+'Income Statement'!AC13)/'Income Statement'!AC4</f>
        <v>0.13152503018860021</v>
      </c>
      <c r="AH9" s="108">
        <f>('Income Statement'!AD16+'Income Statement'!AD12+'Income Statement'!AD13)/'Income Statement'!AD4</f>
        <v>0.14431645222321057</v>
      </c>
      <c r="AI9" s="108"/>
      <c r="AK9" s="213"/>
      <c r="AL9" s="99" t="s">
        <v>460</v>
      </c>
      <c r="AM9" s="93">
        <f>'Income Statement'!AH14/'Income Statement'!AH4</f>
        <v>0.10420419860120328</v>
      </c>
      <c r="AN9" s="93">
        <f>'Income Statement'!AI14/'Income Statement'!AI4</f>
        <v>0.10792193707348351</v>
      </c>
      <c r="AO9" s="93">
        <f>'Income Statement'!AJ14/'Income Statement'!AJ4</f>
        <v>0.11431502468485163</v>
      </c>
      <c r="AP9" s="93">
        <f>'Income Statement'!AK14/'Income Statement'!AK4</f>
        <v>0.11362593313773024</v>
      </c>
      <c r="AQ9" s="93">
        <f>'Income Statement'!AL14/'Income Statement'!AL4</f>
        <v>0.11371918331422147</v>
      </c>
      <c r="AR9" s="108">
        <f>'Income Statement'!AM14/'Income Statement'!AM4</f>
        <v>0.1108508311651394</v>
      </c>
      <c r="AT9" s="213"/>
      <c r="AU9" s="99" t="s">
        <v>460</v>
      </c>
      <c r="AV9" s="127">
        <f>('Income Statement'!AP18+'Income Statement'!AP15+'Income Statement'!AP14)/'Income Statement'!AP4</f>
        <v>8.0934598354631695E-2</v>
      </c>
      <c r="AW9" s="93">
        <f>('Income Statement'!AQ18+'Income Statement'!AQ15+'Income Statement'!AQ14)/'Income Statement'!AQ4</f>
        <v>8.0563569224934364E-2</v>
      </c>
      <c r="AX9" s="93">
        <f>('Income Statement'!AR18+'Income Statement'!AR15+'Income Statement'!AR14)/'Income Statement'!AR4</f>
        <v>7.8763265312607786E-2</v>
      </c>
      <c r="AY9" s="93">
        <f>('Income Statement'!AS18+'Income Statement'!AS15+'Income Statement'!AS14)/'Income Statement'!AS4</f>
        <v>8.3018388174242702E-2</v>
      </c>
      <c r="AZ9" s="108">
        <f>('Income Statement'!AT18+'Income Statement'!AT15+'Income Statement'!AT14)/'Income Statement'!AT4</f>
        <v>9.6893619719491175E-2</v>
      </c>
      <c r="BA9" s="108"/>
    </row>
    <row r="10" spans="1:53" x14ac:dyDescent="0.3">
      <c r="A10" s="208"/>
      <c r="B10" s="99" t="s">
        <v>461</v>
      </c>
      <c r="C10" s="93">
        <f>('Income Statement'!B4-('Income Statement'!B8+'Income Statement'!B9+'Income Statement'!B10))/'Income Statement'!B4</f>
        <v>0.29733941316415541</v>
      </c>
      <c r="D10" s="69">
        <f>('Income Statement'!C4-('Income Statement'!C8+'Income Statement'!C9+'Income Statement'!C10))/'Income Statement'!C4</f>
        <v>0.27777951457966238</v>
      </c>
      <c r="E10" s="69">
        <f>('Income Statement'!D4-('Income Statement'!D8+'Income Statement'!D9+'Income Statement'!D10))/'Income Statement'!D4</f>
        <v>0.25230216755840046</v>
      </c>
      <c r="F10" s="69">
        <f>('Income Statement'!E4-('Income Statement'!E8+'Income Statement'!E9+'Income Statement'!E10))/'Income Statement'!E4</f>
        <v>0.26639579557255894</v>
      </c>
      <c r="G10" s="69">
        <f>('Income Statement'!F4-('Income Statement'!F8+'Income Statement'!F9+'Income Statement'!F10))/'Income Statement'!F4</f>
        <v>0.25442166687169926</v>
      </c>
      <c r="H10" s="74">
        <f>('Income Statement'!G4-('Income Statement'!G8+'Income Statement'!G9+'Income Statement'!G10))/'Income Statement'!G4</f>
        <v>0.25251937770819327</v>
      </c>
      <c r="J10" s="213"/>
      <c r="K10" s="99" t="s">
        <v>461</v>
      </c>
      <c r="L10" s="93">
        <f>('Income Statement'!J4-(IF('Income Statement'!J10&gt;=0,'Income Statement'!J8+'Income Statement'!J9-'Income Statement'!J10,'Income Statement'!J8+'Income Statement'!J9+'Income Statement'!J10)))/'Income Statement'!J4</f>
        <v>0.51223482869170367</v>
      </c>
      <c r="M10" s="69">
        <f>('Income Statement'!K4-(IF('Income Statement'!K10&gt;=0,'Income Statement'!K8+'Income Statement'!K9-'Income Statement'!K10,'Income Statement'!K8+'Income Statement'!K9+'Income Statement'!K10)))/'Income Statement'!K4</f>
        <v>0.48658118215164747</v>
      </c>
      <c r="N10" s="69">
        <f>('Income Statement'!L4-(IF('Income Statement'!L10&gt;=0,'Income Statement'!L8+'Income Statement'!L9-'Income Statement'!L10,'Income Statement'!L8+'Income Statement'!L9+'Income Statement'!L10)))/'Income Statement'!L4</f>
        <v>0.42549780931849496</v>
      </c>
      <c r="O10" s="69">
        <f>('Income Statement'!M4-(IF('Income Statement'!M10&gt;=0,'Income Statement'!M8+'Income Statement'!M9-'Income Statement'!M10,'Income Statement'!M8+'Income Statement'!M9+'Income Statement'!M10)))/'Income Statement'!M4</f>
        <v>0.38988666063872296</v>
      </c>
      <c r="P10" s="69">
        <f>('Income Statement'!N4-(IF('Income Statement'!N10&gt;=0,'Income Statement'!N8+'Income Statement'!N9-'Income Statement'!N10,'Income Statement'!N8+'Income Statement'!N9+'Income Statement'!N10)))/'Income Statement'!N4</f>
        <v>0.39531983456670661</v>
      </c>
      <c r="Q10" s="74">
        <f>('Income Statement'!O4-(IF('Income Statement'!O10&gt;=0,'Income Statement'!O8+'Income Statement'!O9-'Income Statement'!O10,'Income Statement'!O8+'Income Statement'!O9+'Income Statement'!O10)))/'Income Statement'!O4</f>
        <v>0.39689530219732622</v>
      </c>
      <c r="S10" s="213"/>
      <c r="T10" s="99" t="s">
        <v>461</v>
      </c>
      <c r="U10" s="93">
        <f>('Income Statement'!R4-(IF('Income Statement'!R14&gt;=0,'Income Statement'!R11+'Income Statement'!R13-'Income Statement'!R14,'Income Statement'!R11+'Income Statement'!R13+'Income Statement'!R14)))/'Income Statement'!R4</f>
        <v>0.36980102736966108</v>
      </c>
      <c r="V10" s="93">
        <f>('Income Statement'!S4-(IF('Income Statement'!S14&gt;=0,'Income Statement'!S11+'Income Statement'!S13-'Income Statement'!S14,'Income Statement'!S11+'Income Statement'!S13+'Income Statement'!S14)))/'Income Statement'!S4</f>
        <v>0.39686175976831728</v>
      </c>
      <c r="W10" s="93">
        <f>('Income Statement'!T4-(IF('Income Statement'!T14&gt;=0,'Income Statement'!T11+'Income Statement'!T13-'Income Statement'!T14,'Income Statement'!T11+'Income Statement'!T13+'Income Statement'!T14)))/'Income Statement'!T4</f>
        <v>0.35915783746143248</v>
      </c>
      <c r="X10" s="93">
        <f>('Income Statement'!U4-(IF('Income Statement'!U14&gt;=0,'Income Statement'!U11+'Income Statement'!U13-'Income Statement'!U14,'Income Statement'!U11+'Income Statement'!U13+'Income Statement'!U14)))/'Income Statement'!U4</f>
        <v>0.34161531188414984</v>
      </c>
      <c r="Y10" s="93">
        <f>('Income Statement'!V4-(IF('Income Statement'!V14&gt;=0,'Income Statement'!V11+'Income Statement'!V13-'Income Statement'!V14,'Income Statement'!V11+'Income Statement'!V13+'Income Statement'!V14)))/'Income Statement'!V4</f>
        <v>0.36746890160756196</v>
      </c>
      <c r="Z10" s="108">
        <f>('Income Statement'!W4-(IF('Income Statement'!W14&gt;=0,'Income Statement'!W11+'Income Statement'!W13-'Income Statement'!W14,'Income Statement'!W11+'Income Statement'!W13+'Income Statement'!W14)))/'Income Statement'!W4</f>
        <v>0.39079394076749974</v>
      </c>
      <c r="AB10" s="213"/>
      <c r="AC10" s="99" t="s">
        <v>461</v>
      </c>
      <c r="AD10" s="127">
        <f>('Income Statement'!Z4-'Income Statement'!Z29)/'Income Statement'!Z4</f>
        <v>0.34728061663795651</v>
      </c>
      <c r="AE10" s="93">
        <f>('Income Statement'!AA4-'Income Statement'!AA29)/'Income Statement'!AA4</f>
        <v>0.33445343708453096</v>
      </c>
      <c r="AF10" s="93">
        <f>('Income Statement'!AB4-'Income Statement'!AB29)/'Income Statement'!AB4</f>
        <v>0.33249504933421098</v>
      </c>
      <c r="AG10" s="93">
        <f>('Income Statement'!AC4-'Income Statement'!AC29)/'Income Statement'!AC4</f>
        <v>0.34802444111604458</v>
      </c>
      <c r="AH10" s="108">
        <f>('Income Statement'!AD4-'Income Statement'!AD29)/'Income Statement'!AD4</f>
        <v>0.37653820155658202</v>
      </c>
      <c r="AI10" s="108"/>
      <c r="AK10" s="213"/>
      <c r="AL10" s="99" t="s">
        <v>461</v>
      </c>
      <c r="AM10" s="93">
        <f>('Income Statement'!AH4-'Income Statement'!AH28)/'Income Statement'!AH4</f>
        <v>0.55756370840736069</v>
      </c>
      <c r="AN10" s="93">
        <f>('Income Statement'!AI4-'Income Statement'!AI28)/'Income Statement'!AI4</f>
        <v>0.56284316615991881</v>
      </c>
      <c r="AO10" s="93">
        <f>('Income Statement'!AJ4-'Income Statement'!AJ28)/'Income Statement'!AJ4</f>
        <v>0.3215551847571626</v>
      </c>
      <c r="AP10" s="93">
        <f>('Income Statement'!AK4-'Income Statement'!AK28)/'Income Statement'!AK4</f>
        <v>0.3133585265045602</v>
      </c>
      <c r="AQ10" s="93">
        <f>('Income Statement'!AL4-'Income Statement'!AL28)/'Income Statement'!AL4</f>
        <v>0.32034743552818079</v>
      </c>
      <c r="AR10" s="108">
        <f>('Income Statement'!AM4-'Income Statement'!AM28)/'Income Statement'!AM4</f>
        <v>0.32721192028008128</v>
      </c>
      <c r="AT10" s="213"/>
      <c r="AU10" s="99" t="s">
        <v>461</v>
      </c>
      <c r="AV10" s="127">
        <f>('Income Statement'!AP4-'Income Statement'!AP36)/'Income Statement'!AP4</f>
        <v>0.41987746834267053</v>
      </c>
      <c r="AW10" s="93">
        <f>('Income Statement'!AQ4-'Income Statement'!AQ36)/'Income Statement'!AQ4</f>
        <v>0.42761798238143822</v>
      </c>
      <c r="AX10" s="93">
        <f>('Income Statement'!AR4-'Income Statement'!AR36)/'Income Statement'!AR4</f>
        <v>0.41629764509419775</v>
      </c>
      <c r="AY10" s="93">
        <f>('Income Statement'!AS4-'Income Statement'!AS36)/'Income Statement'!AS4</f>
        <v>0.41804298664324319</v>
      </c>
      <c r="AZ10" s="108">
        <f>('Income Statement'!AT4-'Income Statement'!AT36)/'Income Statement'!AT4</f>
        <v>0.44445251249240642</v>
      </c>
      <c r="BA10" s="108"/>
    </row>
    <row r="11" spans="1:53" x14ac:dyDescent="0.3">
      <c r="A11" s="208"/>
      <c r="B11" s="99" t="s">
        <v>462</v>
      </c>
      <c r="C11" s="93">
        <f>'Income Statement'!B24/'Balance Sheet'!B35</f>
        <v>0.11485630823633167</v>
      </c>
      <c r="D11" s="69">
        <f>'Income Statement'!C24/'Balance Sheet'!C35</f>
        <v>8.3600949322483936E-2</v>
      </c>
      <c r="E11" s="69">
        <f>'Income Statement'!D24/'Balance Sheet'!D35</f>
        <v>7.0111234604715092E-2</v>
      </c>
      <c r="F11" s="69">
        <f>'Income Statement'!E24/'Balance Sheet'!E35</f>
        <v>0.13288278446965829</v>
      </c>
      <c r="G11" s="69">
        <f>'Income Statement'!F24/'Balance Sheet'!F35</f>
        <v>0.15728727584482374</v>
      </c>
      <c r="H11" s="74">
        <f>'Income Statement'!G24/'Balance Sheet'!G35</f>
        <v>0.14838585511240673</v>
      </c>
      <c r="J11" s="213"/>
      <c r="K11" s="99" t="s">
        <v>462</v>
      </c>
      <c r="L11" s="93">
        <f>'Income Statement'!J29/'Balance Sheet'!J39</f>
        <v>-6.7350593409084957E-3</v>
      </c>
      <c r="M11" s="69">
        <f>'Income Statement'!K29/(AVERAGE('Balance Sheet'!J39:K39))</f>
        <v>3.0766748907166984E-2</v>
      </c>
      <c r="N11" s="69">
        <f>'Income Statement'!L29/(AVERAGE('Balance Sheet'!K39:L39))</f>
        <v>0.1349679825980302</v>
      </c>
      <c r="O11" s="69">
        <f>'Income Statement'!M29/(AVERAGE('Balance Sheet'!L39:M39))</f>
        <v>0.18359650438872233</v>
      </c>
      <c r="P11" s="69">
        <f>'Income Statement'!N29/(AVERAGE('Balance Sheet'!M39:N39))</f>
        <v>0.16971708908099339</v>
      </c>
      <c r="Q11" s="74">
        <f>'Income Statement'!O29/(AVERAGE('Balance Sheet'!N39:O39))</f>
        <v>0.16893817523285565</v>
      </c>
      <c r="S11" s="213"/>
      <c r="T11" s="99" t="s">
        <v>462</v>
      </c>
      <c r="U11" s="93">
        <f>'Income Statement'!R42/'Balance Sheet'!R42</f>
        <v>-0.16559139010791443</v>
      </c>
      <c r="V11" s="93">
        <f>'Income Statement'!S42/'Balance Sheet'!S42</f>
        <v>-0.18434074777266765</v>
      </c>
      <c r="W11" s="93">
        <f>'Income Statement'!T42/'Balance Sheet'!T42</f>
        <v>-0.23158360347556756</v>
      </c>
      <c r="X11" s="93">
        <f>'Income Statement'!U42/'Balance Sheet'!U42</f>
        <v>5.1138689314786753E-2</v>
      </c>
      <c r="Y11" s="93">
        <f>'Income Statement'!V42/'Balance Sheet'!V42</f>
        <v>0.34166541345306894</v>
      </c>
      <c r="Z11" s="108">
        <f>'Income Statement'!W42/'Balance Sheet'!W42</f>
        <v>0.22931228310279095</v>
      </c>
      <c r="AB11" s="213"/>
      <c r="AC11" s="99" t="s">
        <v>462</v>
      </c>
      <c r="AD11" s="127">
        <f>'Income Statement'!Z27/'Balance Sheet'!Z40</f>
        <v>0.17335916337315257</v>
      </c>
      <c r="AE11" s="93">
        <f>'Income Statement'!AA27/'Balance Sheet'!AA40</f>
        <v>0.14100334321190486</v>
      </c>
      <c r="AF11" s="93">
        <f>'Income Statement'!AB27/'Balance Sheet'!AB40</f>
        <v>0.14977607406278601</v>
      </c>
      <c r="AG11" s="93">
        <f>'Income Statement'!AC27/'Balance Sheet'!AC40</f>
        <v>0.22482296504987451</v>
      </c>
      <c r="AH11" s="108">
        <f>'Income Statement'!AD27/'Balance Sheet'!AD40</f>
        <v>0.22451674918886813</v>
      </c>
      <c r="AI11" s="108"/>
      <c r="AK11" s="213"/>
      <c r="AL11" s="99" t="s">
        <v>462</v>
      </c>
      <c r="AM11" s="93">
        <f>'Income Statement'!AH26/'Balance Sheet'!AH41</f>
        <v>0.11704783045196211</v>
      </c>
      <c r="AN11" s="93">
        <f>'Income Statement'!AI26/'Balance Sheet'!AI41</f>
        <v>0.10973575150065094</v>
      </c>
      <c r="AO11" s="93">
        <f>'Income Statement'!AJ26/'Balance Sheet'!AJ41</f>
        <v>6.5353281971394644E-2</v>
      </c>
      <c r="AP11" s="93">
        <f>'Income Statement'!AK26/'Balance Sheet'!AK41</f>
        <v>7.3848653209230383E-2</v>
      </c>
      <c r="AQ11" s="93">
        <f>'Income Statement'!AL26/'Balance Sheet'!AL41</f>
        <v>6.842770220516986E-2</v>
      </c>
      <c r="AR11" s="108">
        <f>'Income Statement'!AM26/'Balance Sheet'!AM41</f>
        <v>5.7448909583095183E-2</v>
      </c>
      <c r="AT11" s="213"/>
      <c r="AU11" s="99" t="s">
        <v>462</v>
      </c>
      <c r="AV11" s="127">
        <f>'Income Statement'!AP34/'Balance Sheet'!AP43</f>
        <v>8.7313417735179394E-2</v>
      </c>
      <c r="AW11" s="93">
        <f>'Income Statement'!AQ34/'Balance Sheet'!AQ43</f>
        <v>9.4633952206658531E-2</v>
      </c>
      <c r="AX11" s="93">
        <f>'Income Statement'!AR34/'Balance Sheet'!AR43</f>
        <v>5.2829024440410426E-2</v>
      </c>
      <c r="AY11" s="93">
        <f>'Income Statement'!AS34/'Balance Sheet'!AS43</f>
        <v>6.8491071465198616E-2</v>
      </c>
      <c r="AZ11" s="108">
        <f>'Income Statement'!AT34/'Balance Sheet'!AT43</f>
        <v>0.10701919157909712</v>
      </c>
      <c r="BA11" s="108"/>
    </row>
    <row r="12" spans="1:53" x14ac:dyDescent="0.3">
      <c r="A12" s="208"/>
      <c r="B12" s="99" t="s">
        <v>463</v>
      </c>
      <c r="C12" s="93">
        <f>('Income Statement'!B19+'Income Statement'!B12)/('Balance Sheet'!B28-'Balance Sheet'!B56)</f>
        <v>0.13831578504767555</v>
      </c>
      <c r="D12" s="69">
        <f>('Income Statement'!C19+'Income Statement'!C12)/('Balance Sheet'!C28-'Balance Sheet'!C56)</f>
        <v>9.8306448981367686E-2</v>
      </c>
      <c r="E12" s="69">
        <f>('Income Statement'!D19+'Income Statement'!D12)/('Balance Sheet'!D28-'Balance Sheet'!D56)</f>
        <v>8.3700027762354301E-2</v>
      </c>
      <c r="F12" s="69">
        <f>('Income Statement'!E19+'Income Statement'!E12)/('Balance Sheet'!E28-'Balance Sheet'!E56)</f>
        <v>0.16297356472981683</v>
      </c>
      <c r="G12" s="69">
        <f>('Income Statement'!F19+'Income Statement'!F12)/('Balance Sheet'!F28-'Balance Sheet'!F56)</f>
        <v>0.19727872466834009</v>
      </c>
      <c r="H12" s="74">
        <f>('Income Statement'!G19+'Income Statement'!G12)/('Balance Sheet'!G28-'Balance Sheet'!G56)</f>
        <v>0.1959190895808369</v>
      </c>
      <c r="J12" s="213"/>
      <c r="K12" s="99" t="s">
        <v>463</v>
      </c>
      <c r="L12" s="93">
        <f>('Income Statement'!J20+'Income Statement'!J12)/('Balance Sheet'!J32-'Balance Sheet'!J61)</f>
        <v>9.4777443039708725E-2</v>
      </c>
      <c r="M12" s="69">
        <f>('Income Statement'!K20+'Income Statement'!K12)/('Balance Sheet'!K32-'Balance Sheet'!K61)</f>
        <v>9.9550516586840429E-2</v>
      </c>
      <c r="N12" s="69">
        <f>('Income Statement'!L20+'Income Statement'!L12)/('Balance Sheet'!L32-'Balance Sheet'!L61)</f>
        <v>0.12204442761338101</v>
      </c>
      <c r="O12" s="69">
        <f>('Income Statement'!M20+'Income Statement'!M12)/('Balance Sheet'!M32-'Balance Sheet'!M61)</f>
        <v>0.14699270635734987</v>
      </c>
      <c r="P12" s="69">
        <f>('Income Statement'!N20+'Income Statement'!N12)/('Balance Sheet'!N32-'Balance Sheet'!N61)</f>
        <v>0.14597361402202658</v>
      </c>
      <c r="Q12" s="74">
        <f>('Income Statement'!O20+'Income Statement'!O12)/('Balance Sheet'!O32-'Balance Sheet'!O61)</f>
        <v>0.15039180460809756</v>
      </c>
      <c r="S12" s="213"/>
      <c r="T12" s="99" t="s">
        <v>463</v>
      </c>
      <c r="U12" s="93">
        <f>('Income Statement'!R23+'Income Statement'!R16)/('Balance Sheet'!R35-'Balance Sheet'!R65)</f>
        <v>-2.560788661916938E-3</v>
      </c>
      <c r="V12" s="93">
        <f>('Income Statement'!S23+'Income Statement'!S16)/('Balance Sheet'!S35-'Balance Sheet'!S65)</f>
        <v>6.1409631915826234E-2</v>
      </c>
      <c r="W12" s="93">
        <f>('Income Statement'!T23+'Income Statement'!T16)/('Balance Sheet'!T35-'Balance Sheet'!T65)</f>
        <v>1.6328092835986494E-2</v>
      </c>
      <c r="X12" s="93">
        <f>('Income Statement'!U23+'Income Statement'!U16)/('Balance Sheet'!U35-'Balance Sheet'!U65)</f>
        <v>6.4580162664132718E-2</v>
      </c>
      <c r="Y12" s="93">
        <f>('Income Statement'!V23+'Income Statement'!V16)/('Balance Sheet'!V35-'Balance Sheet'!V65)</f>
        <v>0.1840262271121757</v>
      </c>
      <c r="Z12" s="108">
        <f>('Income Statement'!W23+'Income Statement'!W16)/('Balance Sheet'!W35-'Balance Sheet'!W65)</f>
        <v>0.18459317411940102</v>
      </c>
      <c r="AB12" s="213"/>
      <c r="AC12" s="99" t="s">
        <v>463</v>
      </c>
      <c r="AD12" s="127">
        <f>('Income Statement'!Z16+'Income Statement'!Z12)/('Balance Sheet'!Z33-'Balance Sheet'!Z61)</f>
        <v>0.18951784845686256</v>
      </c>
      <c r="AE12" s="93">
        <f>('Income Statement'!AA16+'Income Statement'!AA12)/('Balance Sheet'!AA33-'Balance Sheet'!AA61)</f>
        <v>0.15519966654577189</v>
      </c>
      <c r="AF12" s="93">
        <f>('Income Statement'!AB16+'Income Statement'!AB12)/('Balance Sheet'!AB33-'Balance Sheet'!AB61)</f>
        <v>0.15466064354694364</v>
      </c>
      <c r="AG12" s="93">
        <f>('Income Statement'!AC16+'Income Statement'!AC12)/('Balance Sheet'!AC33-'Balance Sheet'!AC61)</f>
        <v>0.20897190682525096</v>
      </c>
      <c r="AH12" s="108">
        <f>('Income Statement'!AD16+'Income Statement'!AD12)/('Balance Sheet'!AD33-'Balance Sheet'!AD61)</f>
        <v>0.22107911882604739</v>
      </c>
      <c r="AI12" s="108"/>
      <c r="AK12" s="213"/>
      <c r="AL12" s="99" t="s">
        <v>463</v>
      </c>
      <c r="AM12" s="93">
        <f>('Income Statement'!AH14+'Income Statement'!AH16)/('Balance Sheet'!AH34-'Balance Sheet'!AH72)</f>
        <v>9.1187552211494133E-2</v>
      </c>
      <c r="AN12" s="93">
        <f>('Income Statement'!AI14+'Income Statement'!AI16)/('Balance Sheet'!AI34-'Balance Sheet'!AI72)</f>
        <v>8.7283050627452077E-2</v>
      </c>
      <c r="AO12" s="93">
        <f>('Income Statement'!AJ14+'Income Statement'!AJ16)/('Balance Sheet'!AJ34-'Balance Sheet'!AJ72)</f>
        <v>0.17141976260212718</v>
      </c>
      <c r="AP12" s="93">
        <f>('Income Statement'!AK14+'Income Statement'!AK16)/('Balance Sheet'!AK34-'Balance Sheet'!AK72)</f>
        <v>0.18865156187065116</v>
      </c>
      <c r="AQ12" s="93">
        <f>('Income Statement'!AL14+'Income Statement'!AL16)/('Balance Sheet'!AL34-'Balance Sheet'!AL72)</f>
        <v>0.18007423484542179</v>
      </c>
      <c r="AR12" s="108">
        <f>('Income Statement'!AM14+'Income Statement'!AM16)/('Balance Sheet'!AM34-'Balance Sheet'!AM72)</f>
        <v>0.16068526011448914</v>
      </c>
      <c r="AT12" s="213"/>
      <c r="AU12" s="99" t="s">
        <v>463</v>
      </c>
      <c r="AV12" s="127">
        <f>('Income Statement'!AP18+'Income Statement'!AP15)/('Balance Sheet'!AP34-'Balance Sheet'!AP67)</f>
        <v>8.3224686595949685E-2</v>
      </c>
      <c r="AW12" s="93">
        <f>('Income Statement'!AQ18+'Income Statement'!AQ15)/('Balance Sheet'!AQ34-'Balance Sheet'!AQ67)</f>
        <v>5.9811375748002209E-2</v>
      </c>
      <c r="AX12" s="93">
        <f>('Income Statement'!AR18+'Income Statement'!AR15)/('Balance Sheet'!AR34-'Balance Sheet'!AR67)</f>
        <v>5.881747134012863E-2</v>
      </c>
      <c r="AY12" s="93">
        <f>('Income Statement'!AS18+'Income Statement'!AS15)/('Balance Sheet'!AS34-'Balance Sheet'!AS67)</f>
        <v>9.6949875204958014E-2</v>
      </c>
      <c r="AZ12" s="108">
        <f>('Income Statement'!AT18+'Income Statement'!AT15)/('Balance Sheet'!AT34-'Balance Sheet'!AT67)</f>
        <v>0.13079745873680498</v>
      </c>
      <c r="BA12" s="108"/>
    </row>
    <row r="13" spans="1:53" ht="15" thickBot="1" x14ac:dyDescent="0.35">
      <c r="A13" s="211"/>
      <c r="B13" s="97" t="s">
        <v>464</v>
      </c>
      <c r="C13" s="94">
        <f>'Income Statement'!B24/'Balance Sheet'!B28</f>
        <v>8.9231576813243202E-2</v>
      </c>
      <c r="D13" s="85">
        <f>'Income Statement'!C24/'Balance Sheet'!C28</f>
        <v>6.1573144676057449E-2</v>
      </c>
      <c r="E13" s="85">
        <f>'Income Statement'!D24/'Balance Sheet'!D28</f>
        <v>5.1965360891026151E-2</v>
      </c>
      <c r="F13" s="85">
        <f>'Income Statement'!E24/'Balance Sheet'!E28</f>
        <v>9.7060294171535777E-2</v>
      </c>
      <c r="G13" s="85">
        <f>'Income Statement'!F24/'Balance Sheet'!F28</f>
        <v>0.11977443854456812</v>
      </c>
      <c r="H13" s="86">
        <f>'Income Statement'!G24/'Balance Sheet'!G28</f>
        <v>0.1110904138028755</v>
      </c>
      <c r="J13" s="215"/>
      <c r="K13" s="97" t="s">
        <v>464</v>
      </c>
      <c r="L13" s="94">
        <f>'Income Statement'!J29/'Balance Sheet'!J32</f>
        <v>-1.9220790356504753E-3</v>
      </c>
      <c r="M13" s="85">
        <f>'Income Statement'!K29/'Balance Sheet'!K32</f>
        <v>9.0854702461797901E-3</v>
      </c>
      <c r="N13" s="85">
        <f>'Income Statement'!L29/'Balance Sheet'!L32</f>
        <v>4.1656960315381651E-2</v>
      </c>
      <c r="O13" s="85">
        <f>'Income Statement'!M29/'Balance Sheet'!M32</f>
        <v>5.5244947381821133E-2</v>
      </c>
      <c r="P13" s="85">
        <f>'Income Statement'!N29/'Balance Sheet'!N32</f>
        <v>5.1924596254950217E-2</v>
      </c>
      <c r="Q13" s="86">
        <f>'Income Statement'!O29/'Balance Sheet'!O32</f>
        <v>5.0698364872297105E-2</v>
      </c>
      <c r="S13" s="215"/>
      <c r="T13" s="97" t="s">
        <v>464</v>
      </c>
      <c r="U13" s="94">
        <f>'Income Statement'!R42/'Balance Sheet'!R35</f>
        <v>-3.2844764978498364E-2</v>
      </c>
      <c r="V13" s="94">
        <f>'Income Statement'!S42/'Balance Sheet'!S35</f>
        <v>-3.0526063618649509E-2</v>
      </c>
      <c r="W13" s="94">
        <f>'Income Statement'!T42/'Balance Sheet'!T35</f>
        <v>-3.4204713551297269E-2</v>
      </c>
      <c r="X13" s="94">
        <f>'Income Statement'!U42/'Balance Sheet'!U35</f>
        <v>8.0036269786800396E-3</v>
      </c>
      <c r="Y13" s="94">
        <f>'Income Statement'!V42/'Balance Sheet'!V35</f>
        <v>8.5810869142943474E-2</v>
      </c>
      <c r="Z13" s="109">
        <f>'Income Statement'!W42/'Balance Sheet'!W35</f>
        <v>7.434199058741503E-2</v>
      </c>
      <c r="AB13" s="215"/>
      <c r="AC13" s="97" t="s">
        <v>464</v>
      </c>
      <c r="AD13" s="128">
        <f>'Income Statement'!Z27/'Balance Sheet'!Z33</f>
        <v>3.2265396341306124E-2</v>
      </c>
      <c r="AE13" s="94">
        <f>'Income Statement'!AA27/'Balance Sheet'!AA33</f>
        <v>2.7020796455549782E-2</v>
      </c>
      <c r="AF13" s="94">
        <f>'Income Statement'!AB27/'Balance Sheet'!AB33</f>
        <v>2.7955935104641692E-2</v>
      </c>
      <c r="AG13" s="94">
        <f>'Income Statement'!AC27/'Balance Sheet'!AC33</f>
        <v>3.7711049129918621E-2</v>
      </c>
      <c r="AH13" s="109">
        <f>'Income Statement'!AD27/'Balance Sheet'!AD33</f>
        <v>3.9942009158592764E-2</v>
      </c>
      <c r="AI13" s="109"/>
      <c r="AK13" s="215"/>
      <c r="AL13" s="97" t="s">
        <v>464</v>
      </c>
      <c r="AM13" s="94">
        <f>'Income Statement'!AH26/'Balance Sheet'!AH34</f>
        <v>3.1290743155149882E-2</v>
      </c>
      <c r="AN13" s="94">
        <f>'Income Statement'!AI26/'Balance Sheet'!AI34</f>
        <v>2.7995151829515029E-2</v>
      </c>
      <c r="AO13" s="94">
        <f>'Income Statement'!AJ26/'Balance Sheet'!AJ34</f>
        <v>4.9912261216438256E-2</v>
      </c>
      <c r="AP13" s="94">
        <f>'Income Statement'!AK26/'Balance Sheet'!AK34</f>
        <v>5.5714235411384781E-2</v>
      </c>
      <c r="AQ13" s="94">
        <f>'Income Statement'!AL26/'Balance Sheet'!AL34</f>
        <v>4.8640166787694929E-2</v>
      </c>
      <c r="AR13" s="109">
        <f>'Income Statement'!AM26/'Balance Sheet'!AM34</f>
        <v>3.7413133061291549E-2</v>
      </c>
      <c r="AT13" s="215"/>
      <c r="AU13" s="97" t="s">
        <v>464</v>
      </c>
      <c r="AV13" s="128">
        <f>'Income Statement'!AP34/'Balance Sheet'!AP34</f>
        <v>2.8453175897555288E-2</v>
      </c>
      <c r="AW13" s="94">
        <f>'Income Statement'!AQ34/'Balance Sheet'!AQ34</f>
        <v>3.2638036809816043E-2</v>
      </c>
      <c r="AX13" s="94">
        <f>'Income Statement'!AR34/'Balance Sheet'!AR34</f>
        <v>2.0996941537335161E-2</v>
      </c>
      <c r="AY13" s="94">
        <f>'Income Statement'!AS34/'Balance Sheet'!AS34</f>
        <v>2.6993599205842364E-2</v>
      </c>
      <c r="AZ13" s="109">
        <f>'Income Statement'!AT34/'Balance Sheet'!AT34</f>
        <v>3.5515638948645047E-2</v>
      </c>
      <c r="BA13" s="109"/>
    </row>
    <row r="14" spans="1:53" x14ac:dyDescent="0.3">
      <c r="A14" s="207" t="s">
        <v>452</v>
      </c>
      <c r="B14" s="98" t="s">
        <v>453</v>
      </c>
      <c r="C14" s="89">
        <f>('Income Statement'!B8+'Income Statement'!B9+'Income Statement'!B10)/'Balance Sheet'!B17</f>
        <v>16.541678334733501</v>
      </c>
      <c r="D14" s="77">
        <f>(IF('Income Statement'!C10&gt;=0,'Income Statement'!C8+'Income Statement'!C9+-'Income Statement'!C10,'Income Statement'!C8+'Income Statement'!C9+'Income Statement'!C10))/(AVERAGE('Balance Sheet'!B17:C17))</f>
        <v>16.055469510929441</v>
      </c>
      <c r="E14" s="77">
        <f>(IF('Income Statement'!D10&gt;=0,'Income Statement'!D8+'Income Statement'!D9+-'Income Statement'!D10,'Income Statement'!D8+'Income Statement'!D9+'Income Statement'!D10))/(AVERAGE('Balance Sheet'!C17:D17))</f>
        <v>20.070198896874476</v>
      </c>
      <c r="F14" s="77">
        <f>(IF('Income Statement'!E10&gt;=0,'Income Statement'!E8+'Income Statement'!E9+-'Income Statement'!E10,'Income Statement'!E8+'Income Statement'!E9+'Income Statement'!E10))/(AVERAGE('Balance Sheet'!D17:E17))</f>
        <v>22.070882059418103</v>
      </c>
      <c r="G14" s="77">
        <f>(IF('Income Statement'!F10&gt;=0,'Income Statement'!F8+'Income Statement'!F9+-'Income Statement'!F10,'Income Statement'!F8+'Income Statement'!F9+'Income Statement'!F10))/(AVERAGE('Balance Sheet'!E17:F17))</f>
        <v>23.945139293832039</v>
      </c>
      <c r="H14" s="78">
        <f>(IF('Income Statement'!G10&gt;=0,'Income Statement'!G8+'Income Statement'!G9+-'Income Statement'!G10,'Income Statement'!G8+'Income Statement'!G9+'Income Statement'!G10))/(AVERAGE('Balance Sheet'!F17:G17))</f>
        <v>23.471923484733733</v>
      </c>
      <c r="J14" s="212" t="s">
        <v>452</v>
      </c>
      <c r="K14" s="98" t="s">
        <v>453</v>
      </c>
      <c r="L14" s="89">
        <f>(IF('Income Statement'!J10&gt;=0,'Income Statement'!J8+'Income Statement'!J9-'Income Statement'!J10,'Income Statement'!J8+'Income Statement'!J9+'Income Statement'!J10))/'Balance Sheet'!J21</f>
        <v>3.3089581762189226</v>
      </c>
      <c r="M14" s="77">
        <f>IF('Income Statement'!K10&gt;=0,'Income Statement'!K8+'Income Statement'!K9-'Income Statement'!K10,'Income Statement'!K8+'Income Statement'!K9+'Income Statement'!K10)/AVERAGE('Balance Sheet'!J21:K21)</f>
        <v>3.6797523262832006</v>
      </c>
      <c r="N14" s="77">
        <f>IF('Income Statement'!L10&gt;=0,'Income Statement'!L8+'Income Statement'!L9-'Income Statement'!L10,'Income Statement'!L8+'Income Statement'!L9+'Income Statement'!L10)/AVERAGE('Balance Sheet'!K21:L21)</f>
        <v>4.8845059904588277</v>
      </c>
      <c r="O14" s="77">
        <f>IF('Income Statement'!M10&gt;=0,'Income Statement'!M8+'Income Statement'!M9-'Income Statement'!M10,'Income Statement'!M8+'Income Statement'!M9+'Income Statement'!M10)/AVERAGE('Balance Sheet'!L21:M21)</f>
        <v>5.2010900224563184</v>
      </c>
      <c r="P14" s="77">
        <f>IF('Income Statement'!N10&gt;=0,'Income Statement'!N8+'Income Statement'!N9-'Income Statement'!N10,'Income Statement'!N8+'Income Statement'!N9+'Income Statement'!N10)/AVERAGE('Balance Sheet'!M21:N21)</f>
        <v>4.717941151245407</v>
      </c>
      <c r="Q14" s="78">
        <f>IF('Income Statement'!O10&gt;=0,'Income Statement'!O8+'Income Statement'!O9-'Income Statement'!O10,'Income Statement'!O8+'Income Statement'!O9+'Income Statement'!O10)/AVERAGE('Balance Sheet'!N21:O21)</f>
        <v>4.9197983628543689</v>
      </c>
      <c r="S14" s="212" t="s">
        <v>452</v>
      </c>
      <c r="T14" s="98" t="s">
        <v>453</v>
      </c>
      <c r="U14" s="89">
        <f>'Income Statement'!R44/'Balance Sheet'!R22</f>
        <v>4.3507601273784688</v>
      </c>
      <c r="V14" s="77">
        <f>'Income Statement'!S44/(AVERAGE('Balance Sheet'!R22:S22))</f>
        <v>4.0507827334572744</v>
      </c>
      <c r="W14" s="77">
        <f>'Income Statement'!T44/(AVERAGE('Balance Sheet'!S22:T22))</f>
        <v>4.9456045394204011</v>
      </c>
      <c r="X14" s="77">
        <f>'Income Statement'!U44/(AVERAGE('Balance Sheet'!T22:U22))</f>
        <v>5.9409490506900848</v>
      </c>
      <c r="Y14" s="77">
        <f>'Income Statement'!V44/(AVERAGE('Balance Sheet'!U22:V22))</f>
        <v>6.1609342041229729</v>
      </c>
      <c r="Z14" s="78">
        <f>'Income Statement'!W44/(AVERAGE('Balance Sheet'!V22:W22))</f>
        <v>5.5990405756546071</v>
      </c>
      <c r="AB14" s="212" t="s">
        <v>452</v>
      </c>
      <c r="AC14" s="98" t="s">
        <v>453</v>
      </c>
      <c r="AD14" s="123">
        <f>'Income Statement'!Z29/'Balance Sheet'!Z23</f>
        <v>10.352225971206678</v>
      </c>
      <c r="AE14" s="77">
        <f>'Income Statement'!AA29/(AVERAGE('Balance Sheet'!Z23:AA23))</f>
        <v>10.114214171133455</v>
      </c>
      <c r="AF14" s="77">
        <f>'Income Statement'!AB29/(AVERAGE('Balance Sheet'!AA23:AB23))</f>
        <v>10.802939739981859</v>
      </c>
      <c r="AG14" s="77">
        <f>'Income Statement'!AC29/(AVERAGE('Balance Sheet'!AB23:AC23))</f>
        <v>11.698664653873459</v>
      </c>
      <c r="AH14" s="78">
        <f>'Income Statement'!AD29/(AVERAGE('Balance Sheet'!AC23:AD23))</f>
        <v>11.705408510015804</v>
      </c>
      <c r="AI14" s="104"/>
      <c r="AK14" s="212" t="s">
        <v>452</v>
      </c>
      <c r="AL14" s="98" t="s">
        <v>453</v>
      </c>
      <c r="AM14" s="89">
        <f>'Income Statement'!AH28/'Balance Sheet'!AH22</f>
        <v>2.6516218275793522</v>
      </c>
      <c r="AN14" s="77">
        <f>'Income Statement'!AI28/AVERAGE('Balance Sheet'!AH22:AI22)</f>
        <v>2.6476277957485221</v>
      </c>
      <c r="AO14" s="77">
        <f>'Income Statement'!AJ28/AVERAGE('Balance Sheet'!AI22:AJ22)</f>
        <v>3.1597024844550865</v>
      </c>
      <c r="AP14" s="77">
        <f>'Income Statement'!AK28/AVERAGE('Balance Sheet'!AJ22:AK22)</f>
        <v>3.2910998475767244</v>
      </c>
      <c r="AQ14" s="77">
        <f>'Income Statement'!AL28/AVERAGE('Balance Sheet'!AK22:AL22)</f>
        <v>3.1205199776041659</v>
      </c>
      <c r="AR14" s="78">
        <f>'Income Statement'!AM28/AVERAGE('Balance Sheet'!AL22:AM22)</f>
        <v>2.7503447588940682</v>
      </c>
      <c r="AT14" s="214" t="s">
        <v>452</v>
      </c>
      <c r="AU14" s="96" t="s">
        <v>453</v>
      </c>
      <c r="AV14" s="121">
        <f>'Income Statement'!AP36/'Balance Sheet'!AP23</f>
        <v>6.7813675677772176</v>
      </c>
      <c r="AW14" s="71">
        <f>'Income Statement'!AQ36/AVERAGE('Balance Sheet'!AP23:AQ23)</f>
        <v>6.4218396012686894</v>
      </c>
      <c r="AX14" s="71">
        <f>'Income Statement'!AR36/AVERAGE('Balance Sheet'!AQ23:AR23)</f>
        <v>6.4239462110812875</v>
      </c>
      <c r="AY14" s="71">
        <f>'Income Statement'!AS36/AVERAGE('Balance Sheet'!AR23:AS23)</f>
        <v>6.353871499176277</v>
      </c>
      <c r="AZ14" s="72">
        <f>'Income Statement'!AT36/AVERAGE('Balance Sheet'!AS23:AT23)</f>
        <v>6.4052613581426048</v>
      </c>
      <c r="BA14" s="102"/>
    </row>
    <row r="15" spans="1:53" x14ac:dyDescent="0.3">
      <c r="A15" s="208"/>
      <c r="B15" s="99" t="s">
        <v>465</v>
      </c>
      <c r="C15" s="90">
        <f>'Income Statement'!B4/'Balance Sheet'!B20</f>
        <v>38.256560651261566</v>
      </c>
      <c r="D15" s="56">
        <f>'Income Statement'!C4/AVERAGE('Balance Sheet'!B20:C20)</f>
        <v>43.20481335952848</v>
      </c>
      <c r="E15" s="56">
        <f>'Income Statement'!D4/AVERAGE('Balance Sheet'!C20:D20)</f>
        <v>53.300627564566739</v>
      </c>
      <c r="F15" s="56">
        <f>'Income Statement'!E4/AVERAGE('Balance Sheet'!D20:E20)</f>
        <v>44.068029760677675</v>
      </c>
      <c r="G15" s="56">
        <f>'Income Statement'!F4/AVERAGE('Balance Sheet'!E20:F20)</f>
        <v>34.149796904855293</v>
      </c>
      <c r="H15" s="73">
        <f>'Income Statement'!G4/AVERAGE('Balance Sheet'!F20:G20)</f>
        <v>26.055337103869292</v>
      </c>
      <c r="J15" s="213"/>
      <c r="K15" s="99" t="s">
        <v>465</v>
      </c>
      <c r="L15" s="90">
        <f>'Income Statement'!J4/('Balance Sheet'!J24+'Balance Sheet'!J15)</f>
        <v>10.071779297665699</v>
      </c>
      <c r="M15" s="56">
        <f>'Income Statement'!K4/(AVERAGE('Balance Sheet'!J24:K24)+AVERAGE('Balance Sheet'!J15:K15))</f>
        <v>10.719539571335487</v>
      </c>
      <c r="N15" s="56">
        <f>'Income Statement'!L4/(AVERAGE('Balance Sheet'!K24:L24)+AVERAGE('Balance Sheet'!K15:L15))</f>
        <v>13.811518460937561</v>
      </c>
      <c r="O15" s="56">
        <f>'Income Statement'!M4/(AVERAGE('Balance Sheet'!L24:M24)+AVERAGE('Balance Sheet'!L15:M15))</f>
        <v>17.331506359868513</v>
      </c>
      <c r="P15" s="56">
        <f>'Income Statement'!N4/(AVERAGE('Balance Sheet'!M24:N24)+AVERAGE('Balance Sheet'!M15:N15))</f>
        <v>18.387373443221978</v>
      </c>
      <c r="Q15" s="73">
        <f>'Income Statement'!O4/(AVERAGE('Balance Sheet'!N24:O24)+AVERAGE('Balance Sheet'!N15:O15))</f>
        <v>19.518851859365682</v>
      </c>
      <c r="S15" s="213"/>
      <c r="T15" s="99" t="s">
        <v>465</v>
      </c>
      <c r="U15" s="90">
        <f>'Income Statement'!R4/'Balance Sheet'!R25</f>
        <v>23.145219280227053</v>
      </c>
      <c r="V15" s="56">
        <f>'Income Statement'!S4/(AVERAGE('Balance Sheet'!R25:S25))</f>
        <v>20.708917619111705</v>
      </c>
      <c r="W15" s="56">
        <f>'Income Statement'!T4/(AVERAGE('Balance Sheet'!S25:T25))</f>
        <v>21.912586182188747</v>
      </c>
      <c r="X15" s="56">
        <f>'Income Statement'!U4/(AVERAGE('Balance Sheet'!T25:U25))</f>
        <v>24.334527675390678</v>
      </c>
      <c r="Y15" s="56">
        <f>'Income Statement'!V4/(AVERAGE('Balance Sheet'!U25:V25))</f>
        <v>26.381914697382712</v>
      </c>
      <c r="Z15" s="73">
        <f>'Income Statement'!W4/(AVERAGE('Balance Sheet'!V25:W25))</f>
        <v>28.928543046357618</v>
      </c>
      <c r="AB15" s="213"/>
      <c r="AC15" s="99" t="s">
        <v>465</v>
      </c>
      <c r="AD15" s="124">
        <f>'Income Statement'!Z4/'Balance Sheet'!Z25</f>
        <v>12.96055309551968</v>
      </c>
      <c r="AE15" s="56">
        <f>'Income Statement'!AA4/AVERAGE('Balance Sheet'!Z25:AA25)</f>
        <v>15.596985138515779</v>
      </c>
      <c r="AF15" s="56">
        <f>'Income Statement'!AB4/AVERAGE('Balance Sheet'!AA25:AB25)</f>
        <v>22.230009903204166</v>
      </c>
      <c r="AG15" s="56">
        <f>'Income Statement'!AC4/AVERAGE('Balance Sheet'!AB25:AC25)</f>
        <v>26.516167287262718</v>
      </c>
      <c r="AH15" s="73">
        <f>'Income Statement'!AD4/AVERAGE('Balance Sheet'!AC25:AD25)</f>
        <v>25.288606646338309</v>
      </c>
      <c r="AI15" s="105"/>
      <c r="AK15" s="213"/>
      <c r="AL15" s="99" t="s">
        <v>465</v>
      </c>
      <c r="AM15" s="90">
        <f>'Income Statement'!AH4/('Balance Sheet'!AH15+'Balance Sheet'!AH27)</f>
        <v>13.6398005542255</v>
      </c>
      <c r="AN15" s="56">
        <f>'Income Statement'!AI4/(AVERAGE('Balance Sheet'!AH15:AI15)+AVERAGE('Balance Sheet'!AH27:AI27))</f>
        <v>14.31475468131498</v>
      </c>
      <c r="AO15" s="56">
        <f>'Income Statement'!AJ4/(AVERAGE('Balance Sheet'!AI15:AJ15)+AVERAGE('Balance Sheet'!AI27:AJ27))</f>
        <v>11.764637702490132</v>
      </c>
      <c r="AP15" s="56">
        <f>'Income Statement'!AK4/(AVERAGE('Balance Sheet'!AJ15:AK15)+AVERAGE('Balance Sheet'!AJ27:AK27))</f>
        <v>12.955025625383954</v>
      </c>
      <c r="AQ15" s="56">
        <f>'Income Statement'!AL4/(AVERAGE('Balance Sheet'!AK15:AL15)+AVERAGE('Balance Sheet'!AK27:AL27))</f>
        <v>12.836891539150471</v>
      </c>
      <c r="AR15" s="73">
        <f>'Income Statement'!AM4/(AVERAGE('Balance Sheet'!AL15:AM15)+AVERAGE('Balance Sheet'!AL27:AM27))</f>
        <v>11.230418424352981</v>
      </c>
      <c r="AT15" s="213"/>
      <c r="AU15" s="99" t="s">
        <v>465</v>
      </c>
      <c r="AV15" s="124">
        <f>'Income Statement'!AP4/('Balance Sheet'!AP16+'Balance Sheet'!AQ16+'Balance Sheet'!AP26+'Balance Sheet'!AQ26)</f>
        <v>4.3788128636703743</v>
      </c>
      <c r="AW15" s="56">
        <f>'Income Statement'!AQ4/(AVERAGE('Balance Sheet'!AP16:AQ16)+AVERAGE('Balance Sheet'!AP26:AQ26))</f>
        <v>8.2742574041653665</v>
      </c>
      <c r="AX15" s="56">
        <f>'Income Statement'!AR4/(AVERAGE('Balance Sheet'!AQ16:AR16)+AVERAGE('Balance Sheet'!AQ26:AR26))</f>
        <v>8.2743945728484647</v>
      </c>
      <c r="AY15" s="56">
        <f>'Income Statement'!AS4/(AVERAGE('Balance Sheet'!AR16:AS16)+AVERAGE('Balance Sheet'!AR26:AS26))</f>
        <v>8.7188539182425853</v>
      </c>
      <c r="AZ15" s="73">
        <f>'Income Statement'!AT4/(AVERAGE('Balance Sheet'!AS16:AT16)+AVERAGE('Balance Sheet'!AS26:AT26))</f>
        <v>7.2342909567108862</v>
      </c>
      <c r="BA15" s="105"/>
    </row>
    <row r="16" spans="1:53" x14ac:dyDescent="0.3">
      <c r="A16" s="208"/>
      <c r="B16" s="99" t="s">
        <v>454</v>
      </c>
      <c r="C16" s="90">
        <f>'Income Statement'!B4/'Balance Sheet'!B28</f>
        <v>1.1891047452603192</v>
      </c>
      <c r="D16" s="56">
        <f>'Income Statement'!C4/'Balance Sheet'!C28</f>
        <v>0.98722410907555413</v>
      </c>
      <c r="E16" s="56">
        <f>'Income Statement'!D4/'Balance Sheet'!D28</f>
        <v>1.1831653394592496</v>
      </c>
      <c r="F16" s="56">
        <f>'Income Statement'!E4/'Balance Sheet'!E28</f>
        <v>1.3897826043271089</v>
      </c>
      <c r="G16" s="56">
        <f>'Income Statement'!F4/'Balance Sheet'!F28</f>
        <v>1.223539417943361</v>
      </c>
      <c r="H16" s="73">
        <f>'Income Statement'!G4/'Balance Sheet'!G28</f>
        <v>1.1551900092501046</v>
      </c>
      <c r="J16" s="213"/>
      <c r="K16" s="99" t="s">
        <v>454</v>
      </c>
      <c r="L16" s="90">
        <f>'Income Statement'!J4/'Balance Sheet'!J32</f>
        <v>0.45137080161952819</v>
      </c>
      <c r="M16" s="56">
        <f>'Income Statement'!K4/'Balance Sheet'!K32</f>
        <v>0.44621331808745623</v>
      </c>
      <c r="N16" s="56">
        <f>'Income Statement'!L4/'Balance Sheet'!L32</f>
        <v>0.51788593371653324</v>
      </c>
      <c r="O16" s="56">
        <f>'Income Statement'!M4/'Balance Sheet'!M32</f>
        <v>0.58899173094679791</v>
      </c>
      <c r="P16" s="56">
        <f>'Income Statement'!N4/'Balance Sheet'!N32</f>
        <v>0.58518354979267306</v>
      </c>
      <c r="Q16" s="73">
        <f>'Income Statement'!O4/'Balance Sheet'!O32</f>
        <v>0.57189337930870998</v>
      </c>
      <c r="S16" s="213"/>
      <c r="T16" s="99" t="s">
        <v>454</v>
      </c>
      <c r="U16" s="90">
        <f>'Income Statement'!R4/'Balance Sheet'!R35</f>
        <v>0.80278705432006647</v>
      </c>
      <c r="V16" s="90">
        <f>'Income Statement'!S4/'Balance Sheet'!S35</f>
        <v>0.71977149488613223</v>
      </c>
      <c r="W16" s="90">
        <f>'Income Statement'!T4/'Balance Sheet'!T35</f>
        <v>0.83248227050317247</v>
      </c>
      <c r="X16" s="90">
        <f>'Income Statement'!U4/'Balance Sheet'!U35</f>
        <v>1.0202129912701501</v>
      </c>
      <c r="Y16" s="90">
        <f>'Income Statement'!V4/'Balance Sheet'!V35</f>
        <v>1.1633500960438565</v>
      </c>
      <c r="Z16" s="105">
        <f>'Income Statement'!W4/'Balance Sheet'!W35</f>
        <v>1.1536517343559352</v>
      </c>
      <c r="AB16" s="213"/>
      <c r="AC16" s="99" t="s">
        <v>454</v>
      </c>
      <c r="AD16" s="124">
        <f>'Income Statement'!Z4/'Balance Sheet'!Z33</f>
        <v>0.97368073054039461</v>
      </c>
      <c r="AE16" s="90">
        <f>'Income Statement'!AA4/'Balance Sheet'!AA33</f>
        <v>0.88305796153176341</v>
      </c>
      <c r="AF16" s="90">
        <f>'Income Statement'!AB4/'Balance Sheet'!AB33</f>
        <v>0.89965310881508465</v>
      </c>
      <c r="AG16" s="90">
        <f>'Income Statement'!AC4/'Balance Sheet'!AC33</f>
        <v>0.90750352440374649</v>
      </c>
      <c r="AH16" s="105">
        <f>'Income Statement'!AD4/'Balance Sheet'!AD33</f>
        <v>0.9271509595110996</v>
      </c>
      <c r="AI16" s="105"/>
      <c r="AK16" s="213"/>
      <c r="AL16" s="99" t="s">
        <v>454</v>
      </c>
      <c r="AM16" s="90">
        <f>'Income Statement'!AH4/'Balance Sheet'!AH34</f>
        <v>0.59386299588921188</v>
      </c>
      <c r="AN16" s="90">
        <f>'Income Statement'!AI4/'Balance Sheet'!AI34</f>
        <v>0.53323217291668623</v>
      </c>
      <c r="AO16" s="90">
        <f>'Income Statement'!AJ4/'Balance Sheet'!AJ34</f>
        <v>0.919385993856488</v>
      </c>
      <c r="AP16" s="90">
        <f>'Income Statement'!AK4/'Balance Sheet'!AK34</f>
        <v>1.0210242908838763</v>
      </c>
      <c r="AQ16" s="90">
        <f>'Income Statement'!AL4/'Balance Sheet'!AL34</f>
        <v>0.92395104798782568</v>
      </c>
      <c r="AR16" s="105">
        <f>'Income Statement'!AM4/'Balance Sheet'!AM34</f>
        <v>0.80564893908880186</v>
      </c>
      <c r="AT16" s="213"/>
      <c r="AU16" s="99" t="s">
        <v>454</v>
      </c>
      <c r="AV16" s="124">
        <f>'Income Statement'!AP4/'Balance Sheet'!AP34</f>
        <v>1.3249201025149575</v>
      </c>
      <c r="AW16" s="90">
        <f>'Income Statement'!AQ4/'Balance Sheet'!AQ34</f>
        <v>1.1843880628054488</v>
      </c>
      <c r="AX16" s="90">
        <f>'Income Statement'!AR4/'Balance Sheet'!AR34</f>
        <v>1.1184749982672859</v>
      </c>
      <c r="AY16" s="90">
        <f>'Income Statement'!AS4/'Balance Sheet'!AS34</f>
        <v>1.2589904562041141</v>
      </c>
      <c r="AZ16" s="105">
        <f>'Income Statement'!AT4/'Balance Sheet'!AT34</f>
        <v>1.1500522807706739</v>
      </c>
      <c r="BA16" s="105"/>
    </row>
    <row r="17" spans="1:53" ht="15" thickBot="1" x14ac:dyDescent="0.35">
      <c r="A17" s="209"/>
      <c r="B17" s="100" t="s">
        <v>466</v>
      </c>
      <c r="C17" s="91">
        <f>'Income Statement'!B4/('Balance Sheet'!B27-'Balance Sheet'!B56)</f>
        <v>-26.410220608768491</v>
      </c>
      <c r="D17" s="81">
        <f>'Income Statement'!C4/('Balance Sheet'!C27-'Balance Sheet'!C56)</f>
        <v>29.033748659130257</v>
      </c>
      <c r="E17" s="81">
        <f>'Income Statement'!D4/('Balance Sheet'!D27-'Balance Sheet'!D56)</f>
        <v>-383.87570621469172</v>
      </c>
      <c r="F17" s="81">
        <f>'Income Statement'!E4/('Balance Sheet'!E27-'Balance Sheet'!E56)</f>
        <v>-13.845437309372677</v>
      </c>
      <c r="G17" s="81">
        <f>'Income Statement'!F4/('Balance Sheet'!F27-'Balance Sheet'!F56)</f>
        <v>-26.118847143990884</v>
      </c>
      <c r="H17" s="82">
        <f>'Income Statement'!G4/('Balance Sheet'!G27-'Balance Sheet'!G56)</f>
        <v>-41.838027965979578</v>
      </c>
      <c r="J17" s="216"/>
      <c r="K17" s="100" t="s">
        <v>466</v>
      </c>
      <c r="L17" s="91">
        <f>'Income Statement'!J4/('Balance Sheet'!J31-'Balance Sheet'!J61)</f>
        <v>7.5112202082322401</v>
      </c>
      <c r="M17" s="81">
        <f>'Income Statement'!K4/('Balance Sheet'!K31-'Balance Sheet'!K61)</f>
        <v>3.5897032172009347</v>
      </c>
      <c r="N17" s="81">
        <f>'Income Statement'!L4/('Balance Sheet'!L31-'Balance Sheet'!L61)</f>
        <v>4.781131907398172</v>
      </c>
      <c r="O17" s="81">
        <f>'Income Statement'!M4/('Balance Sheet'!M31-'Balance Sheet'!M61)</f>
        <v>5.8453858400860277</v>
      </c>
      <c r="P17" s="81">
        <f>'Income Statement'!N4/('Balance Sheet'!N31-'Balance Sheet'!N61)</f>
        <v>6.0862394745772317</v>
      </c>
      <c r="Q17" s="82">
        <f>'Income Statement'!O4/('Balance Sheet'!O31-'Balance Sheet'!O61)</f>
        <v>4.3791512350191422</v>
      </c>
      <c r="S17" s="216"/>
      <c r="T17" s="100" t="s">
        <v>466</v>
      </c>
      <c r="U17" s="91">
        <f>'Income Statement'!R4/('Balance Sheet'!R34-'Balance Sheet'!R65)</f>
        <v>-12.392312956335539</v>
      </c>
      <c r="V17" s="91">
        <f>'Income Statement'!S4/('Balance Sheet'!S34-'Balance Sheet'!S65)</f>
        <v>-22.738227728296341</v>
      </c>
      <c r="W17" s="91">
        <f>'Income Statement'!T4/('Balance Sheet'!T34-'Balance Sheet'!T65)</f>
        <v>-74.282098200670561</v>
      </c>
      <c r="X17" s="91">
        <f>'Income Statement'!U4/('Balance Sheet'!U34-'Balance Sheet'!U65)</f>
        <v>-97.996087297005715</v>
      </c>
      <c r="Y17" s="91">
        <f>'Income Statement'!V4/('Balance Sheet'!V34-'Balance Sheet'!V65)</f>
        <v>-82.544410413476257</v>
      </c>
      <c r="Z17" s="106">
        <f>'Income Statement'!W4/('Balance Sheet'!W34-'Balance Sheet'!W65)</f>
        <v>-68.693348010693512</v>
      </c>
      <c r="AB17" s="216"/>
      <c r="AC17" s="100" t="s">
        <v>466</v>
      </c>
      <c r="AD17" s="125">
        <f>'Income Statement'!Z4/('Balance Sheet'!Z32-'Balance Sheet'!Z61)</f>
        <v>-65.851418390162578</v>
      </c>
      <c r="AE17" s="91">
        <f>'Income Statement'!AA4/('Balance Sheet'!AA32-'Balance Sheet'!AA61)</f>
        <v>-52.224755963105274</v>
      </c>
      <c r="AF17" s="91">
        <f>'Income Statement'!AB4/('Balance Sheet'!AB32-'Balance Sheet'!AB61)</f>
        <v>-24.266736412095948</v>
      </c>
      <c r="AG17" s="91">
        <f>'Income Statement'!AC4/('Balance Sheet'!AC32-'Balance Sheet'!AC61)</f>
        <v>-14.570588128070275</v>
      </c>
      <c r="AH17" s="106">
        <f>'Income Statement'!AD4/('Balance Sheet'!AD32-'Balance Sheet'!AD61)</f>
        <v>88.602851969216985</v>
      </c>
      <c r="AI17" s="106"/>
      <c r="AK17" s="216"/>
      <c r="AL17" s="100" t="s">
        <v>466</v>
      </c>
      <c r="AM17" s="91">
        <f>'Income Statement'!AH4/('Balance Sheet'!AH33-'Balance Sheet'!AH72)</f>
        <v>6.704507968865828</v>
      </c>
      <c r="AN17" s="91">
        <f>'Income Statement'!AI4/('Balance Sheet'!AI33-'Balance Sheet'!AI72)</f>
        <v>10.541436959038537</v>
      </c>
      <c r="AO17" s="91">
        <f>'Income Statement'!AJ4/('Balance Sheet'!AJ33-'Balance Sheet'!AJ72)</f>
        <v>5.5522985486734875</v>
      </c>
      <c r="AP17" s="91">
        <f>'Income Statement'!AK4/('Balance Sheet'!AK33-'Balance Sheet'!AK72)</f>
        <v>5.6544513612840355</v>
      </c>
      <c r="AQ17" s="91">
        <f>'Income Statement'!AL4/('Balance Sheet'!AL33-'Balance Sheet'!AL72)</f>
        <v>9.2960653229561583</v>
      </c>
      <c r="AR17" s="106">
        <f>'Income Statement'!AM4/('Balance Sheet'!AM33-'Balance Sheet'!AM72)</f>
        <v>13.022671642693094</v>
      </c>
      <c r="AT17" s="215"/>
      <c r="AU17" s="97" t="s">
        <v>466</v>
      </c>
      <c r="AV17" s="122">
        <f>'Income Statement'!AP4/('Balance Sheet'!AP32-'Balance Sheet'!AP67)</f>
        <v>-571.9003795066335</v>
      </c>
      <c r="AW17" s="88">
        <f>'Income Statement'!AQ4/('Balance Sheet'!AQ32-'Balance Sheet'!AQ67)</f>
        <v>-1243.4781659387857</v>
      </c>
      <c r="AX17" s="88">
        <f>'Income Statement'!AR4/('Balance Sheet'!AR32-'Balance Sheet'!AR67)</f>
        <v>190.19854941069934</v>
      </c>
      <c r="AY17" s="88">
        <f>'Income Statement'!AS4/('Balance Sheet'!AS32-'Balance Sheet'!AS67)</f>
        <v>-105.77383863080726</v>
      </c>
      <c r="AZ17" s="103">
        <f>'Income Statement'!AT4/('Balance Sheet'!AT32-'Balance Sheet'!AT67)</f>
        <v>-67.517884270128562</v>
      </c>
      <c r="BA17" s="103"/>
    </row>
    <row r="18" spans="1:53" x14ac:dyDescent="0.3">
      <c r="A18" s="210" t="s">
        <v>455</v>
      </c>
      <c r="B18" s="96" t="s">
        <v>458</v>
      </c>
      <c r="C18" s="87">
        <f ca="1">'Income Statement'!B24/'Company Profile'!$B$16</f>
        <v>180.5837483532259</v>
      </c>
      <c r="D18" s="71">
        <f ca="1">'Income Statement'!C24/'Company Profile'!$B$16</f>
        <v>139.60126283942947</v>
      </c>
      <c r="E18" s="71">
        <f ca="1">'Income Statement'!D24/'Company Profile'!$B$16</f>
        <v>123.39274547984027</v>
      </c>
      <c r="F18" s="71">
        <f ca="1">'Income Statement'!E24/'Company Profile'!$B$16</f>
        <v>261.16196240107416</v>
      </c>
      <c r="G18" s="71">
        <f ca="1">'Income Statement'!F24/'Company Profile'!$B$16</f>
        <v>420.13965533363876</v>
      </c>
      <c r="H18" s="72">
        <f ca="1">'Income Statement'!G24/'Company Profile'!$B$16</f>
        <v>443.86401384721319</v>
      </c>
      <c r="J18" s="214" t="s">
        <v>455</v>
      </c>
      <c r="K18" s="96" t="s">
        <v>458</v>
      </c>
      <c r="L18" s="87">
        <f ca="1">'Income Statement'!J29/'Company Profile'!$C$16</f>
        <v>-2.6748974622640036</v>
      </c>
      <c r="M18" s="71">
        <f ca="1">'Income Statement'!K29/'Company Profile'!$C$16</f>
        <v>12.602766893935739</v>
      </c>
      <c r="N18" s="71">
        <f ca="1">'Income Statement'!L29/'Company Profile'!$C$16</f>
        <v>60.43943315506224</v>
      </c>
      <c r="O18" s="71">
        <f ca="1">'Income Statement'!M29/'Company Profile'!$C$16</f>
        <v>94.783699958168441</v>
      </c>
      <c r="P18" s="71">
        <f ca="1">'Income Statement'!N29/'Company Profile'!$C$16</f>
        <v>102.24458062440941</v>
      </c>
      <c r="Q18" s="72">
        <f ca="1">'Income Statement'!O29/'Company Profile'!$C$16</f>
        <v>117.27192124301885</v>
      </c>
      <c r="S18" s="214" t="s">
        <v>455</v>
      </c>
      <c r="T18" s="96" t="s">
        <v>458</v>
      </c>
      <c r="U18" s="87">
        <f ca="1">'Income Statement'!R42/'Company Profile'!$D$16</f>
        <v>-28.731746277018491</v>
      </c>
      <c r="V18" s="87">
        <f ca="1">'Income Statement'!S42/'Company Profile'!$D$16</f>
        <v>-28.444699838227493</v>
      </c>
      <c r="W18" s="87">
        <f ca="1">'Income Statement'!T42/'Company Profile'!$D$16</f>
        <v>-30.710873085553573</v>
      </c>
      <c r="X18" s="87">
        <f ca="1">'Income Statement'!U42/'Company Profile'!$D$16</f>
        <v>7.3048023113620655</v>
      </c>
      <c r="Y18" s="87">
        <f ca="1">'Income Statement'!V42/'Company Profile'!$D$16</f>
        <v>86.377351737255566</v>
      </c>
      <c r="Z18" s="102">
        <f ca="1">'Income Statement'!W42/'Company Profile'!$D$16</f>
        <v>76.443426731600184</v>
      </c>
      <c r="AB18" s="214" t="s">
        <v>455</v>
      </c>
      <c r="AC18" s="96" t="s">
        <v>458</v>
      </c>
      <c r="AD18" s="121">
        <f ca="1">'Income Statement'!Z27/'Company Profile'!$E$16</f>
        <v>13.152134753055917</v>
      </c>
      <c r="AE18" s="87">
        <f ca="1">'Income Statement'!AA27/'Company Profile'!$E$16</f>
        <v>12.512867981094153</v>
      </c>
      <c r="AF18" s="87">
        <f ca="1">'Income Statement'!AB27/'Company Profile'!$E$16</f>
        <v>15.935766744272833</v>
      </c>
      <c r="AG18" s="87">
        <f ca="1">'Income Statement'!AC27/'Company Profile'!$E$16</f>
        <v>27.976764884798296</v>
      </c>
      <c r="AH18" s="102">
        <f ca="1">'Income Statement'!AD27/'Company Profile'!$E$16</f>
        <v>35.508573986601078</v>
      </c>
      <c r="AI18" s="102"/>
      <c r="AK18" s="214" t="s">
        <v>455</v>
      </c>
      <c r="AL18" s="96" t="s">
        <v>458</v>
      </c>
      <c r="AM18" s="87">
        <f ca="1">'Income Statement'!AH26/'Company Profile'!$F$16</f>
        <v>8.9703529411764542</v>
      </c>
      <c r="AN18" s="87">
        <f ca="1">'Income Statement'!AI26/'Company Profile'!$F$16</f>
        <v>9.4482352941176355</v>
      </c>
      <c r="AO18" s="87">
        <f ca="1">'Income Statement'!AJ26/'Company Profile'!$F$16</f>
        <v>8.1683529411764493</v>
      </c>
      <c r="AP18" s="87">
        <f ca="1">'Income Statement'!AK26/'Company Profile'!$F$16</f>
        <v>9.6796470588235124</v>
      </c>
      <c r="AQ18" s="87">
        <f ca="1">'Income Statement'!AL26/'Company Profile'!$F$16</f>
        <v>10.386117647058811</v>
      </c>
      <c r="AR18" s="102">
        <f ca="1">'Income Statement'!AM26/'Company Profile'!$F$16</f>
        <v>9.4176470588235084</v>
      </c>
      <c r="AT18" s="212" t="s">
        <v>455</v>
      </c>
      <c r="AU18" s="98" t="s">
        <v>458</v>
      </c>
      <c r="AV18" s="123">
        <f ca="1">'Income Statement'!AP34/'Company Profile'!$G$16</f>
        <v>1.2264980425299645</v>
      </c>
      <c r="AW18" s="89">
        <f ca="1">'Income Statement'!AQ34/'Company Profile'!$G$16</f>
        <v>1.4869571478922654</v>
      </c>
      <c r="AX18" s="89">
        <f ca="1">'Income Statement'!AR34/'Company Profile'!$G$16</f>
        <v>1.1194340959823572</v>
      </c>
      <c r="AY18" s="89">
        <f ca="1">'Income Statement'!AS34/'Company Profile'!$G$16</f>
        <v>1.5818934969548362</v>
      </c>
      <c r="AZ18" s="104">
        <f ca="1">'Income Statement'!AT34/'Company Profile'!$G$16</f>
        <v>2.8609760442051066</v>
      </c>
      <c r="BA18" s="104"/>
    </row>
    <row r="19" spans="1:53" x14ac:dyDescent="0.3">
      <c r="A19" s="208"/>
      <c r="B19" s="99" t="s">
        <v>467</v>
      </c>
      <c r="C19" s="90">
        <f ca="1">'Company Profile'!$B$11/'Financial Ratios'!C18</f>
        <v>86.292372055093793</v>
      </c>
      <c r="D19" s="56">
        <f ca="1">'Company Profile'!$B$11/'Financial Ratios'!D18</f>
        <v>111.62506472397529</v>
      </c>
      <c r="E19" s="56">
        <f ca="1">'Company Profile'!$B$11/'Financial Ratios'!E18</f>
        <v>126.28781326975117</v>
      </c>
      <c r="F19" s="56">
        <f ca="1">'Company Profile'!$B$11/'Financial Ratios'!F18</f>
        <v>59.667954156619196</v>
      </c>
      <c r="G19" s="56">
        <f ca="1">'Company Profile'!$B$11/'Financial Ratios'!G18</f>
        <v>37.090048040395814</v>
      </c>
      <c r="H19" s="73">
        <f ca="1">'Company Profile'!$B$11/'Financial Ratios'!H18</f>
        <v>35.107599431036505</v>
      </c>
      <c r="J19" s="213"/>
      <c r="K19" s="99" t="s">
        <v>467</v>
      </c>
      <c r="L19" s="90">
        <f ca="1">'Company Profile'!$C$11/'Financial Ratios'!L18</f>
        <v>-1369.7347474766063</v>
      </c>
      <c r="M19" s="56">
        <f ca="1">'Company Profile'!$C$11/'Financial Ratios'!M18</f>
        <v>290.72187328665211</v>
      </c>
      <c r="N19" s="56">
        <f ca="1">'Company Profile'!$C$11/'Financial Ratios'!N18</f>
        <v>60.621018575736294</v>
      </c>
      <c r="O19" s="56">
        <f ca="1">'Company Profile'!$C$11/'Financial Ratios'!O18</f>
        <v>38.655380636301544</v>
      </c>
      <c r="P19" s="56">
        <f ca="1">'Company Profile'!$C$11/'Financial Ratios'!P18</f>
        <v>35.834662117292673</v>
      </c>
      <c r="Q19" s="73">
        <f ca="1">'Company Profile'!$C$11/'Financial Ratios'!Q18</f>
        <v>31.242772874910248</v>
      </c>
      <c r="S19" s="213"/>
      <c r="T19" s="99" t="s">
        <v>467</v>
      </c>
      <c r="U19" s="90">
        <f ca="1">'Company Profile'!$D$11/'Financial Ratios'!U18</f>
        <v>-14.287332069625871</v>
      </c>
      <c r="V19" s="90">
        <f ca="1">'Company Profile'!$D$11/'Financial Ratios'!V18</f>
        <v>-14.431511048969465</v>
      </c>
      <c r="W19" s="90">
        <f ca="1">'Company Profile'!$D$11/'Financial Ratios'!W18</f>
        <v>-13.366601426681667</v>
      </c>
      <c r="X19" s="90">
        <f ca="1">'Company Profile'!$D$11/'Financial Ratios'!X18</f>
        <v>56.195908185153542</v>
      </c>
      <c r="Y19" s="90">
        <f ca="1">'Company Profile'!$D$11/'Financial Ratios'!Y18</f>
        <v>4.7524031675417353</v>
      </c>
      <c r="Z19" s="105">
        <f ca="1">'Company Profile'!$D$11/'Financial Ratios'!Z18</f>
        <v>5.369984281857259</v>
      </c>
      <c r="AB19" s="213"/>
      <c r="AC19" s="99" t="s">
        <v>467</v>
      </c>
      <c r="AD19" s="124">
        <f ca="1">'Company Profile'!$E$11/'Financial Ratios'!AD18</f>
        <v>265.41698861387562</v>
      </c>
      <c r="AE19" s="90">
        <f ca="1">'Company Profile'!$E$11/'Financial Ratios'!AE18</f>
        <v>278.97681053410719</v>
      </c>
      <c r="AF19" s="90">
        <f ca="1">'Company Profile'!$E$11/'Financial Ratios'!AF18</f>
        <v>219.05441112549929</v>
      </c>
      <c r="AG19" s="90">
        <f ca="1">'Company Profile'!$E$11/'Financial Ratios'!AG18</f>
        <v>124.7749700286752</v>
      </c>
      <c r="AH19" s="105">
        <f ca="1">'Company Profile'!$E$11/'Financial Ratios'!AH18</f>
        <v>98.308650787193827</v>
      </c>
      <c r="AI19" s="105"/>
      <c r="AK19" s="213"/>
      <c r="AL19" s="99" t="s">
        <v>467</v>
      </c>
      <c r="AM19" s="90">
        <f ca="1">'Company Profile'!$F$11/'Financial Ratios'!AM18</f>
        <v>42.311601615780162</v>
      </c>
      <c r="AN19" s="90">
        <f ca="1">'Company Profile'!$F$11/'Financial Ratios'!AN18</f>
        <v>40.171522848960329</v>
      </c>
      <c r="AO19" s="90">
        <f ca="1">'Company Profile'!$F$11/'Financial Ratios'!AO18</f>
        <v>46.465915801299253</v>
      </c>
      <c r="AP19" s="90">
        <f ca="1">'Company Profile'!$F$11/'Financial Ratios'!AP18</f>
        <v>39.211140415912169</v>
      </c>
      <c r="AQ19" s="90">
        <f ca="1">'Company Profile'!$F$11/'Financial Ratios'!AQ18</f>
        <v>36.543972723771596</v>
      </c>
      <c r="AR19" s="105">
        <f ca="1">'Company Profile'!$F$11/'Financial Ratios'!AR18</f>
        <v>40.301998750780854</v>
      </c>
      <c r="AT19" s="213"/>
      <c r="AU19" s="99" t="s">
        <v>467</v>
      </c>
      <c r="AV19" s="124">
        <f ca="1">'Company Profile'!$G$11/'Financial Ratios'!AV18</f>
        <v>83.612037234453723</v>
      </c>
      <c r="AW19" s="90">
        <f ca="1">'Company Profile'!$G$11/'Financial Ratios'!AW18</f>
        <v>68.966345227475287</v>
      </c>
      <c r="AX19" s="90">
        <f ca="1">'Company Profile'!$G$11/'Financial Ratios'!AX18</f>
        <v>91.608787304273989</v>
      </c>
      <c r="AY19" s="90">
        <f ca="1">'Company Profile'!$G$11/'Financial Ratios'!AY18</f>
        <v>64.827373143267849</v>
      </c>
      <c r="AZ19" s="105">
        <f ca="1">'Company Profile'!$G$11/'Financial Ratios'!AZ18</f>
        <v>35.844410584183159</v>
      </c>
      <c r="BA19" s="105"/>
    </row>
    <row r="20" spans="1:53" x14ac:dyDescent="0.3">
      <c r="A20" s="208"/>
      <c r="B20" s="99" t="s">
        <v>457</v>
      </c>
      <c r="C20" s="90">
        <f ca="1">'Company Profile'!$B$11/('Balance Sheet'!B35/'Company Profile'!$B$16)</f>
        <v>9.9112232832040643</v>
      </c>
      <c r="D20" s="56">
        <f ca="1">'Company Profile'!$B$11/('Balance Sheet'!C35/'Company Profile'!$B$16)</f>
        <v>9.3319613791080478</v>
      </c>
      <c r="E20" s="56">
        <f ca="1">'Company Profile'!$B$11/('Balance Sheet'!D35/'Company Profile'!$B$16)</f>
        <v>8.8541945038719767</v>
      </c>
      <c r="F20" s="56">
        <f ca="1">'Company Profile'!$B$11/('Balance Sheet'!E35/'Company Profile'!$B$16)</f>
        <v>7.9288438919394792</v>
      </c>
      <c r="G20" s="56">
        <f ca="1">'Company Profile'!$B$11/('Balance Sheet'!F35/'Company Profile'!$B$16)</f>
        <v>5.8337926172275001</v>
      </c>
      <c r="H20" s="73">
        <f ca="1">'Company Profile'!$B$11/('Balance Sheet'!G35/'Company Profile'!$B$16)</f>
        <v>5.209471162518196</v>
      </c>
      <c r="J20" s="213"/>
      <c r="K20" s="99" t="s">
        <v>457</v>
      </c>
      <c r="L20" s="90">
        <f ca="1">'Company Profile'!$C$11/('Balance Sheet'!J39/'Company Profile'!$C$16)</f>
        <v>9.2252448055592584</v>
      </c>
      <c r="M20" s="56">
        <f ca="1">'Company Profile'!$C$11/('Balance Sheet'!K39/'Company Profile'!$C$16)</f>
        <v>8.6804638994176582</v>
      </c>
      <c r="N20" s="56">
        <f ca="1">'Company Profile'!$C$11/('Balance Sheet'!L39/'Company Profile'!$C$16)</f>
        <v>7.7374895238490771</v>
      </c>
      <c r="O20" s="56">
        <f ca="1">'Company Profile'!$C$11/('Balance Sheet'!M39/'Company Profile'!$C$16)</f>
        <v>6.5544279084244668</v>
      </c>
      <c r="P20" s="56">
        <f ca="1">'Company Profile'!$C$11/('Balance Sheet'!N39/'Company Profile'!$C$16)</f>
        <v>5.6726693059184869</v>
      </c>
      <c r="Q20" s="73">
        <f ca="1">'Company Profile'!$C$11/('Balance Sheet'!O39/'Company Profile'!$C$16)</f>
        <v>4.9348453830613481</v>
      </c>
      <c r="S20" s="213"/>
      <c r="T20" s="99" t="s">
        <v>457</v>
      </c>
      <c r="U20" s="90">
        <f ca="1">'Company Profile'!$D$11/('Balance Sheet'!R42/'Company Profile'!$D$16)</f>
        <v>2.3658591783427338</v>
      </c>
      <c r="V20" s="90">
        <f ca="1">'Company Profile'!$D$11/('Balance Sheet'!S42/'Company Profile'!$D$16)</f>
        <v>2.6603155382565462</v>
      </c>
      <c r="W20" s="90">
        <f ca="1">'Company Profile'!$D$11/('Balance Sheet'!T42/'Company Profile'!$D$16)</f>
        <v>3.0954857246126029</v>
      </c>
      <c r="X20" s="90">
        <f ca="1">'Company Profile'!$D$11/('Balance Sheet'!U42/'Company Profile'!$D$16)</f>
        <v>2.8737850894428485</v>
      </c>
      <c r="Y20" s="90">
        <f ca="1">'Company Profile'!$D$11/('Balance Sheet'!V42/'Company Profile'!$D$16)</f>
        <v>1.6237317931338215</v>
      </c>
      <c r="Z20" s="105">
        <f ca="1">'Company Profile'!$D$11/('Balance Sheet'!W42/'Company Profile'!$D$16)</f>
        <v>1.2314033558987894</v>
      </c>
      <c r="AB20" s="213"/>
      <c r="AC20" s="99" t="s">
        <v>457</v>
      </c>
      <c r="AD20" s="124">
        <f ca="1">'Company Profile'!$E$11/('Balance Sheet'!Z40/'Company Profile'!$E$16)</f>
        <v>46.012467091123042</v>
      </c>
      <c r="AE20" s="90">
        <f ca="1">'Company Profile'!$E$11/('Balance Sheet'!AA40/'Company Profile'!$E$16)</f>
        <v>39.336662963903279</v>
      </c>
      <c r="AF20" s="90">
        <f ca="1">'Company Profile'!$E$11/('Balance Sheet'!AB40/'Company Profile'!$E$16)</f>
        <v>32.809109704512757</v>
      </c>
      <c r="AG20" s="90">
        <f ca="1">'Company Profile'!$E$11/('Balance Sheet'!AC40/'Company Profile'!$E$16)</f>
        <v>28.052278725855984</v>
      </c>
      <c r="AH20" s="105">
        <f ca="1">'Company Profile'!$E$11/('Balance Sheet'!AD40/'Company Profile'!$E$16)</f>
        <v>22.071938691884419</v>
      </c>
      <c r="AI20" s="105"/>
      <c r="AK20" s="213"/>
      <c r="AL20" s="99" t="s">
        <v>457</v>
      </c>
      <c r="AM20" s="90">
        <f ca="1">'Company Profile'!$F$11/('Balance Sheet'!AH41/'Company Profile'!$F$16)</f>
        <v>4.952481172074803</v>
      </c>
      <c r="AN20" s="90">
        <f ca="1">'Company Profile'!$F$11/('Balance Sheet'!AI41/'Company Profile'!$F$16)</f>
        <v>4.4082522487562326</v>
      </c>
      <c r="AO20" s="90">
        <f ca="1">'Company Profile'!$F$11/('Balance Sheet'!AJ41/'Company Profile'!$F$16)</f>
        <v>3.0367000974213929</v>
      </c>
      <c r="AP20" s="90">
        <f ca="1">'Company Profile'!$F$11/('Balance Sheet'!AK41/'Company Profile'!$F$16)</f>
        <v>2.8956899105131355</v>
      </c>
      <c r="AQ20" s="90">
        <f ca="1">'Company Profile'!$F$11/('Balance Sheet'!AL41/'Company Profile'!$F$16)</f>
        <v>2.5006200829360927</v>
      </c>
      <c r="AR20" s="105">
        <f ca="1">'Company Profile'!$F$11/('Balance Sheet'!AM41/'Company Profile'!$F$16)</f>
        <v>2.3153058822516241</v>
      </c>
      <c r="AT20" s="213"/>
      <c r="AU20" s="99" t="s">
        <v>457</v>
      </c>
      <c r="AV20" s="124">
        <f ca="1">'Company Profile'!$G$11/('Balance Sheet'!AP43/'Company Profile'!$G$16)</f>
        <v>7.3004527347412305</v>
      </c>
      <c r="AW20" s="90">
        <f ca="1">'Company Profile'!$G$11/('Balance Sheet'!AQ43/'Company Profile'!$G$16)</f>
        <v>6.5265578181248083</v>
      </c>
      <c r="AX20" s="90">
        <f ca="1">'Company Profile'!$G$11/('Balance Sheet'!AR43/'Company Profile'!$G$16)</f>
        <v>4.8396028634538517</v>
      </c>
      <c r="AY20" s="90">
        <f ca="1">'Company Profile'!$G$11/('Balance Sheet'!AS43/'Company Profile'!$G$16)</f>
        <v>4.4400962468566556</v>
      </c>
      <c r="AZ20" s="105">
        <f ca="1">'Company Profile'!$G$11/('Balance Sheet'!AT43/'Company Profile'!$G$16)</f>
        <v>3.8360398433485146</v>
      </c>
      <c r="BA20" s="105"/>
    </row>
    <row r="21" spans="1:53" x14ac:dyDescent="0.3">
      <c r="A21" s="208"/>
      <c r="B21" s="99" t="s">
        <v>456</v>
      </c>
      <c r="C21" s="90">
        <f ca="1">('Company Profile'!$B$18+'Balance Sheet'!B39+'Balance Sheet'!B47-'Balance Sheet'!B21)/('Income Statement'!B19+'Income Statement'!B12+'Income Statement'!B13)</f>
        <v>45.214734241180103</v>
      </c>
      <c r="D21" s="56">
        <f ca="1">('Company Profile'!$B$18+'Balance Sheet'!C39+'Balance Sheet'!C47-'Balance Sheet'!C21)/('Income Statement'!C19+'Income Statement'!C12+'Income Statement'!C13)</f>
        <v>57.599664179545698</v>
      </c>
      <c r="E21" s="56">
        <f ca="1">('Company Profile'!$B$18+'Balance Sheet'!D39+'Balance Sheet'!D47-'Balance Sheet'!D21)/('Income Statement'!D19+'Income Statement'!D12+'Income Statement'!D13)</f>
        <v>63.9725987810004</v>
      </c>
      <c r="F21" s="56">
        <f ca="1">('Company Profile'!$B$18+'Balance Sheet'!E39+'Balance Sheet'!E47-'Balance Sheet'!E21)/('Income Statement'!E19+'Income Statement'!E12+'Income Statement'!E13)</f>
        <v>36.581404940086095</v>
      </c>
      <c r="G21" s="56">
        <f ca="1">('Company Profile'!$B$18+'Balance Sheet'!F39+'Balance Sheet'!F47-'Balance Sheet'!F21)/('Income Statement'!F19+'Income Statement'!F12+'Income Statement'!F13)</f>
        <v>24.005035594743244</v>
      </c>
      <c r="H21" s="73">
        <f ca="1">('Company Profile'!$B$18+'Balance Sheet'!G39+'Balance Sheet'!G47-'Balance Sheet'!G21)/('Income Statement'!G19+'Income Statement'!G12+'Income Statement'!G13)</f>
        <v>21.591872415200857</v>
      </c>
      <c r="J21" s="213"/>
      <c r="K21" s="99" t="s">
        <v>456</v>
      </c>
      <c r="L21" s="90">
        <f ca="1">('Company Profile'!$C$18+('Balance Sheet'!J43+'Balance Sheet'!J52-'Balance Sheet'!J25))/('Income Statement'!J20+'Income Statement'!J12+'Income Statement'!J13)</f>
        <v>35.564251441789239</v>
      </c>
      <c r="M21" s="56">
        <f ca="1">('Company Profile'!$C$18+('Balance Sheet'!K43+'Balance Sheet'!K52-'Balance Sheet'!K25))/('Income Statement'!K20+'Income Statement'!K12+'Income Statement'!K13)</f>
        <v>33.653738924714354</v>
      </c>
      <c r="N21" s="56">
        <f ca="1">('Company Profile'!$C$18+('Balance Sheet'!L43+'Balance Sheet'!L52-'Balance Sheet'!L25))/('Income Statement'!L20+'Income Statement'!L12+'Income Statement'!L13)</f>
        <v>28.736596091533023</v>
      </c>
      <c r="O21" s="56">
        <f ca="1">('Company Profile'!$C$18+('Balance Sheet'!M43+'Balance Sheet'!M52-'Balance Sheet'!M25))/('Income Statement'!M20+'Income Statement'!M12+'Income Statement'!M13)</f>
        <v>21.780853838495382</v>
      </c>
      <c r="P21" s="56">
        <f ca="1">('Company Profile'!$C$18+('Balance Sheet'!N43+'Balance Sheet'!N52-'Balance Sheet'!N25))/('Income Statement'!N20+'Income Statement'!N12+'Income Statement'!N13)</f>
        <v>19.209594044366433</v>
      </c>
      <c r="Q21" s="73">
        <f ca="1">('Company Profile'!$C$18+('Balance Sheet'!O43+'Balance Sheet'!O52-'Balance Sheet'!O25))/('Income Statement'!O20+'Income Statement'!O12+'Income Statement'!O13)</f>
        <v>16.330160710770279</v>
      </c>
      <c r="S21" s="213"/>
      <c r="T21" s="99" t="s">
        <v>456</v>
      </c>
      <c r="U21" s="90">
        <f ca="1">('Company Profile'!$D$18+('Balance Sheet'!R46+'Balance Sheet'!R55)-'Balance Sheet'!R26)/('Income Statement'!R23+'Income Statement'!R16+'Income Statement'!R18)</f>
        <v>11.001914579140857</v>
      </c>
      <c r="V21" s="90">
        <f ca="1">('Company Profile'!$D$18+('Balance Sheet'!S46+'Balance Sheet'!S55)-'Balance Sheet'!S26)/('Income Statement'!S23+'Income Statement'!S16+'Income Statement'!S18)</f>
        <v>6.6551280796046584</v>
      </c>
      <c r="W21" s="90">
        <f ca="1">('Company Profile'!$D$18+('Balance Sheet'!T46+'Balance Sheet'!T55)-'Balance Sheet'!T26)/('Income Statement'!T23+'Income Statement'!T16+'Income Statement'!T18)</f>
        <v>9.0340879795720426</v>
      </c>
      <c r="X21" s="90">
        <f ca="1">('Company Profile'!$D$18+('Balance Sheet'!U46+'Balance Sheet'!U55)-'Balance Sheet'!U26)/('Income Statement'!U23+'Income Statement'!U16+'Income Statement'!U18)</f>
        <v>6.6524403288826077</v>
      </c>
      <c r="Y21" s="90">
        <f ca="1">('Company Profile'!$D$18+('Balance Sheet'!V46+'Balance Sheet'!V55)-'Balance Sheet'!V26)/('Income Statement'!V23+'Income Statement'!V16+'Income Statement'!V18)</f>
        <v>3.2736208878600337</v>
      </c>
      <c r="Z21" s="90">
        <f ca="1">('Company Profile'!$D$18+('Balance Sheet'!W46+'Balance Sheet'!W55)-'Balance Sheet'!W26)/('Income Statement'!W23+'Income Statement'!W16+'Income Statement'!W18)</f>
        <v>2.8460485396428461</v>
      </c>
      <c r="AB21" s="213"/>
      <c r="AC21" s="99" t="s">
        <v>456</v>
      </c>
      <c r="AD21" s="124">
        <f ca="1">('Company Profile'!$E$18+('Balance Sheet'!Z44+'Balance Sheet'!Z52)-'Balance Sheet'!Z27)/('Income Statement'!Z16+'Income Statement'!Z12+'Income Statement'!Z13)</f>
        <v>74.021988231650539</v>
      </c>
      <c r="AE21" s="90">
        <f ca="1">('Company Profile'!$E$18+('Balance Sheet'!AA44+'Balance Sheet'!AA52)-'Balance Sheet'!AA27)/('Income Statement'!AA16+'Income Statement'!AA12+'Income Statement'!AA13)</f>
        <v>75.248134614122065</v>
      </c>
      <c r="AF21" s="90">
        <f ca="1">('Company Profile'!$E$18+('Balance Sheet'!AB44+'Balance Sheet'!AB52)-'Balance Sheet'!AB27)/('Income Statement'!AB16+'Income Statement'!AB12+'Income Statement'!AB13)</f>
        <v>63.864251121076279</v>
      </c>
      <c r="AG21" s="90">
        <f ca="1">('Company Profile'!$E$18+('Balance Sheet'!AC44+'Balance Sheet'!AC52)-'Balance Sheet'!AC27)/('Income Statement'!AC16+'Income Statement'!AC12+'Income Statement'!AC13)</f>
        <v>43.74040871455135</v>
      </c>
      <c r="AH21" s="105">
        <f ca="1">('Company Profile'!$E$18+('Balance Sheet'!AD44+'Balance Sheet'!AD52)-'Balance Sheet'!AD27)/('Income Statement'!AD16+'Income Statement'!AD12+'Income Statement'!AD13)</f>
        <v>33.119703039175256</v>
      </c>
      <c r="AI21" s="105"/>
      <c r="AK21" s="213"/>
      <c r="AL21" s="99" t="s">
        <v>456</v>
      </c>
      <c r="AM21" s="90">
        <f ca="1">('Company Profile'!$F$18+('Balance Sheet'!AH45+'Balance Sheet'!AH61)-'Balance Sheet'!AH28)/'Income Statement'!AH14</f>
        <v>21.095441463188209</v>
      </c>
      <c r="AN21" s="90">
        <f ca="1">('Company Profile'!$F$18+('Balance Sheet'!AI45+'Balance Sheet'!AI61)-'Balance Sheet'!AI28)/'Income Statement'!AI14</f>
        <v>19.301683354837159</v>
      </c>
      <c r="AO21" s="90">
        <f ca="1">('Company Profile'!$F$18+('Balance Sheet'!AJ45+'Balance Sheet'!AJ61)-'Balance Sheet'!AJ28)/'Income Statement'!AJ14</f>
        <v>21.952715458276362</v>
      </c>
      <c r="AP21" s="90">
        <f ca="1">('Company Profile'!$F$18+('Balance Sheet'!AK45+'Balance Sheet'!AK61)-'Balance Sheet'!AK28)/'Income Statement'!AK14</f>
        <v>18.807514285547537</v>
      </c>
      <c r="AQ21" s="90">
        <f ca="1">('Company Profile'!$F$18+('Balance Sheet'!AL45+'Balance Sheet'!AL61)-'Balance Sheet'!AL28)/'Income Statement'!AL14</f>
        <v>17.015227787566079</v>
      </c>
      <c r="AR21" s="105">
        <f ca="1">('Company Profile'!$F$18+('Balance Sheet'!AM45+'Balance Sheet'!AM61)-'Balance Sheet'!AM28)/'Income Statement'!AM14</f>
        <v>17.50815090824408</v>
      </c>
      <c r="AT21" s="213"/>
      <c r="AU21" s="99" t="s">
        <v>456</v>
      </c>
      <c r="AV21" s="124">
        <f ca="1">('Company Profile'!$G$18+('Balance Sheet'!AP47+'Balance Sheet'!AP58)-'Balance Sheet'!AP27)/('Income Statement'!AP18+'Income Statement'!AP15+'Income Statement'!AP14)</f>
        <v>23.850161931701741</v>
      </c>
      <c r="AW21" s="90">
        <f ca="1">('Company Profile'!$G$18+('Balance Sheet'!AQ47+'Balance Sheet'!AQ58)-'Balance Sheet'!AQ27)/('Income Statement'!AQ18+'Income Statement'!AQ15+'Income Statement'!AQ14)</f>
        <v>24.515474478008784</v>
      </c>
      <c r="AX21" s="90">
        <f ca="1">('Company Profile'!$G$18+('Balance Sheet'!AR47+'Balance Sheet'!AR58)-'Balance Sheet'!AR27)/('Income Statement'!AR18+'Income Statement'!AR15+'Income Statement'!AR14)</f>
        <v>23.690968509814194</v>
      </c>
      <c r="AY21" s="90">
        <f ca="1">('Company Profile'!$G$18+('Balance Sheet'!AS47+'Balance Sheet'!AS58)-'Balance Sheet'!AS27)/('Income Statement'!AS18+'Income Statement'!AS15+'Income Statement'!AS14)</f>
        <v>18.126548795767782</v>
      </c>
      <c r="AZ21" s="105">
        <f ca="1">('Company Profile'!$G$18+('Balance Sheet'!AT47+'Balance Sheet'!AT58)-'Balance Sheet'!AT27)/('Income Statement'!AT18+'Income Statement'!AT15+'Income Statement'!AT14)</f>
        <v>12.683202803402907</v>
      </c>
      <c r="BA21" s="105"/>
    </row>
    <row r="22" spans="1:53" ht="15" thickBot="1" x14ac:dyDescent="0.35">
      <c r="A22" s="211"/>
      <c r="B22" s="97" t="s">
        <v>469</v>
      </c>
      <c r="C22" s="88">
        <f t="shared" ref="C22:H22" ca="1" si="0">C19/C26</f>
        <v>-300.85666040346763</v>
      </c>
      <c r="D22" s="79">
        <f t="shared" ca="1" si="0"/>
        <v>-491.86066548455153</v>
      </c>
      <c r="E22" s="79">
        <f t="shared" ca="1" si="0"/>
        <v>-1087.6959207658308</v>
      </c>
      <c r="F22" s="79">
        <f t="shared" ca="1" si="0"/>
        <v>53.441493281912663</v>
      </c>
      <c r="G22" s="79">
        <f t="shared" ca="1" si="0"/>
        <v>60.929993089588514</v>
      </c>
      <c r="H22" s="80">
        <f t="shared" ca="1" si="0"/>
        <v>621.72786320471118</v>
      </c>
      <c r="J22" s="215"/>
      <c r="K22" s="97" t="s">
        <v>469</v>
      </c>
      <c r="L22" s="88">
        <f ca="1">L19/L26</f>
        <v>1312.0581490660934</v>
      </c>
      <c r="M22" s="79">
        <f t="shared" ref="M22:Q22" ca="1" si="1">M19/M26</f>
        <v>50.901183777056126</v>
      </c>
      <c r="N22" s="79">
        <f t="shared" ca="1" si="1"/>
        <v>15.970857204231974</v>
      </c>
      <c r="O22" s="79">
        <f t="shared" ca="1" si="1"/>
        <v>68.02618053968564</v>
      </c>
      <c r="P22" s="79">
        <f t="shared" ca="1" si="1"/>
        <v>455.24677503508457</v>
      </c>
      <c r="Q22" s="80">
        <f t="shared" ca="1" si="1"/>
        <v>212.57282251145688</v>
      </c>
      <c r="S22" s="215"/>
      <c r="T22" s="97" t="s">
        <v>469</v>
      </c>
      <c r="U22" s="88">
        <f ca="1">U19/U26</f>
        <v>-21.597032296860892</v>
      </c>
      <c r="V22" s="88">
        <f t="shared" ref="V22:Z22" ca="1" si="2">V19/V26</f>
        <v>-1444.5137016832507</v>
      </c>
      <c r="W22" s="88">
        <f t="shared" ca="1" si="2"/>
        <v>167.77577172786874</v>
      </c>
      <c r="X22" s="88">
        <f t="shared" ca="1" si="2"/>
        <v>45.397730967097182</v>
      </c>
      <c r="Y22" s="88">
        <f t="shared" ca="1" si="2"/>
        <v>0.43903182450590372</v>
      </c>
      <c r="Z22" s="103">
        <f t="shared" ca="1" si="2"/>
        <v>-46.693026258347153</v>
      </c>
      <c r="AB22" s="215"/>
      <c r="AC22" s="97" t="s">
        <v>469</v>
      </c>
      <c r="AD22" s="122">
        <f ca="1">AD19/AD27</f>
        <v>-3909.7709425096282</v>
      </c>
      <c r="AE22" s="88">
        <f ca="1">AE19/AE27</f>
        <v>-5739.6078852379205</v>
      </c>
      <c r="AF22" s="88">
        <f ca="1">AF19/AF27</f>
        <v>800.78293771804761</v>
      </c>
      <c r="AG22" s="88">
        <f ca="1">AG19/AG27</f>
        <v>165.13455069878697</v>
      </c>
      <c r="AH22" s="103">
        <f ca="1">AH19/AH27</f>
        <v>365.16565569309881</v>
      </c>
      <c r="AI22" s="103"/>
      <c r="AK22" s="215"/>
      <c r="AL22" s="97" t="s">
        <v>469</v>
      </c>
      <c r="AM22" s="88">
        <f ca="1">AM19/AM26</f>
        <v>-429.74705255849045</v>
      </c>
      <c r="AN22" s="88">
        <f t="shared" ref="AN22:AR22" ca="1" si="3">AN19/AN26</f>
        <v>754.0616135370484</v>
      </c>
      <c r="AO22" s="88">
        <f t="shared" ca="1" si="3"/>
        <v>-343.0166097989071</v>
      </c>
      <c r="AP22" s="88">
        <f t="shared" ca="1" si="3"/>
        <v>211.93123853473321</v>
      </c>
      <c r="AQ22" s="88">
        <f t="shared" ca="1" si="3"/>
        <v>500.70415383742431</v>
      </c>
      <c r="AR22" s="103">
        <f t="shared" ca="1" si="3"/>
        <v>-432.20858281297393</v>
      </c>
      <c r="AT22" s="216"/>
      <c r="AU22" s="100" t="s">
        <v>469</v>
      </c>
      <c r="AV22" s="125">
        <f ca="1">AV19/AV26</f>
        <v>-181.88688882038835</v>
      </c>
      <c r="AW22" s="91">
        <f t="shared" ref="AW22:AZ22" ca="1" si="4">AW19/AW26</f>
        <v>324.76149107662343</v>
      </c>
      <c r="AX22" s="91">
        <f t="shared" ca="1" si="4"/>
        <v>-370.63890382915071</v>
      </c>
      <c r="AY22" s="91">
        <f t="shared" ca="1" si="4"/>
        <v>156.92182210360914</v>
      </c>
      <c r="AZ22" s="106">
        <f t="shared" ca="1" si="4"/>
        <v>44.330242897297452</v>
      </c>
      <c r="BA22" s="106"/>
    </row>
    <row r="23" spans="1:53" x14ac:dyDescent="0.3">
      <c r="A23" s="217" t="s">
        <v>474</v>
      </c>
      <c r="B23" s="98" t="s">
        <v>470</v>
      </c>
      <c r="C23" s="89">
        <f>'Cash Flow Statement'!B35/'Balance Sheet'!B56</f>
        <v>0.30921506536699273</v>
      </c>
      <c r="D23" s="77">
        <f>'Cash Flow Statement'!C35/'Balance Sheet'!C56</f>
        <v>0.54937501938525479</v>
      </c>
      <c r="E23" s="77">
        <f>'Cash Flow Statement'!D35/'Balance Sheet'!D56</f>
        <v>0.10811525244514932</v>
      </c>
      <c r="F23" s="77">
        <f>'Cash Flow Statement'!E35/'Balance Sheet'!E56</f>
        <v>0.46010155515658474</v>
      </c>
      <c r="G23" s="77">
        <f>'Cash Flow Statement'!F35/'Balance Sheet'!F56</f>
        <v>0.66148538730935491</v>
      </c>
      <c r="H23" s="78">
        <f>'Cash Flow Statement'!G35/'Balance Sheet'!G56</f>
        <v>0.52440242957706928</v>
      </c>
      <c r="J23" s="212" t="s">
        <v>475</v>
      </c>
      <c r="K23" s="98" t="s">
        <v>470</v>
      </c>
      <c r="L23" s="89">
        <f>'Cash Flow Statement'!J25/'Balance Sheet'!J61</f>
        <v>-2.6975429516870372E-2</v>
      </c>
      <c r="M23" s="77">
        <f>'Cash Flow Statement'!K25/'Balance Sheet'!K61</f>
        <v>0.3481092119680419</v>
      </c>
      <c r="N23" s="77">
        <f>'Cash Flow Statement'!L25/'Balance Sheet'!L61</f>
        <v>0.16428893875515591</v>
      </c>
      <c r="O23" s="77">
        <f>'Cash Flow Statement'!M25/'Balance Sheet'!M61</f>
        <v>-0.10022781431581811</v>
      </c>
      <c r="P23" s="77">
        <f>'Cash Flow Statement'!N25/'Balance Sheet'!N61</f>
        <v>-7.4523814408903849E-2</v>
      </c>
      <c r="Q23" s="78">
        <f>'Cash Flow Statement'!O25/'Balance Sheet'!O61</f>
        <v>3.5160975713450102E-2</v>
      </c>
      <c r="S23" s="212"/>
      <c r="T23" s="98" t="s">
        <v>470</v>
      </c>
      <c r="U23" s="89">
        <f>('Cash Flow Statement'!R41/'Balance Sheet'!R65)</f>
        <v>0.18962030642761812</v>
      </c>
      <c r="V23" s="89">
        <f>('Cash Flow Statement'!S41/'Balance Sheet'!S65)</f>
        <v>0.18383937082905921</v>
      </c>
      <c r="W23" s="89">
        <f>('Cash Flow Statement'!T41/'Balance Sheet'!T65)</f>
        <v>9.4787388156618524E-2</v>
      </c>
      <c r="X23" s="89">
        <f>('Cash Flow Statement'!U41/'Balance Sheet'!U65)</f>
        <v>0.22826949286941864</v>
      </c>
      <c r="Y23" s="89">
        <f>('Cash Flow Statement'!V41/'Balance Sheet'!V65)</f>
        <v>0.39117938438853561</v>
      </c>
      <c r="Z23" s="89">
        <f>('Cash Flow Statement'!W41/'Balance Sheet'!W65)</f>
        <v>0.37857262844664152</v>
      </c>
      <c r="AB23" s="214"/>
      <c r="AC23" s="96" t="s">
        <v>470</v>
      </c>
      <c r="AD23" s="121">
        <f>'Cash Flow Statement'!Z28/'Balance Sheet'!Z61</f>
        <v>3.7248983565480738E-2</v>
      </c>
      <c r="AE23" s="87">
        <f>'Cash Flow Statement'!AA28/'Balance Sheet'!AA61</f>
        <v>0.10553860172284349</v>
      </c>
      <c r="AF23" s="87">
        <f>'Cash Flow Statement'!AB28/'Balance Sheet'!AB61</f>
        <v>-0.11263294377882314</v>
      </c>
      <c r="AG23" s="87">
        <f>'Cash Flow Statement'!AC28/'Balance Sheet'!AC61</f>
        <v>-0.22919396213063314</v>
      </c>
      <c r="AH23" s="102">
        <f>'Cash Flow Statement'!AD28/'Balance Sheet'!AD61</f>
        <v>-5.9429619498050333E-2</v>
      </c>
      <c r="AI23" s="102"/>
      <c r="AK23" s="212"/>
      <c r="AL23" s="98" t="s">
        <v>470</v>
      </c>
      <c r="AM23" s="89">
        <f>'Cash Flow Statement'!AH23/'Balance Sheet'!AH72</f>
        <v>0.49797481201273247</v>
      </c>
      <c r="AN23" s="89">
        <f>'Cash Flow Statement'!AI23/'Balance Sheet'!AI72</f>
        <v>0.47101342196673746</v>
      </c>
      <c r="AO23" s="89">
        <f>'Cash Flow Statement'!AJ23/'Balance Sheet'!AJ72</f>
        <v>0.27112965959742219</v>
      </c>
      <c r="AP23" s="89">
        <f>'Cash Flow Statement'!AK23/'Balance Sheet'!AK72</f>
        <v>0.25401485919474664</v>
      </c>
      <c r="AQ23" s="89">
        <f>'Cash Flow Statement'!AL23/'Balance Sheet'!AL72</f>
        <v>0.3447148548867246</v>
      </c>
      <c r="AR23" s="104">
        <f>'Cash Flow Statement'!AM23/'Balance Sheet'!AM72</f>
        <v>0.21646597067871581</v>
      </c>
      <c r="AT23" s="214" t="s">
        <v>474</v>
      </c>
      <c r="AU23" s="96" t="s">
        <v>470</v>
      </c>
      <c r="AV23" s="121">
        <f>'Cash Flow Statement'!AP26/'Balance Sheet'!AP67</f>
        <v>0.32456516851636102</v>
      </c>
      <c r="AW23" s="87">
        <f>'Cash Flow Statement'!AQ26/'Balance Sheet'!AQ67</f>
        <v>0.24890240116683007</v>
      </c>
      <c r="AX23" s="87">
        <f>'Cash Flow Statement'!AR26/'Balance Sheet'!AR67</f>
        <v>0.11050782354287353</v>
      </c>
      <c r="AY23" s="87">
        <f>'Cash Flow Statement'!AS26/'Balance Sheet'!AS67</f>
        <v>0.16873823386176467</v>
      </c>
      <c r="AZ23" s="102">
        <f>'Cash Flow Statement'!AT26/'Balance Sheet'!AT67</f>
        <v>0.18143641959329262</v>
      </c>
      <c r="BA23" s="102"/>
    </row>
    <row r="24" spans="1:53" x14ac:dyDescent="0.3">
      <c r="A24" s="218"/>
      <c r="B24" s="99" t="s">
        <v>471</v>
      </c>
      <c r="C24" s="90">
        <f>(-'Cash Flow Statement'!B37-'Cash Flow Statement'!B38)/'Cash Flow Statement'!B35</f>
        <v>0.98317981577893465</v>
      </c>
      <c r="D24" s="56">
        <f>(-'Cash Flow Statement'!C37-'Cash Flow Statement'!C38)/'Cash Flow Statement'!C35</f>
        <v>0.26764300715882661</v>
      </c>
      <c r="E24" s="56">
        <f>(-'Cash Flow Statement'!D37-'Cash Flow Statement'!D38)/'Cash Flow Statement'!D35</f>
        <v>1.8795599022004896</v>
      </c>
      <c r="F24" s="56">
        <f>(-'Cash Flow Statement'!E37-'Cash Flow Statement'!E38)/'Cash Flow Statement'!E35</f>
        <v>0.6860907538318527</v>
      </c>
      <c r="G24" s="56">
        <f>(-'Cash Flow Statement'!F37-'Cash Flow Statement'!F38)/'Cash Flow Statement'!F35</f>
        <v>0.4620359992088085</v>
      </c>
      <c r="H24" s="73">
        <f>(-'Cash Flow Statement'!G37-'Cash Flow Statement'!G38)/'Cash Flow Statement'!G35</f>
        <v>0.62324084382404188</v>
      </c>
      <c r="J24" s="213"/>
      <c r="K24" s="99" t="s">
        <v>471</v>
      </c>
      <c r="L24" s="90">
        <f>-'Cash Flow Statement'!J27/'Cash Flow Statement'!J25</f>
        <v>-4.733254171442689</v>
      </c>
      <c r="M24" s="56">
        <f>-'Cash Flow Statement'!K27/'Cash Flow Statement'!K25</f>
        <v>0.3344434002667957</v>
      </c>
      <c r="N24" s="56">
        <f>-'Cash Flow Statement'!L27/'Cash Flow Statement'!L25</f>
        <v>0.65312434104168104</v>
      </c>
      <c r="O24" s="56">
        <f>-'Cash Flow Statement'!M27/'Cash Flow Statement'!M25</f>
        <v>-0.89122874970667365</v>
      </c>
      <c r="P24" s="56">
        <f>-'Cash Flow Statement'!N27/'Cash Flow Statement'!N25</f>
        <v>-1.7666213731915894</v>
      </c>
      <c r="Q24" s="73">
        <f>-'Cash Flow Statement'!O27/'Cash Flow Statement'!O25</f>
        <v>3.2722203154470861</v>
      </c>
      <c r="S24" s="213"/>
      <c r="T24" s="99" t="s">
        <v>471</v>
      </c>
      <c r="U24" s="90">
        <f>(-'Cash Flow Statement'!R43/'Cash Flow Statement'!R41)</f>
        <v>0.53764886640378418</v>
      </c>
      <c r="V24" s="90">
        <f>(-'Cash Flow Statement'!S43/'Cash Flow Statement'!S41)</f>
        <v>0.40604975567671037</v>
      </c>
      <c r="W24" s="90">
        <f>(-'Cash Flow Statement'!T43/'Cash Flow Statement'!T41)</f>
        <v>0.63288577963890902</v>
      </c>
      <c r="X24" s="90">
        <f>(-'Cash Flow Statement'!U43/'Cash Flow Statement'!U41)</f>
        <v>0.239986085682693</v>
      </c>
      <c r="Y24" s="90">
        <f>(-'Cash Flow Statement'!V43/'Cash Flow Statement'!V41)</f>
        <v>0.19104763307075021</v>
      </c>
      <c r="Z24" s="90">
        <f>(-'Cash Flow Statement'!W43/'Cash Flow Statement'!W41)</f>
        <v>0.24070552438908435</v>
      </c>
      <c r="AB24" s="213"/>
      <c r="AC24" s="99" t="s">
        <v>471</v>
      </c>
      <c r="AD24" s="124" cm="1">
        <f t="array" ref="AD24:AD25">(-'Cash Flow Statement'!Z30:Z31/'Cash Flow Statement'!Z28)</f>
        <v>2.734354497496184</v>
      </c>
      <c r="AE24" s="90" cm="1">
        <f t="array" ref="AE24:AE25">(-'Cash Flow Statement'!AA30:AA31/'Cash Flow Statement'!AA28)</f>
        <v>0.80603496946903042</v>
      </c>
      <c r="AF24" s="90" cm="1">
        <f t="array" ref="AF24:AF25">(-'Cash Flow Statement'!AB30:AB31/'Cash Flow Statement'!AB28)</f>
        <v>-0.63099938467849459</v>
      </c>
      <c r="AG24" s="90" cm="1">
        <f t="array" ref="AG24:AG25">(-'Cash Flow Statement'!AC30:AC31/'Cash Flow Statement'!AC28)</f>
        <v>-0.30438770344237326</v>
      </c>
      <c r="AH24" s="105" cm="1">
        <f t="array" ref="AH24:AH25">(-'Cash Flow Statement'!AD30:AD31/'Cash Flow Statement'!AD28)</f>
        <v>-0.91418330446167018</v>
      </c>
      <c r="AI24" s="105"/>
      <c r="AK24" s="213"/>
      <c r="AL24" s="99" t="s">
        <v>471</v>
      </c>
      <c r="AM24" s="90">
        <f>(-'Cash Flow Statement'!AH25/'Cash Flow Statement'!AH23)</f>
        <v>0.37555197351762298</v>
      </c>
      <c r="AN24" s="90">
        <f>(-'Cash Flow Statement'!AI25/'Cash Flow Statement'!AI23)</f>
        <v>0.22164877846168801</v>
      </c>
      <c r="AO24" s="90">
        <f>(-'Cash Flow Statement'!AJ25/'Cash Flow Statement'!AJ23)</f>
        <v>0.8715837696335077</v>
      </c>
      <c r="AP24" s="90">
        <f>(-'Cash Flow Statement'!AK25/'Cash Flow Statement'!AK23)</f>
        <v>1.2962746016869731</v>
      </c>
      <c r="AQ24" s="90">
        <f>(-'Cash Flow Statement'!AL25/'Cash Flow Statement'!AL23)</f>
        <v>1.2236651577807631</v>
      </c>
      <c r="AR24" s="105">
        <f>(-'Cash Flow Statement'!AM25/'Cash Flow Statement'!AM23)</f>
        <v>1.5309293738706888</v>
      </c>
      <c r="AT24" s="213"/>
      <c r="AU24" s="99" t="s">
        <v>471</v>
      </c>
      <c r="AV24" s="124">
        <f>(-'Cash Flow Statement'!AP28/'Cash Flow Statement'!AP26)</f>
        <v>0.35801322418136028</v>
      </c>
      <c r="AW24" s="90">
        <f>(-'Cash Flow Statement'!AQ28/'Cash Flow Statement'!AQ26)</f>
        <v>0.38999861421812204</v>
      </c>
      <c r="AX24" s="90">
        <f>(-'Cash Flow Statement'!AR28/'Cash Flow Statement'!AR26)</f>
        <v>1.0184350509603284</v>
      </c>
      <c r="AY24" s="90">
        <f>(-'Cash Flow Statement'!AS28/'Cash Flow Statement'!AS26)</f>
        <v>0.47838635335673835</v>
      </c>
      <c r="AZ24" s="105">
        <f>(-'Cash Flow Statement'!AT28/'Cash Flow Statement'!AT26)</f>
        <v>0.54499577256393961</v>
      </c>
      <c r="BA24" s="105"/>
    </row>
    <row r="25" spans="1:53" ht="15" thickBot="1" x14ac:dyDescent="0.35">
      <c r="A25" s="218"/>
      <c r="B25" s="99" t="s">
        <v>472</v>
      </c>
      <c r="C25" s="90">
        <f>('Cash Flow Statement'!B35-(-'Cash Flow Statement'!B37-'Cash Flow Statement'!B38))/'Income Statement'!B4</f>
        <v>7.7716098334655278E-4</v>
      </c>
      <c r="D25" s="56">
        <f>('Cash Flow Statement'!C35-(-'Cash Flow Statement'!C37-'Cash Flow Statement'!C38))/'Income Statement'!C4</f>
        <v>9.2165918262945498E-2</v>
      </c>
      <c r="E25" s="56">
        <f>('Cash Flow Statement'!D35-(-'Cash Flow Statement'!D37-'Cash Flow Statement'!D38))/'Income Statement'!D4</f>
        <v>-1.8327110442908287E-2</v>
      </c>
      <c r="F25" s="56">
        <f>('Cash Flow Statement'!E35-(-'Cash Flow Statement'!E37-'Cash Flow Statement'!E38))/'Income Statement'!E4</f>
        <v>2.4700756051859573E-2</v>
      </c>
      <c r="G25" s="56">
        <f>('Cash Flow Statement'!F35-(-'Cash Flow Statement'!F37-'Cash Flow Statement'!F38))/'Income Statement'!F4</f>
        <v>6.046711892442299E-2</v>
      </c>
      <c r="H25" s="73">
        <f>('Cash Flow Statement'!G35-(-'Cash Flow Statement'!G37-'Cash Flow Statement'!G38))/'Income Statement'!G4</f>
        <v>3.6380062185077743E-2</v>
      </c>
      <c r="J25" s="216"/>
      <c r="K25" s="100" t="s">
        <v>472</v>
      </c>
      <c r="L25" s="91">
        <f>('Cash Flow Statement'!J25-(-'Cash Flow Statement'!J27))/'Income Statement'!J4</f>
        <v>-0.11080838604158851</v>
      </c>
      <c r="M25" s="81">
        <f>('Cash Flow Statement'!K25-(-'Cash Flow Statement'!K27))/'Income Statement'!K4</f>
        <v>0.16046979325445648</v>
      </c>
      <c r="N25" s="81">
        <f>('Cash Flow Statement'!L25-(-'Cash Flow Statement'!L27))/'Income Statement'!L4</f>
        <v>3.5574245565931369E-2</v>
      </c>
      <c r="O25" s="81">
        <f>('Cash Flow Statement'!M25-(-'Cash Flow Statement'!M27))/'Income Statement'!M4</f>
        <v>-0.1103220084679828</v>
      </c>
      <c r="P25" s="81">
        <f>('Cash Flow Statement'!N25-(-'Cash Flow Statement'!N27))/'Income Statement'!N4</f>
        <v>-0.1126411545328911</v>
      </c>
      <c r="Q25" s="82">
        <f>('Cash Flow Statement'!O25-(-'Cash Flow Statement'!O27))/'Income Statement'!O4</f>
        <v>-4.5456071584364724E-2</v>
      </c>
      <c r="S25" s="213"/>
      <c r="T25" s="99" t="s">
        <v>472</v>
      </c>
      <c r="U25" s="90">
        <f>('Cash Flow Statement'!R41-(-'Cash Flow Statement'!R43))/'Income Statement'!R4</f>
        <v>4.7618091902700443E-2</v>
      </c>
      <c r="V25" s="90">
        <f>('Cash Flow Statement'!S41-(-'Cash Flow Statement'!S43))/'Income Statement'!S4</f>
        <v>6.9744133519173468E-2</v>
      </c>
      <c r="W25" s="90">
        <f>('Cash Flow Statement'!T41-(-'Cash Flow Statement'!T43))/'Income Statement'!T4</f>
        <v>1.9050722540134134E-2</v>
      </c>
      <c r="X25" s="90">
        <f>('Cash Flow Statement'!U41-(-'Cash Flow Statement'!U43))/'Income Statement'!U4</f>
        <v>7.84408666737305E-2</v>
      </c>
      <c r="Y25" s="90">
        <f>('Cash Flow Statement'!V41-(-'Cash Flow Statement'!V43))/'Income Statement'!V4</f>
        <v>0.127408328154133</v>
      </c>
      <c r="Z25" s="90">
        <f>('Cash Flow Statement'!W41-(-'Cash Flow Statement'!W43))/'Income Statement'!W4</f>
        <v>0.10968566071686114</v>
      </c>
      <c r="AB25" s="215"/>
      <c r="AC25" s="101"/>
      <c r="AD25" s="122">
        <v>0</v>
      </c>
      <c r="AE25" s="79">
        <v>0</v>
      </c>
      <c r="AF25" s="79">
        <v>0</v>
      </c>
      <c r="AG25" s="79">
        <v>0</v>
      </c>
      <c r="AH25" s="80">
        <v>0</v>
      </c>
      <c r="AI25" s="103"/>
      <c r="AK25" s="216"/>
      <c r="AL25" s="100" t="s">
        <v>472</v>
      </c>
      <c r="AM25" s="91">
        <f>('Cash Flow Statement'!AH23-(-'Cash Flow Statement'!AH25))/'Income Statement'!AH4</f>
        <v>6.9870727751552952E-2</v>
      </c>
      <c r="AN25" s="91">
        <f>('Cash Flow Statement'!AI23-(-'Cash Flow Statement'!AI25))/'Income Statement'!AI4</f>
        <v>0.11515477982779508</v>
      </c>
      <c r="AO25" s="91">
        <f>('Cash Flow Statement'!AJ23-(-'Cash Flow Statement'!AJ25))/'Income Statement'!AJ4</f>
        <v>7.6713044266968691E-3</v>
      </c>
      <c r="AP25" s="91">
        <f>('Cash Flow Statement'!AK23-(-'Cash Flow Statement'!AK25))/'Income Statement'!AK4</f>
        <v>-1.5095343198374345E-2</v>
      </c>
      <c r="AQ25" s="91">
        <f>('Cash Flow Statement'!AL23-(-'Cash Flow Statement'!AL25))/'Income Statement'!AL4</f>
        <v>-2.0448152713251757E-2</v>
      </c>
      <c r="AR25" s="106">
        <f>('Cash Flow Statement'!AM23-(-'Cash Flow Statement'!AM25))/'Income Statement'!AM4</f>
        <v>-3.9205585383327968E-2</v>
      </c>
      <c r="AT25" s="215"/>
      <c r="AU25" s="97" t="s">
        <v>472</v>
      </c>
      <c r="AV25" s="122">
        <f>('Cash Flow Statement'!AP26-(-'Cash Flow Statement'!AP28))/'Income Statement'!AP4</f>
        <v>6.7651211132364344E-2</v>
      </c>
      <c r="AW25" s="88">
        <f>('Cash Flow Statement'!AQ26-(-'Cash Flow Statement'!AQ28))/'Income Statement'!AQ4</f>
        <v>5.4104120538073758E-2</v>
      </c>
      <c r="AX25" s="88">
        <f>('Cash Flow Statement'!AR26-(-'Cash Flow Statement'!AR28))/'Income Statement'!AR4</f>
        <v>-7.2135971539658971E-4</v>
      </c>
      <c r="AY25" s="88">
        <f>('Cash Flow Statement'!AS26-(-'Cash Flow Statement'!AS28))/'Income Statement'!AS4</f>
        <v>3.1100272631426184E-2</v>
      </c>
      <c r="AZ25" s="103">
        <f>('Cash Flow Statement'!AT26-(-'Cash Flow Statement'!AT28))/'Income Statement'!AT4</f>
        <v>3.5224188325966459E-2</v>
      </c>
      <c r="BA25" s="103"/>
    </row>
    <row r="26" spans="1:53" ht="15" thickBot="1" x14ac:dyDescent="0.35">
      <c r="A26" s="101"/>
      <c r="B26" s="97" t="s">
        <v>473</v>
      </c>
      <c r="C26" s="95">
        <f ca="1">(C18-253.21)/253.21</f>
        <v>-0.28682220941816716</v>
      </c>
      <c r="D26" s="75">
        <f ca="1">(D18-C18)/C18</f>
        <v>-0.22694448358461231</v>
      </c>
      <c r="E26" s="75">
        <f ca="1">(E18-D18)/D18</f>
        <v>-0.11610580756874933</v>
      </c>
      <c r="F26" s="75">
        <f ca="1">(F18-E18)/E18</f>
        <v>1.1165098595179765</v>
      </c>
      <c r="G26" s="75">
        <f ca="1">(G18-F18)/F18</f>
        <v>0.60873218852758448</v>
      </c>
      <c r="H26" s="76">
        <f ca="1">(H18-G18)/G18</f>
        <v>5.6467791631653018E-2</v>
      </c>
      <c r="J26" s="114"/>
      <c r="K26" s="115" t="s">
        <v>473</v>
      </c>
      <c r="L26" s="132">
        <f ca="1">(L18-60.85)/60.85</f>
        <v>-1.0439588736608711</v>
      </c>
      <c r="M26" s="130">
        <f ca="1">(M18-L18)/ABS(L18)</f>
        <v>5.711495327102706</v>
      </c>
      <c r="N26" s="130">
        <f t="shared" ref="N26:Q26" ca="1" si="5">(N18-M18)/ABS(M18)</f>
        <v>3.795727292563412</v>
      </c>
      <c r="O26" s="130">
        <f t="shared" ca="1" si="5"/>
        <v>0.56824270199545412</v>
      </c>
      <c r="P26" s="130">
        <f t="shared" ca="1" si="5"/>
        <v>7.8714807182392446E-2</v>
      </c>
      <c r="Q26" s="131">
        <f t="shared" ca="1" si="5"/>
        <v>0.14697444624289344</v>
      </c>
      <c r="S26" s="110"/>
      <c r="T26" s="97" t="s">
        <v>477</v>
      </c>
      <c r="U26" s="95">
        <f ca="1">(U18-(-84.89))/ABS(-84.89)</f>
        <v>0.66154145038263057</v>
      </c>
      <c r="V26" s="75">
        <f ca="1">(V18-U18)/ABS(U18)</f>
        <v>9.99056708991603E-3</v>
      </c>
      <c r="W26" s="75">
        <f ca="1">(W18-V18)/ABS(V18)</f>
        <v>-7.9669437899306528E-2</v>
      </c>
      <c r="X26" s="75">
        <f t="shared" ref="X26:Z26" ca="1" si="6">(X18-W18)/ABS(W18)</f>
        <v>1.2378572009663331</v>
      </c>
      <c r="Y26" s="75">
        <f ca="1">(Y18-X18)/(X18)</f>
        <v>10.824735024369126</v>
      </c>
      <c r="Z26" s="76">
        <f t="shared" ca="1" si="6"/>
        <v>-0.11500613072594079</v>
      </c>
      <c r="AB26" s="119"/>
      <c r="AC26" s="96" t="s">
        <v>472</v>
      </c>
      <c r="AD26" s="121">
        <f>('Cash Flow Statement'!Z28-(-'Cash Flow Statement'!Z31))/'Income Statement'!Z4</f>
        <v>1.9811335269036372E-2</v>
      </c>
      <c r="AE26" s="71">
        <f>('Cash Flow Statement'!AA28-(-'Cash Flow Statement'!AA31))/'Income Statement'!AA4</f>
        <v>5.9281224994619179E-2</v>
      </c>
      <c r="AF26" s="71">
        <f>('Cash Flow Statement'!AB28-(-'Cash Flow Statement'!AB31))/'Income Statement'!AB4</f>
        <v>-6.4058310076940086E-2</v>
      </c>
      <c r="AG26" s="71">
        <f>('Cash Flow Statement'!AC28-(-'Cash Flow Statement'!AC31))/'Income Statement'!AC4</f>
        <v>-0.1377622874092348</v>
      </c>
      <c r="AH26" s="72">
        <f>('Cash Flow Statement'!AD28-(-'Cash Flow Statement'!AD31))/'Income Statement'!AD4</f>
        <v>-3.2000978931013453E-2</v>
      </c>
      <c r="AI26" s="120"/>
      <c r="AK26" s="114"/>
      <c r="AL26" s="115" t="s">
        <v>477</v>
      </c>
      <c r="AM26" s="111">
        <f ca="1">(AM18-9.95)/9.95</f>
        <v>-9.8456990836537195E-2</v>
      </c>
      <c r="AN26" s="112">
        <f ca="1">(AN18-AM18)/AM18</f>
        <v>5.3273528485993711E-2</v>
      </c>
      <c r="AO26" s="112">
        <f t="shared" ref="AO26:AR26" ca="1" si="7">(AO18-AN18)/AN18</f>
        <v>-0.13546258249284143</v>
      </c>
      <c r="AP26" s="112">
        <f t="shared" ca="1" si="7"/>
        <v>0.18501821952730149</v>
      </c>
      <c r="AQ26" s="112">
        <f t="shared" ca="1" si="7"/>
        <v>7.298515988672466E-2</v>
      </c>
      <c r="AR26" s="113">
        <f t="shared" ca="1" si="7"/>
        <v>-9.3246641444462958E-2</v>
      </c>
      <c r="AT26" s="219" t="s">
        <v>473</v>
      </c>
      <c r="AU26" s="220"/>
      <c r="AV26" s="134">
        <f ca="1">(AV18-2.27)/2.27</f>
        <v>-0.45969249227754866</v>
      </c>
      <c r="AW26" s="116">
        <f ca="1">(AW18-AV18)/AV18</f>
        <v>0.21235998455002639</v>
      </c>
      <c r="AX26" s="116">
        <f t="shared" ref="AX26:AZ26" ca="1" si="8">(AX18-AW18)/AW18</f>
        <v>-0.24716452147317453</v>
      </c>
      <c r="AY26" s="116">
        <f t="shared" ca="1" si="8"/>
        <v>0.41311891663139721</v>
      </c>
      <c r="AZ26" s="117">
        <f t="shared" ca="1" si="8"/>
        <v>0.8085769046478285</v>
      </c>
      <c r="BA26" s="133"/>
    </row>
    <row r="27" spans="1:53" ht="15" thickBot="1" x14ac:dyDescent="0.35">
      <c r="A27" s="67" t="s">
        <v>572</v>
      </c>
      <c r="B27" s="2" t="s">
        <v>573</v>
      </c>
      <c r="C27" s="3">
        <f>('Balance Sheet'!B39+'Balance Sheet'!B47)/('Balance Sheet'!B28-'Balance Sheet'!B56)</f>
        <v>2.13484498961246E-3</v>
      </c>
      <c r="D27" s="3">
        <f>('Balance Sheet'!C39+'Balance Sheet'!C47)/('Balance Sheet'!C28-'Balance Sheet'!C56)</f>
        <v>8.911899815453336E-3</v>
      </c>
      <c r="E27" s="3">
        <f>('Balance Sheet'!D39+'Balance Sheet'!D47)/('Balance Sheet'!D28-'Balance Sheet'!D56)</f>
        <v>6.6265269294836201E-3</v>
      </c>
      <c r="F27" s="3">
        <f>('Balance Sheet'!E39+'Balance Sheet'!E47)/('Balance Sheet'!E28-'Balance Sheet'!E56)</f>
        <v>1.8852652210588992E-2</v>
      </c>
      <c r="G27" s="3">
        <f>('Balance Sheet'!F39+'Balance Sheet'!F47)/('Balance Sheet'!F28-'Balance Sheet'!F56)</f>
        <v>3.7890885696591301E-4</v>
      </c>
      <c r="H27" s="3">
        <f>('Balance Sheet'!G39+'Balance Sheet'!G47)/('Balance Sheet'!G28-'Balance Sheet'!G56)</f>
        <v>0</v>
      </c>
      <c r="J27" s="2" t="s">
        <v>572</v>
      </c>
      <c r="K27" s="2" t="s">
        <v>574</v>
      </c>
      <c r="L27" s="3">
        <f>('Balance Sheet'!J43+'Balance Sheet'!J52)/('Balance Sheet'!J32-'Balance Sheet'!J61)</f>
        <v>0.55324922382991293</v>
      </c>
      <c r="M27" s="3">
        <f>('Balance Sheet'!K43+'Balance Sheet'!K52)/('Balance Sheet'!K32-'Balance Sheet'!K61)</f>
        <v>0.51777927823908365</v>
      </c>
      <c r="N27" s="3">
        <f>('Balance Sheet'!L43+'Balance Sheet'!L52)/('Balance Sheet'!L32-'Balance Sheet'!L61)</f>
        <v>0.6337153903599142</v>
      </c>
      <c r="O27" s="3">
        <f>('Balance Sheet'!M43+'Balance Sheet'!M52)/('Balance Sheet'!M32-'Balance Sheet'!M61)</f>
        <v>0.65601553324470874</v>
      </c>
      <c r="P27" s="3">
        <f>('Balance Sheet'!N43+'Balance Sheet'!N52)/('Balance Sheet'!N32-'Balance Sheet'!N61)</f>
        <v>0.64199047395578424</v>
      </c>
      <c r="Q27" s="3">
        <f>('Balance Sheet'!O43+'Balance Sheet'!O52)/('Balance Sheet'!O32-'Balance Sheet'!O61)</f>
        <v>0.64706928059844415</v>
      </c>
      <c r="S27" s="2" t="s">
        <v>572</v>
      </c>
      <c r="T27" s="2" t="s">
        <v>574</v>
      </c>
      <c r="U27" s="3">
        <f>('Balance Sheet'!R46+'Balance Sheet'!R55)/('Balance Sheet'!R35-'Balance Sheet'!R65)</f>
        <v>0.54868699374662466</v>
      </c>
      <c r="V27" s="3">
        <f>('Balance Sheet'!S46+'Balance Sheet'!S55)/('Balance Sheet'!S35-'Balance Sheet'!S65)</f>
        <v>0.6191479810129239</v>
      </c>
      <c r="W27" s="3">
        <f>('Balance Sheet'!T46+'Balance Sheet'!T55)/('Balance Sheet'!T35-'Balance Sheet'!T65)</f>
        <v>0.77625472720692645</v>
      </c>
      <c r="X27" s="3">
        <f>('Balance Sheet'!U46+'Balance Sheet'!U55)/('Balance Sheet'!U35-'Balance Sheet'!U65)</f>
        <v>0.69404948411814038</v>
      </c>
      <c r="Y27" s="3">
        <f>('Balance Sheet'!V46+'Balance Sheet'!V55)/('Balance Sheet'!V35-'Balance Sheet'!V65)</f>
        <v>0.49988327717104464</v>
      </c>
      <c r="Z27" s="3">
        <f>('Balance Sheet'!W46+'Balance Sheet'!W55)/('Balance Sheet'!W35-'Balance Sheet'!W65)</f>
        <v>0.29486502042857549</v>
      </c>
      <c r="AB27" s="110"/>
      <c r="AC27" s="97" t="s">
        <v>477</v>
      </c>
      <c r="AD27" s="129">
        <f ca="1">(AD18-14.11)/14.11</f>
        <v>-6.7885559670027143E-2</v>
      </c>
      <c r="AE27" s="75">
        <f ca="1">(AE18-AD18)/AD18</f>
        <v>-4.8605552175720261E-2</v>
      </c>
      <c r="AF27" s="75">
        <f ca="1">(AF18-AE18)/AE18</f>
        <v>0.27355029784941226</v>
      </c>
      <c r="AG27" s="75">
        <f ca="1">(AG18-AF18)/AF18</f>
        <v>0.75559578235247993</v>
      </c>
      <c r="AH27" s="76">
        <f ca="1">(AH18-AG18)/AG18</f>
        <v>0.26921658500605739</v>
      </c>
      <c r="AI27" s="118"/>
      <c r="AK27" s="2" t="s">
        <v>572</v>
      </c>
      <c r="AL27" s="2" t="s">
        <v>574</v>
      </c>
      <c r="AM27" s="3">
        <f>('Balance Sheet'!AH45+'Balance Sheet'!AH61)/('Balance Sheet'!AH34-'Balance Sheet'!AH72)</f>
        <v>3.19093921019282E-3</v>
      </c>
      <c r="AN27" s="3">
        <f>('Balance Sheet'!AI45+'Balance Sheet'!AI61)/('Balance Sheet'!AI34-'Balance Sheet'!AI72)</f>
        <v>5.5375738517646957E-3</v>
      </c>
      <c r="AO27" s="3">
        <f>('Balance Sheet'!AJ45+'Balance Sheet'!AJ61)/('Balance Sheet'!AJ34-'Balance Sheet'!AJ72)</f>
        <v>1.8861835231416504E-2</v>
      </c>
      <c r="AP27" s="3">
        <f>('Balance Sheet'!AK45+'Balance Sheet'!AK61)/('Balance Sheet'!AK34-'Balance Sheet'!AK72)</f>
        <v>2.3790607231874549E-2</v>
      </c>
      <c r="AQ27" s="3">
        <f>('Balance Sheet'!AL45+'Balance Sheet'!AL61)/('Balance Sheet'!AL34-'Balance Sheet'!AL72)</f>
        <v>5.0863859482165964E-2</v>
      </c>
      <c r="AR27" s="3">
        <f>('Balance Sheet'!AM45+'Balance Sheet'!AM61)/('Balance Sheet'!AM34-'Balance Sheet'!AM72)</f>
        <v>0.10061769054374038</v>
      </c>
      <c r="AT27" s="2" t="s">
        <v>572</v>
      </c>
      <c r="AU27" s="2" t="s">
        <v>574</v>
      </c>
      <c r="AV27" s="3">
        <f>('Balance Sheet'!AP47+'Balance Sheet'!AP58)/('Balance Sheet'!AP34-'Balance Sheet'!AP67)</f>
        <v>0.45010993249758913</v>
      </c>
      <c r="AW27" s="3">
        <f>('Balance Sheet'!AQ47+'Balance Sheet'!AQ58)/('Balance Sheet'!AQ34-'Balance Sheet'!AQ67)</f>
        <v>0.31759545459452276</v>
      </c>
      <c r="AX27" s="3">
        <f>('Balance Sheet'!AR47+'Balance Sheet'!AR58)/('Balance Sheet'!AR34-'Balance Sheet'!AR67)</f>
        <v>0.37548845366163713</v>
      </c>
      <c r="AY27" s="3">
        <f>('Balance Sheet'!AS47+'Balance Sheet'!AS58)/('Balance Sheet'!AS34-'Balance Sheet'!AS67)</f>
        <v>0.35431016154914768</v>
      </c>
      <c r="AZ27" s="3">
        <f>('Balance Sheet'!AT47+'Balance Sheet'!AT58)/('Balance Sheet'!AT34-'Balance Sheet'!AT67)</f>
        <v>0.4007108331620528</v>
      </c>
    </row>
    <row r="28" spans="1:53" x14ac:dyDescent="0.3">
      <c r="B28" s="2" t="s">
        <v>575</v>
      </c>
      <c r="AB28" s="2" t="s">
        <v>572</v>
      </c>
      <c r="AC28" s="2" t="s">
        <v>574</v>
      </c>
      <c r="AD28" s="184">
        <f>('Balance Sheet'!Z44+'Balance Sheet'!Z52)/('Balance Sheet'!Z33-'Balance Sheet'!Z61)</f>
        <v>0.96446701051472195</v>
      </c>
      <c r="AE28" s="184">
        <f>('Balance Sheet'!AA44+'Balance Sheet'!AA52)/('Balance Sheet'!AA33-'Balance Sheet'!AA61)</f>
        <v>0.84351559638324836</v>
      </c>
      <c r="AF28" s="184">
        <f>('Balance Sheet'!AB44+'Balance Sheet'!AB52)/('Balance Sheet'!AB33-'Balance Sheet'!AB61)</f>
        <v>1.1571167390434465</v>
      </c>
      <c r="AG28" s="184">
        <f>('Balance Sheet'!AC44+'Balance Sheet'!AC52)/('Balance Sheet'!AC33-'Balance Sheet'!AC61)</f>
        <v>1.3504400154612688</v>
      </c>
      <c r="AH28" s="184">
        <f>('Balance Sheet'!AD44+'Balance Sheet'!AD52)/('Balance Sheet'!AD33-'Balance Sheet'!AD61)</f>
        <v>1.1960231290425571</v>
      </c>
    </row>
    <row r="29" spans="1:53" s="3" customFormat="1" x14ac:dyDescent="0.3">
      <c r="A29" s="67"/>
      <c r="B29" s="2" t="s">
        <v>539</v>
      </c>
      <c r="C29" s="3">
        <f>6837</f>
        <v>6837</v>
      </c>
      <c r="D29" s="3">
        <f>6885</f>
        <v>6885</v>
      </c>
      <c r="E29" s="3">
        <v>7566</v>
      </c>
      <c r="F29" s="3">
        <v>8405</v>
      </c>
      <c r="G29" s="3">
        <f>12512.65</f>
        <v>12512.65</v>
      </c>
      <c r="H29" s="3">
        <v>11476</v>
      </c>
      <c r="I29" s="2"/>
      <c r="J29" s="2"/>
      <c r="K29" s="2" t="s">
        <v>539</v>
      </c>
      <c r="L29" s="3">
        <v>610</v>
      </c>
      <c r="M29" s="3">
        <v>801.5</v>
      </c>
      <c r="N29" s="3">
        <v>811</v>
      </c>
      <c r="O29" s="3">
        <f>1161.3</f>
        <v>1161.3</v>
      </c>
      <c r="P29" s="3">
        <f>1938</f>
        <v>1938</v>
      </c>
      <c r="Q29" s="3">
        <f>2652.8</f>
        <v>2652.8</v>
      </c>
      <c r="T29" s="3" t="s">
        <v>539</v>
      </c>
      <c r="U29" s="3">
        <f>143.4</f>
        <v>143.4</v>
      </c>
      <c r="V29" s="3">
        <v>306.75</v>
      </c>
      <c r="W29" s="3">
        <v>434</v>
      </c>
      <c r="X29" s="3">
        <v>423</v>
      </c>
      <c r="Y29" s="3">
        <f>1000</f>
        <v>1000</v>
      </c>
      <c r="Z29" s="3">
        <v>670.55</v>
      </c>
      <c r="AL29" s="3" t="s">
        <v>539</v>
      </c>
      <c r="AM29" s="3">
        <v>164</v>
      </c>
      <c r="AN29" s="3">
        <v>184.9</v>
      </c>
      <c r="AO29" s="3">
        <v>152</v>
      </c>
      <c r="AP29" s="3">
        <v>179</v>
      </c>
      <c r="AQ29" s="3">
        <v>305</v>
      </c>
      <c r="AR29" s="3">
        <f>359</f>
        <v>359</v>
      </c>
      <c r="AU29" s="3" t="s">
        <v>539</v>
      </c>
      <c r="AV29" s="3">
        <v>30.15</v>
      </c>
      <c r="AW29" s="3">
        <v>55.46</v>
      </c>
      <c r="AX29" s="3">
        <v>62.2</v>
      </c>
      <c r="AY29" s="3">
        <v>45.23</v>
      </c>
      <c r="AZ29" s="3">
        <f>78.1</f>
        <v>78.099999999999994</v>
      </c>
    </row>
    <row r="30" spans="1:53" s="3" customFormat="1" x14ac:dyDescent="0.3">
      <c r="A30" s="67"/>
      <c r="B30" s="2" t="s">
        <v>540</v>
      </c>
      <c r="C30" s="3">
        <f ca="1">'Company Profile'!$B$16</f>
        <v>31.440259999999999</v>
      </c>
      <c r="D30" s="3">
        <f ca="1">'Company Profile'!$B$16</f>
        <v>31.440259999999999</v>
      </c>
      <c r="E30" s="3">
        <f ca="1">'Company Profile'!$B$16</f>
        <v>31.440259999999999</v>
      </c>
      <c r="F30" s="3">
        <f ca="1">'Company Profile'!$B$16</f>
        <v>31.440259999999999</v>
      </c>
      <c r="G30" s="3">
        <f ca="1">'Company Profile'!$B$16</f>
        <v>31.440259999999999</v>
      </c>
      <c r="H30" s="3">
        <f ca="1">'Company Profile'!$B$16</f>
        <v>31.440259999999999</v>
      </c>
      <c r="I30" s="2"/>
      <c r="J30" s="2"/>
      <c r="K30" s="2" t="s">
        <v>540</v>
      </c>
      <c r="L30" s="3">
        <f ca="1">'Company Profile'!$C$16</f>
        <v>120.0046</v>
      </c>
      <c r="M30" s="3">
        <f ca="1">'Company Profile'!$C$16</f>
        <v>120.0046</v>
      </c>
      <c r="N30" s="3">
        <f ca="1">'Company Profile'!$C$16</f>
        <v>120.0046</v>
      </c>
      <c r="O30" s="3">
        <f ca="1">'Company Profile'!$C$16</f>
        <v>120.0046</v>
      </c>
      <c r="P30" s="3">
        <f ca="1">'Company Profile'!$C$16</f>
        <v>120.0046</v>
      </c>
      <c r="Q30" s="3">
        <f ca="1">'Company Profile'!$C$16</f>
        <v>120.0046</v>
      </c>
      <c r="T30" s="3" t="s">
        <v>540</v>
      </c>
      <c r="U30" s="3">
        <f ca="1">'Company Profile'!$D$16</f>
        <v>368.23309999999998</v>
      </c>
      <c r="V30" s="3">
        <f ca="1">'Company Profile'!$D$16</f>
        <v>368.23309999999998</v>
      </c>
      <c r="W30" s="3">
        <f ca="1">'Company Profile'!$D$16</f>
        <v>368.23309999999998</v>
      </c>
      <c r="X30" s="3">
        <f ca="1">'Company Profile'!$D$16</f>
        <v>368.23309999999998</v>
      </c>
      <c r="Y30" s="3">
        <f ca="1">'Company Profile'!$D$16</f>
        <v>368.23309999999998</v>
      </c>
      <c r="Z30" s="3">
        <f ca="1">'Company Profile'!$D$16</f>
        <v>368.23309999999998</v>
      </c>
      <c r="AC30" s="3" t="s">
        <v>539</v>
      </c>
      <c r="AD30" s="3">
        <f>437.45</f>
        <v>437.45</v>
      </c>
      <c r="AE30" s="3">
        <v>592.79999999999995</v>
      </c>
      <c r="AF30" s="3">
        <v>621.29999999999995</v>
      </c>
      <c r="AG30" s="3">
        <f>1077.2</f>
        <v>1077.2</v>
      </c>
      <c r="AH30" s="3">
        <v>2174</v>
      </c>
      <c r="AL30" s="3" t="s">
        <v>540</v>
      </c>
      <c r="AM30" s="3">
        <f ca="1">'Company Profile'!$F$16</f>
        <v>85</v>
      </c>
      <c r="AN30" s="3">
        <f ca="1">'Company Profile'!$F$16</f>
        <v>85</v>
      </c>
      <c r="AO30" s="3">
        <f ca="1">'Company Profile'!$F$16</f>
        <v>85</v>
      </c>
      <c r="AP30" s="3">
        <f ca="1">'Company Profile'!$F$16</f>
        <v>85</v>
      </c>
      <c r="AQ30" s="3">
        <f ca="1">'Company Profile'!$F$16</f>
        <v>85</v>
      </c>
      <c r="AR30" s="3">
        <f ca="1">'Company Profile'!$F$16</f>
        <v>85</v>
      </c>
      <c r="AU30" s="3" t="s">
        <v>540</v>
      </c>
      <c r="AV30" s="3">
        <f ca="1">'Company Profile'!$G$16</f>
        <v>1055.444</v>
      </c>
      <c r="AW30" s="3">
        <f ca="1">'Company Profile'!$G$16</f>
        <v>1055.444</v>
      </c>
      <c r="AX30" s="3">
        <f ca="1">'Company Profile'!$G$16</f>
        <v>1055.444</v>
      </c>
      <c r="AY30" s="3">
        <f ca="1">'Company Profile'!$G$16</f>
        <v>1055.444</v>
      </c>
      <c r="AZ30" s="3">
        <f ca="1">'Company Profile'!$G$16</f>
        <v>1055.444</v>
      </c>
    </row>
    <row r="31" spans="1:53" s="3" customFormat="1" x14ac:dyDescent="0.3">
      <c r="A31" s="67"/>
      <c r="B31" s="2" t="s">
        <v>541</v>
      </c>
      <c r="C31" s="3">
        <f ca="1">C29*C30</f>
        <v>214957.05761999998</v>
      </c>
      <c r="D31" s="3">
        <f t="shared" ref="D31:H31" ca="1" si="9">D29*D30</f>
        <v>216466.19009999998</v>
      </c>
      <c r="E31" s="3">
        <f t="shared" ca="1" si="9"/>
        <v>237877.00715999998</v>
      </c>
      <c r="F31" s="3">
        <f t="shared" ca="1" si="9"/>
        <v>264255.38529999997</v>
      </c>
      <c r="G31" s="3">
        <f t="shared" ca="1" si="9"/>
        <v>393400.96928899997</v>
      </c>
      <c r="H31" s="3">
        <f t="shared" ca="1" si="9"/>
        <v>360808.42375999998</v>
      </c>
      <c r="I31" s="2"/>
      <c r="J31" s="2"/>
      <c r="K31" s="2" t="s">
        <v>541</v>
      </c>
      <c r="L31" s="3">
        <f ca="1">L29*L30</f>
        <v>73202.805999999997</v>
      </c>
      <c r="M31" s="3">
        <f t="shared" ref="M31" ca="1" si="10">M29*M30</f>
        <v>96183.686900000001</v>
      </c>
      <c r="N31" s="3">
        <f t="shared" ref="N31" ca="1" si="11">N29*N30</f>
        <v>97323.730599999995</v>
      </c>
      <c r="O31" s="3">
        <f t="shared" ref="O31" ca="1" si="12">O29*O30</f>
        <v>139361.34198</v>
      </c>
      <c r="P31" s="3">
        <f t="shared" ref="P31" ca="1" si="13">P29*P30</f>
        <v>232568.9148</v>
      </c>
      <c r="Q31" s="3">
        <f t="shared" ref="Q31" ca="1" si="14">Q29*Q30</f>
        <v>318348.20288</v>
      </c>
      <c r="T31" s="3" t="s">
        <v>541</v>
      </c>
      <c r="U31" s="3">
        <f ca="1">U29*U30</f>
        <v>52804.626539999997</v>
      </c>
      <c r="V31" s="3">
        <f t="shared" ref="V31" ca="1" si="15">V29*V30</f>
        <v>112955.50342499999</v>
      </c>
      <c r="W31" s="3">
        <f t="shared" ref="W31" ca="1" si="16">W29*W30</f>
        <v>159813.1654</v>
      </c>
      <c r="X31" s="3">
        <f t="shared" ref="X31" ca="1" si="17">X29*X30</f>
        <v>155762.60129999998</v>
      </c>
      <c r="Y31" s="3">
        <f t="shared" ref="Y31" ca="1" si="18">Y29*Y30</f>
        <v>368233.1</v>
      </c>
      <c r="Z31" s="3">
        <f t="shared" ref="Z31" ca="1" si="19">Z29*Z30</f>
        <v>246918.70520499998</v>
      </c>
      <c r="AC31" s="3" t="s">
        <v>540</v>
      </c>
      <c r="AD31" s="3">
        <f ca="1">'Company Profile'!$E$16</f>
        <v>47.491909999999997</v>
      </c>
      <c r="AE31" s="3">
        <f ca="1">'Company Profile'!$E$16</f>
        <v>47.491909999999997</v>
      </c>
      <c r="AF31" s="3">
        <f ca="1">'Company Profile'!$E$16</f>
        <v>47.491909999999997</v>
      </c>
      <c r="AG31" s="3">
        <f ca="1">'Company Profile'!$E$16</f>
        <v>47.491909999999997</v>
      </c>
      <c r="AH31" s="3">
        <f ca="1">'Company Profile'!$E$16</f>
        <v>47.491909999999997</v>
      </c>
      <c r="AL31" s="3" t="s">
        <v>541</v>
      </c>
      <c r="AM31" s="3">
        <f ca="1">AM29*AM30</f>
        <v>13940</v>
      </c>
      <c r="AN31" s="3">
        <f t="shared" ref="AN31" ca="1" si="20">AN29*AN30</f>
        <v>15716.5</v>
      </c>
      <c r="AO31" s="3">
        <f t="shared" ref="AO31" ca="1" si="21">AO29*AO30</f>
        <v>12920</v>
      </c>
      <c r="AP31" s="3">
        <f t="shared" ref="AP31" ca="1" si="22">AP29*AP30</f>
        <v>15215</v>
      </c>
      <c r="AQ31" s="3">
        <f t="shared" ref="AQ31" ca="1" si="23">AQ29*AQ30</f>
        <v>25925</v>
      </c>
      <c r="AR31" s="3">
        <f t="shared" ref="AR31" ca="1" si="24">AR29*AR30</f>
        <v>30515</v>
      </c>
      <c r="AU31" s="3" t="s">
        <v>541</v>
      </c>
      <c r="AV31" s="3">
        <f ca="1">AV29*AV30</f>
        <v>31821.636599999998</v>
      </c>
      <c r="AW31" s="3">
        <f t="shared" ref="AW31" ca="1" si="25">AW29*AW30</f>
        <v>58534.92424</v>
      </c>
      <c r="AX31" s="3">
        <f t="shared" ref="AX31" ca="1" si="26">AX29*AX30</f>
        <v>65648.616800000003</v>
      </c>
      <c r="AY31" s="3">
        <f t="shared" ref="AY31" ca="1" si="27">AY29*AY30</f>
        <v>47737.732119999993</v>
      </c>
      <c r="AZ31" s="3">
        <f t="shared" ref="AZ31" ca="1" si="28">AZ29*AZ30</f>
        <v>82430.176399999997</v>
      </c>
      <c r="BA31" s="3">
        <f t="shared" ref="BA31" si="29">BA29*BA30</f>
        <v>0</v>
      </c>
    </row>
    <row r="32" spans="1:53" x14ac:dyDescent="0.3">
      <c r="AC32" s="2" t="s">
        <v>541</v>
      </c>
      <c r="AD32" s="3">
        <f ca="1">AD30*AD31</f>
        <v>20775.336029499998</v>
      </c>
      <c r="AE32" s="3">
        <f t="shared" ref="AE32" ca="1" si="30">AE30*AE31</f>
        <v>28153.204247999995</v>
      </c>
      <c r="AF32" s="3">
        <f t="shared" ref="AF32" ca="1" si="31">AF30*AF31</f>
        <v>29506.723682999997</v>
      </c>
      <c r="AG32" s="3">
        <f t="shared" ref="AG32" ca="1" si="32">AG30*AG31</f>
        <v>51158.285451999996</v>
      </c>
      <c r="AH32" s="3">
        <f t="shared" ref="AH32" ca="1" si="33">AH30*AH31</f>
        <v>103247.41234</v>
      </c>
      <c r="AI32" s="3">
        <f t="shared" ref="AI32" si="34">AI30*AI31</f>
        <v>0</v>
      </c>
    </row>
  </sheetData>
  <mergeCells count="49">
    <mergeCell ref="AT26:AU26"/>
    <mergeCell ref="AT3:AT4"/>
    <mergeCell ref="AT5:AT7"/>
    <mergeCell ref="AT8:AT13"/>
    <mergeCell ref="AT14:AT17"/>
    <mergeCell ref="AT18:AT22"/>
    <mergeCell ref="AT23:AT25"/>
    <mergeCell ref="AK23:AK25"/>
    <mergeCell ref="AB3:AB4"/>
    <mergeCell ref="AB5:AB7"/>
    <mergeCell ref="AB8:AB13"/>
    <mergeCell ref="AB14:AB17"/>
    <mergeCell ref="AB18:AB22"/>
    <mergeCell ref="AB23:AB25"/>
    <mergeCell ref="AK3:AK4"/>
    <mergeCell ref="AK5:AK7"/>
    <mergeCell ref="AK8:AK13"/>
    <mergeCell ref="AK14:AK17"/>
    <mergeCell ref="AK18:AK22"/>
    <mergeCell ref="A14:A17"/>
    <mergeCell ref="A18:A22"/>
    <mergeCell ref="S23:S25"/>
    <mergeCell ref="J3:J4"/>
    <mergeCell ref="J5:J7"/>
    <mergeCell ref="J8:J13"/>
    <mergeCell ref="J14:J17"/>
    <mergeCell ref="J18:J22"/>
    <mergeCell ref="J23:J25"/>
    <mergeCell ref="S3:S4"/>
    <mergeCell ref="S5:S7"/>
    <mergeCell ref="S8:S13"/>
    <mergeCell ref="S14:S17"/>
    <mergeCell ref="S18:S22"/>
    <mergeCell ref="A23:A25"/>
    <mergeCell ref="A3:A4"/>
    <mergeCell ref="AH1:AI1"/>
    <mergeCell ref="AQ1:AR1"/>
    <mergeCell ref="AZ1:BA1"/>
    <mergeCell ref="AT1:AY1"/>
    <mergeCell ref="AK1:AP1"/>
    <mergeCell ref="A5:A7"/>
    <mergeCell ref="A8:A13"/>
    <mergeCell ref="AB1:AG1"/>
    <mergeCell ref="G1:H1"/>
    <mergeCell ref="P1:Q1"/>
    <mergeCell ref="Y1:Z1"/>
    <mergeCell ref="A1:F1"/>
    <mergeCell ref="S1:X1"/>
    <mergeCell ref="J1:O1"/>
  </mergeCells>
  <conditionalFormatting sqref="C3:H3">
    <cfRule type="colorScale" priority="184">
      <colorScale>
        <cfvo type="num" val="1.2"/>
        <cfvo type="percentile" val="50"/>
        <cfvo type="num" val="1.5"/>
        <color rgb="FFF8696B"/>
        <color rgb="FFFFEB84"/>
        <color rgb="FF63BE7B"/>
      </colorScale>
    </cfRule>
  </conditionalFormatting>
  <conditionalFormatting sqref="C4:H4">
    <cfRule type="colorScale" priority="183">
      <colorScale>
        <cfvo type="num" val="0.99"/>
        <cfvo type="percentile" val="50"/>
        <cfvo type="num" val="1"/>
        <color rgb="FFF8696B"/>
        <color rgb="FFFFEB84"/>
        <color rgb="FF63BE7B"/>
      </colorScale>
    </cfRule>
  </conditionalFormatting>
  <conditionalFormatting sqref="C5:H5">
    <cfRule type="colorScale" priority="182">
      <colorScale>
        <cfvo type="num" val="1"/>
        <cfvo type="percentile" val="50"/>
        <cfvo type="num" val="2"/>
        <color rgb="FF63BE7B"/>
        <color rgb="FFFFEB84"/>
        <color rgb="FFF8696B"/>
      </colorScale>
    </cfRule>
  </conditionalFormatting>
  <conditionalFormatting sqref="C6:H6">
    <cfRule type="colorScale" priority="181">
      <colorScale>
        <cfvo type="num" val="2"/>
        <cfvo type="percentile" val="50"/>
        <cfvo type="num" val="3"/>
        <color rgb="FFF8696B"/>
        <color rgb="FFFFEB84"/>
        <color rgb="FF63BE7B"/>
      </colorScale>
    </cfRule>
  </conditionalFormatting>
  <conditionalFormatting sqref="C7:H7">
    <cfRule type="colorScale" priority="179">
      <colorScale>
        <cfvo type="num" val="0.5"/>
        <cfvo type="percentile" val="50"/>
        <cfvo type="num" val="0.6"/>
        <color rgb="FF63BE7B"/>
        <color rgb="FFFFEB84"/>
        <color rgb="FFF8696B"/>
      </colorScale>
    </cfRule>
  </conditionalFormatting>
  <conditionalFormatting sqref="C8:H8">
    <cfRule type="colorScale" priority="178">
      <colorScale>
        <cfvo type="num" val="4.9000000000000002E-2"/>
        <cfvo type="percentile" val="50"/>
        <cfvo type="num" val="0.05"/>
        <color rgb="FFF8696B"/>
        <color rgb="FFFFEB84"/>
        <color rgb="FF63BE7B"/>
      </colorScale>
    </cfRule>
  </conditionalFormatting>
  <conditionalFormatting sqref="C9:H9">
    <cfRule type="colorScale" priority="177">
      <colorScale>
        <cfvo type="num" val="0.08"/>
        <cfvo type="percentile" val="50"/>
        <cfvo type="num" val="0.15"/>
        <color rgb="FFF8696B"/>
        <color rgb="FFFFEB84"/>
        <color rgb="FF63BE7B"/>
      </colorScale>
    </cfRule>
  </conditionalFormatting>
  <conditionalFormatting sqref="C10:H10">
    <cfRule type="colorScale" priority="176">
      <colorScale>
        <cfvo type="num" val="0.2"/>
        <cfvo type="percentile" val="50"/>
        <cfvo type="num" val="0.21"/>
        <color rgb="FFF8696B"/>
        <color rgb="FFFFEB84"/>
        <color rgb="FF63BE7B"/>
      </colorScale>
    </cfRule>
  </conditionalFormatting>
  <conditionalFormatting sqref="C11:H11">
    <cfRule type="colorScale" priority="175">
      <colorScale>
        <cfvo type="num" val="0.1"/>
        <cfvo type="percentile" val="50"/>
        <cfvo type="num" val="0.15"/>
        <color rgb="FFF8696B"/>
        <color rgb="FFFFEB84"/>
        <color rgb="FF63BE7B"/>
      </colorScale>
    </cfRule>
  </conditionalFormatting>
  <conditionalFormatting sqref="C12:H12">
    <cfRule type="colorScale" priority="174">
      <colorScale>
        <cfvo type="num" val="0.1"/>
        <cfvo type="percentile" val="50"/>
        <cfvo type="max"/>
        <color rgb="FFF8696B"/>
        <color rgb="FFFFEB84"/>
        <color rgb="FF63BE7B"/>
      </colorScale>
    </cfRule>
  </conditionalFormatting>
  <conditionalFormatting sqref="C13:H13">
    <cfRule type="colorScale" priority="173">
      <colorScale>
        <cfvo type="num" val="0.05"/>
        <cfvo type="num" val="0.08"/>
        <cfvo type="max"/>
        <color rgb="FFF8696B"/>
        <color rgb="FFFFEB84"/>
        <color rgb="FF63BE7B"/>
      </colorScale>
    </cfRule>
  </conditionalFormatting>
  <conditionalFormatting sqref="C14:H14">
    <cfRule type="colorScale" priority="172">
      <colorScale>
        <cfvo type="num" val="6"/>
        <cfvo type="percentile" val="50"/>
        <cfvo type="max"/>
        <color rgb="FFF8696B"/>
        <color rgb="FFFFEB84"/>
        <color rgb="FF63BE7B"/>
      </colorScale>
    </cfRule>
  </conditionalFormatting>
  <conditionalFormatting sqref="C15:H15">
    <cfRule type="colorScale" priority="171">
      <colorScale>
        <cfvo type="num" val="6"/>
        <cfvo type="percentile" val="50"/>
        <cfvo type="num" val="8"/>
        <color rgb="FFF8696B"/>
        <color rgb="FFFFEB84"/>
        <color rgb="FF63BE7B"/>
      </colorScale>
    </cfRule>
  </conditionalFormatting>
  <conditionalFormatting sqref="C16:H16">
    <cfRule type="colorScale" priority="170">
      <colorScale>
        <cfvo type="num" val="1"/>
        <cfvo type="percentile" val="50"/>
        <cfvo type="num" val="1.2"/>
        <color rgb="FFF8696B"/>
        <color rgb="FFFFEB84"/>
        <color rgb="FF63BE7B"/>
      </colorScale>
    </cfRule>
  </conditionalFormatting>
  <conditionalFormatting sqref="C17:H17">
    <cfRule type="colorScale" priority="169">
      <colorScale>
        <cfvo type="num" val="0"/>
        <cfvo type="percentile" val="50"/>
        <cfvo type="max"/>
        <color rgb="FFF8696B"/>
        <color rgb="FFFFEB84"/>
        <color rgb="FF63BE7B"/>
      </colorScale>
    </cfRule>
  </conditionalFormatting>
  <conditionalFormatting sqref="C18:H18">
    <cfRule type="dataBar" priority="13">
      <dataBar>
        <cfvo type="min"/>
        <cfvo type="max"/>
        <color rgb="FF63C384"/>
      </dataBar>
      <extLst>
        <ext xmlns:x14="http://schemas.microsoft.com/office/spreadsheetml/2009/9/main" uri="{B025F937-C7B1-47D3-B67F-A62EFF666E3E}">
          <x14:id>{57DB7EBA-B843-476B-854F-C648D7ED81A3}</x14:id>
        </ext>
      </extLst>
    </cfRule>
  </conditionalFormatting>
  <conditionalFormatting sqref="C19:H19">
    <cfRule type="colorScale" priority="167">
      <colorScale>
        <cfvo type="num" val="10"/>
        <cfvo type="percentile" val="50"/>
        <cfvo type="num" val="50"/>
        <color rgb="FF63BE7B"/>
        <color rgb="FFFFEB84"/>
        <color rgb="FFF8696B"/>
      </colorScale>
    </cfRule>
  </conditionalFormatting>
  <conditionalFormatting sqref="C20:H20">
    <cfRule type="colorScale" priority="166">
      <colorScale>
        <cfvo type="num" val="1"/>
        <cfvo type="percentile" val="50"/>
        <cfvo type="num" val="6"/>
        <color rgb="FFF8696B"/>
        <color rgb="FFFFEB84"/>
        <color rgb="FF63BE7B"/>
      </colorScale>
    </cfRule>
  </conditionalFormatting>
  <conditionalFormatting sqref="C21:H21">
    <cfRule type="colorScale" priority="165">
      <colorScale>
        <cfvo type="num" val="12"/>
        <cfvo type="percentile" val="50"/>
        <cfvo type="num" val="18"/>
        <color rgb="FF63BE7B"/>
        <color rgb="FFFFEB84"/>
        <color rgb="FFF8696B"/>
      </colorScale>
    </cfRule>
  </conditionalFormatting>
  <conditionalFormatting sqref="C22:H22">
    <cfRule type="colorScale" priority="164">
      <colorScale>
        <cfvo type="num" val="1"/>
        <cfvo type="percentile" val="50"/>
        <cfvo type="num" val="2"/>
        <color rgb="FF63BE7B"/>
        <color rgb="FFFFEB84"/>
        <color rgb="FFF8696B"/>
      </colorScale>
    </cfRule>
  </conditionalFormatting>
  <conditionalFormatting sqref="C23:H23">
    <cfRule type="colorScale" priority="163">
      <colorScale>
        <cfvo type="num" val="0.4"/>
        <cfvo type="percentile" val="50"/>
        <cfvo type="num" val="0.5"/>
        <color rgb="FFF8696B"/>
        <color rgb="FFFFEB84"/>
        <color rgb="FF63BE7B"/>
      </colorScale>
    </cfRule>
  </conditionalFormatting>
  <conditionalFormatting sqref="C24:H24">
    <cfRule type="colorScale" priority="162">
      <colorScale>
        <cfvo type="num" val="1.5"/>
        <cfvo type="percentile" val="50"/>
        <cfvo type="num" val="2"/>
        <color rgb="FF63BE7B"/>
        <color rgb="FFFFEB84"/>
        <color rgb="FFF8696B"/>
      </colorScale>
    </cfRule>
  </conditionalFormatting>
  <conditionalFormatting sqref="C25:H25">
    <cfRule type="cellIs" dxfId="39" priority="157" operator="lessThan">
      <formula>0</formula>
    </cfRule>
    <cfRule type="cellIs" dxfId="38" priority="158" operator="greaterThan">
      <formula>0</formula>
    </cfRule>
  </conditionalFormatting>
  <conditionalFormatting sqref="C26:H26">
    <cfRule type="colorScale" priority="156">
      <colorScale>
        <cfvo type="min"/>
        <cfvo type="percentile" val="50"/>
        <cfvo type="max"/>
        <color rgb="FFF8696B"/>
        <color rgb="FFFFEB84"/>
        <color rgb="FF63BE7B"/>
      </colorScale>
    </cfRule>
  </conditionalFormatting>
  <conditionalFormatting sqref="L3:Q3">
    <cfRule type="colorScale" priority="155">
      <colorScale>
        <cfvo type="num" val="1.2"/>
        <cfvo type="percentile" val="50"/>
        <cfvo type="num" val="1.5"/>
        <color rgb="FFF8696B"/>
        <color rgb="FFFFEB84"/>
        <color rgb="FF63BE7B"/>
      </colorScale>
    </cfRule>
  </conditionalFormatting>
  <conditionalFormatting sqref="L4:Q4">
    <cfRule type="colorScale" priority="29">
      <colorScale>
        <cfvo type="min"/>
        <cfvo type="percentile" val="50"/>
        <cfvo type="num" val="1"/>
        <color rgb="FFF8696B"/>
        <color rgb="FFFFEB84"/>
        <color rgb="FF63BE7B"/>
      </colorScale>
    </cfRule>
  </conditionalFormatting>
  <conditionalFormatting sqref="L5:Q5">
    <cfRule type="colorScale" priority="28">
      <colorScale>
        <cfvo type="min"/>
        <cfvo type="percentile" val="50"/>
        <cfvo type="num" val="2"/>
        <color rgb="FF63BE7B"/>
        <color rgb="FFFFEB84"/>
        <color rgb="FFF8696B"/>
      </colorScale>
    </cfRule>
  </conditionalFormatting>
  <conditionalFormatting sqref="L6:Q6">
    <cfRule type="colorScale" priority="27">
      <colorScale>
        <cfvo type="num" val="2"/>
        <cfvo type="percentile" val="50"/>
        <cfvo type="num" val="3"/>
        <color rgb="FFF8696B"/>
        <color rgb="FFFFEB84"/>
        <color rgb="FF63BE7B"/>
      </colorScale>
    </cfRule>
  </conditionalFormatting>
  <conditionalFormatting sqref="L7:Q7">
    <cfRule type="colorScale" priority="26">
      <colorScale>
        <cfvo type="num" val="0.5"/>
        <cfvo type="percentile" val="50"/>
        <cfvo type="num" val="0.6"/>
        <color rgb="FF63BE7B"/>
        <color rgb="FFFFEB84"/>
        <color rgb="FFF8696B"/>
      </colorScale>
    </cfRule>
  </conditionalFormatting>
  <conditionalFormatting sqref="L8:Q8">
    <cfRule type="colorScale" priority="25">
      <colorScale>
        <cfvo type="min"/>
        <cfvo type="percentile" val="50"/>
        <cfvo type="num" val="0.05"/>
        <color rgb="FFF8696B"/>
        <color rgb="FFFFEB84"/>
        <color rgb="FF63BE7B"/>
      </colorScale>
    </cfRule>
  </conditionalFormatting>
  <conditionalFormatting sqref="L9:Q9">
    <cfRule type="colorScale" priority="24">
      <colorScale>
        <cfvo type="num" val="0.1"/>
        <cfvo type="percentile" val="50"/>
        <cfvo type="num" val="0.15"/>
        <color rgb="FFF8696B"/>
        <color rgb="FFFFEB84"/>
        <color rgb="FF63BE7B"/>
      </colorScale>
    </cfRule>
  </conditionalFormatting>
  <conditionalFormatting sqref="L10:Q10">
    <cfRule type="colorScale" priority="23">
      <colorScale>
        <cfvo type="num" val="0.2"/>
        <cfvo type="percentile" val="50"/>
        <cfvo type="num" val="0.35"/>
        <color rgb="FFF8696B"/>
        <color rgb="FFFFEB84"/>
        <color rgb="FF63BE7B"/>
      </colorScale>
    </cfRule>
  </conditionalFormatting>
  <conditionalFormatting sqref="L11:Q11">
    <cfRule type="colorScale" priority="22">
      <colorScale>
        <cfvo type="num" val="0.1"/>
        <cfvo type="percentile" val="50"/>
        <cfvo type="num" val="0.15"/>
        <color rgb="FFF8696B"/>
        <color rgb="FFFFEB84"/>
        <color rgb="FF63BE7B"/>
      </colorScale>
    </cfRule>
  </conditionalFormatting>
  <conditionalFormatting sqref="L12:Q12">
    <cfRule type="colorScale" priority="21">
      <colorScale>
        <cfvo type="min"/>
        <cfvo type="percentile" val="50"/>
        <cfvo type="num" val="0.1"/>
        <color rgb="FFF8696B"/>
        <color rgb="FFFFEB84"/>
        <color rgb="FF63BE7B"/>
      </colorScale>
    </cfRule>
  </conditionalFormatting>
  <conditionalFormatting sqref="L13:Q13">
    <cfRule type="colorScale" priority="20">
      <colorScale>
        <cfvo type="num" val="0.05"/>
        <cfvo type="percentile" val="50"/>
        <cfvo type="num" val="0.08"/>
        <color rgb="FFF8696B"/>
        <color rgb="FFFFEB84"/>
        <color rgb="FF63BE7B"/>
      </colorScale>
    </cfRule>
  </conditionalFormatting>
  <conditionalFormatting sqref="L14:Q14">
    <cfRule type="colorScale" priority="18">
      <colorScale>
        <cfvo type="min"/>
        <cfvo type="percentile" val="50"/>
        <cfvo type="num" val="6"/>
        <color rgb="FFF8696B"/>
        <color rgb="FFFFEB84"/>
        <color rgb="FF63BE7B"/>
      </colorScale>
    </cfRule>
  </conditionalFormatting>
  <conditionalFormatting sqref="L15:Q15">
    <cfRule type="colorScale" priority="17">
      <colorScale>
        <cfvo type="num" val="6"/>
        <cfvo type="percentile" val="50"/>
        <cfvo type="num" val="8"/>
        <color rgb="FFF8696B"/>
        <color rgb="FFFFEB84"/>
        <color rgb="FF63BE7B"/>
      </colorScale>
    </cfRule>
  </conditionalFormatting>
  <conditionalFormatting sqref="L16:Q16">
    <cfRule type="colorScale" priority="16">
      <colorScale>
        <cfvo type="num" val="1"/>
        <cfvo type="percentile" val="50"/>
        <cfvo type="num" val="1.2"/>
        <color rgb="FFF8696B"/>
        <color rgb="FFFFEB84"/>
        <color rgb="FF63BE7B"/>
      </colorScale>
    </cfRule>
  </conditionalFormatting>
  <conditionalFormatting sqref="L17:Q17">
    <cfRule type="colorScale" priority="15">
      <colorScale>
        <cfvo type="min"/>
        <cfvo type="max"/>
        <color rgb="FFFFEF9C"/>
        <color rgb="FF63BE7B"/>
      </colorScale>
    </cfRule>
  </conditionalFormatting>
  <conditionalFormatting sqref="L18:Q18">
    <cfRule type="dataBar" priority="14">
      <dataBar>
        <cfvo type="min"/>
        <cfvo type="max"/>
        <color rgb="FF63C384"/>
      </dataBar>
      <extLst>
        <ext xmlns:x14="http://schemas.microsoft.com/office/spreadsheetml/2009/9/main" uri="{B025F937-C7B1-47D3-B67F-A62EFF666E3E}">
          <x14:id>{BD603D28-BFD5-40DD-AF01-274EE0205B81}</x14:id>
        </ext>
      </extLst>
    </cfRule>
  </conditionalFormatting>
  <conditionalFormatting sqref="L19:Q19">
    <cfRule type="colorScale" priority="11">
      <colorScale>
        <cfvo type="num" val="8"/>
        <cfvo type="percentile" val="50"/>
        <cfvo type="num" val="45"/>
        <color rgb="FF63BE7B"/>
        <color rgb="FFFFEB84"/>
        <color rgb="FFF8696B"/>
      </colorScale>
    </cfRule>
  </conditionalFormatting>
  <conditionalFormatting sqref="L20:Q20">
    <cfRule type="colorScale" priority="10">
      <colorScale>
        <cfvo type="num" val="1"/>
        <cfvo type="percentile" val="50"/>
        <cfvo type="num" val="6"/>
        <color rgb="FFF8696B"/>
        <color rgb="FFFFEB84"/>
        <color rgb="FF63BE7B"/>
      </colorScale>
    </cfRule>
  </conditionalFormatting>
  <conditionalFormatting sqref="L21:Q21">
    <cfRule type="colorScale" priority="9">
      <colorScale>
        <cfvo type="num" val="12"/>
        <cfvo type="percentile" val="50"/>
        <cfvo type="num" val="18"/>
        <color rgb="FF63BE7B"/>
        <color rgb="FFFFEB84"/>
        <color rgb="FFF8696B"/>
      </colorScale>
    </cfRule>
  </conditionalFormatting>
  <conditionalFormatting sqref="L22:Q22">
    <cfRule type="colorScale" priority="8">
      <colorScale>
        <cfvo type="min"/>
        <cfvo type="percentile" val="50"/>
        <cfvo type="num" val="2"/>
        <color rgb="FF63BE7B"/>
        <color rgb="FFFFEB84"/>
        <color rgb="FFF8696B"/>
      </colorScale>
    </cfRule>
  </conditionalFormatting>
  <conditionalFormatting sqref="L23:Q23">
    <cfRule type="colorScale" priority="7">
      <colorScale>
        <cfvo type="num" val="0.4"/>
        <cfvo type="percentile" val="50"/>
        <cfvo type="num" val="0.5"/>
        <color rgb="FFF8696B"/>
        <color rgb="FFFFEB84"/>
        <color rgb="FF63BE7B"/>
      </colorScale>
    </cfRule>
  </conditionalFormatting>
  <conditionalFormatting sqref="L24:Q24">
    <cfRule type="colorScale" priority="6">
      <colorScale>
        <cfvo type="num" val="1.5"/>
        <cfvo type="percentile" val="50"/>
        <cfvo type="num" val="2"/>
        <color rgb="FF63BE7B"/>
        <color rgb="FFFFEB84"/>
        <color rgb="FFF8696B"/>
      </colorScale>
    </cfRule>
  </conditionalFormatting>
  <conditionalFormatting sqref="L25:Q25">
    <cfRule type="cellIs" dxfId="37" priority="4" operator="lessThan">
      <formula>0</formula>
    </cfRule>
    <cfRule type="cellIs" dxfId="36" priority="5" operator="greaterThan">
      <formula>0</formula>
    </cfRule>
  </conditionalFormatting>
  <conditionalFormatting sqref="L26:Q26">
    <cfRule type="colorScale" priority="3">
      <colorScale>
        <cfvo type="min"/>
        <cfvo type="max"/>
        <color rgb="FFFFEF9C"/>
        <color rgb="FF63BE7B"/>
      </colorScale>
    </cfRule>
  </conditionalFormatting>
  <conditionalFormatting sqref="U3:Z3">
    <cfRule type="colorScale" priority="154">
      <colorScale>
        <cfvo type="num" val="1.2"/>
        <cfvo type="percentile" val="50"/>
        <cfvo type="num" val="1.5"/>
        <color rgb="FFF8696B"/>
        <color rgb="FFFFEB84"/>
        <color rgb="FF63BE7B"/>
      </colorScale>
    </cfRule>
  </conditionalFormatting>
  <conditionalFormatting sqref="U4:Z4">
    <cfRule type="colorScale" priority="153">
      <colorScale>
        <cfvo type="num" val="0.99"/>
        <cfvo type="percentile" val="50"/>
        <cfvo type="num" val="1"/>
        <color rgb="FFF8696B"/>
        <color rgb="FFFFEB84"/>
        <color rgb="FF63BE7B"/>
      </colorScale>
    </cfRule>
  </conditionalFormatting>
  <conditionalFormatting sqref="U5:Z5">
    <cfRule type="colorScale" priority="152">
      <colorScale>
        <cfvo type="num" val="1"/>
        <cfvo type="percentile" val="50"/>
        <cfvo type="num" val="2"/>
        <color rgb="FF63BE7B"/>
        <color rgb="FFFFEB84"/>
        <color rgb="FFF8696B"/>
      </colorScale>
    </cfRule>
  </conditionalFormatting>
  <conditionalFormatting sqref="U6:Z6">
    <cfRule type="colorScale" priority="151">
      <colorScale>
        <cfvo type="num" val="2"/>
        <cfvo type="percentile" val="50"/>
        <cfvo type="num" val="3"/>
        <color rgb="FFF8696B"/>
        <color rgb="FFFFEB84"/>
        <color rgb="FF63BE7B"/>
      </colorScale>
    </cfRule>
  </conditionalFormatting>
  <conditionalFormatting sqref="U7:Z7">
    <cfRule type="colorScale" priority="150">
      <colorScale>
        <cfvo type="num" val="0.5"/>
        <cfvo type="percentile" val="50"/>
        <cfvo type="num" val="0.6"/>
        <color rgb="FF63BE7B"/>
        <color rgb="FFFFEB84"/>
        <color rgb="FFF8696B"/>
      </colorScale>
    </cfRule>
  </conditionalFormatting>
  <conditionalFormatting sqref="U8:Z8">
    <cfRule type="colorScale" priority="149">
      <colorScale>
        <cfvo type="num" val="4.9000000000000002E-2"/>
        <cfvo type="percentile" val="50"/>
        <cfvo type="num" val="0.05"/>
        <color rgb="FFF8696B"/>
        <color rgb="FFFFEB84"/>
        <color rgb="FF63BE7B"/>
      </colorScale>
    </cfRule>
  </conditionalFormatting>
  <conditionalFormatting sqref="U9:Z9">
    <cfRule type="colorScale" priority="148">
      <colorScale>
        <cfvo type="num" val="0.08"/>
        <cfvo type="percentile" val="50"/>
        <cfvo type="num" val="0.15"/>
        <color rgb="FFF8696B"/>
        <color rgb="FFFFEB84"/>
        <color rgb="FF63BE7B"/>
      </colorScale>
    </cfRule>
  </conditionalFormatting>
  <conditionalFormatting sqref="U10:Z10">
    <cfRule type="colorScale" priority="147">
      <colorScale>
        <cfvo type="num" val="0.2"/>
        <cfvo type="percentile" val="50"/>
        <cfvo type="num" val="0.21"/>
        <color rgb="FFF8696B"/>
        <color rgb="FFFFEB84"/>
        <color rgb="FF63BE7B"/>
      </colorScale>
    </cfRule>
  </conditionalFormatting>
  <conditionalFormatting sqref="U11:Z11">
    <cfRule type="colorScale" priority="146">
      <colorScale>
        <cfvo type="num" val="0.1"/>
        <cfvo type="percentile" val="50"/>
        <cfvo type="num" val="0.15"/>
        <color rgb="FFF8696B"/>
        <color rgb="FFFFEB84"/>
        <color rgb="FF63BE7B"/>
      </colorScale>
    </cfRule>
  </conditionalFormatting>
  <conditionalFormatting sqref="U12:Z12">
    <cfRule type="colorScale" priority="145">
      <colorScale>
        <cfvo type="num" val="0.1"/>
        <cfvo type="percentile" val="50"/>
        <cfvo type="max"/>
        <color rgb="FFF8696B"/>
        <color rgb="FFFFEB84"/>
        <color rgb="FF63BE7B"/>
      </colorScale>
    </cfRule>
  </conditionalFormatting>
  <conditionalFormatting sqref="U13:Z13">
    <cfRule type="colorScale" priority="144">
      <colorScale>
        <cfvo type="num" val="0.05"/>
        <cfvo type="num" val="0.08"/>
        <cfvo type="max"/>
        <color rgb="FFF8696B"/>
        <color rgb="FFFFEB84"/>
        <color rgb="FF63BE7B"/>
      </colorScale>
    </cfRule>
  </conditionalFormatting>
  <conditionalFormatting sqref="U14:Z14">
    <cfRule type="colorScale" priority="143">
      <colorScale>
        <cfvo type="num" val="6"/>
        <cfvo type="percentile" val="50"/>
        <cfvo type="max"/>
        <color rgb="FFF8696B"/>
        <color rgb="FFFFEB84"/>
        <color rgb="FF63BE7B"/>
      </colorScale>
    </cfRule>
  </conditionalFormatting>
  <conditionalFormatting sqref="U15:Z15">
    <cfRule type="colorScale" priority="142">
      <colorScale>
        <cfvo type="num" val="6"/>
        <cfvo type="percentile" val="50"/>
        <cfvo type="num" val="8"/>
        <color rgb="FFF8696B"/>
        <color rgb="FFFFEB84"/>
        <color rgb="FF63BE7B"/>
      </colorScale>
    </cfRule>
  </conditionalFormatting>
  <conditionalFormatting sqref="U16:Z16">
    <cfRule type="colorScale" priority="141">
      <colorScale>
        <cfvo type="num" val="1"/>
        <cfvo type="percentile" val="50"/>
        <cfvo type="num" val="1.2"/>
        <color rgb="FFF8696B"/>
        <color rgb="FFFFEB84"/>
        <color rgb="FF63BE7B"/>
      </colorScale>
    </cfRule>
  </conditionalFormatting>
  <conditionalFormatting sqref="U17:Z17">
    <cfRule type="colorScale" priority="140">
      <colorScale>
        <cfvo type="num" val="0"/>
        <cfvo type="percentile" val="50"/>
        <cfvo type="max"/>
        <color rgb="FFF8696B"/>
        <color rgb="FFFFEB84"/>
        <color rgb="FF63BE7B"/>
      </colorScale>
    </cfRule>
  </conditionalFormatting>
  <conditionalFormatting sqref="U18:Z18">
    <cfRule type="colorScale" priority="139">
      <colorScale>
        <cfvo type="min"/>
        <cfvo type="max"/>
        <color rgb="FFFFEF9C"/>
        <color rgb="FF63BE7B"/>
      </colorScale>
    </cfRule>
  </conditionalFormatting>
  <conditionalFormatting sqref="U19:Z19">
    <cfRule type="colorScale" priority="138">
      <colorScale>
        <cfvo type="num" val="10"/>
        <cfvo type="percentile" val="50"/>
        <cfvo type="num" val="50"/>
        <color rgb="FF63BE7B"/>
        <color rgb="FFFFEB84"/>
        <color rgb="FFF8696B"/>
      </colorScale>
    </cfRule>
  </conditionalFormatting>
  <conditionalFormatting sqref="U20:Z20">
    <cfRule type="colorScale" priority="137">
      <colorScale>
        <cfvo type="num" val="1"/>
        <cfvo type="percentile" val="50"/>
        <cfvo type="num" val="6"/>
        <color rgb="FFF8696B"/>
        <color rgb="FFFFEB84"/>
        <color rgb="FF63BE7B"/>
      </colorScale>
    </cfRule>
  </conditionalFormatting>
  <conditionalFormatting sqref="U21:Z21">
    <cfRule type="colorScale" priority="136">
      <colorScale>
        <cfvo type="num" val="12"/>
        <cfvo type="percentile" val="50"/>
        <cfvo type="num" val="18"/>
        <color rgb="FF63BE7B"/>
        <color rgb="FFFFEB84"/>
        <color rgb="FFF8696B"/>
      </colorScale>
    </cfRule>
  </conditionalFormatting>
  <conditionalFormatting sqref="U22:Z22">
    <cfRule type="colorScale" priority="135">
      <colorScale>
        <cfvo type="num" val="1"/>
        <cfvo type="percentile" val="50"/>
        <cfvo type="num" val="2"/>
        <color rgb="FF63BE7B"/>
        <color rgb="FFFFEB84"/>
        <color rgb="FFF8696B"/>
      </colorScale>
    </cfRule>
  </conditionalFormatting>
  <conditionalFormatting sqref="U23:Z23">
    <cfRule type="colorScale" priority="134">
      <colorScale>
        <cfvo type="num" val="0.4"/>
        <cfvo type="percentile" val="50"/>
        <cfvo type="num" val="0.5"/>
        <color rgb="FFF8696B"/>
        <color rgb="FFFFEB84"/>
        <color rgb="FF63BE7B"/>
      </colorScale>
    </cfRule>
  </conditionalFormatting>
  <conditionalFormatting sqref="U24:Z24">
    <cfRule type="colorScale" priority="133">
      <colorScale>
        <cfvo type="num" val="1.5"/>
        <cfvo type="percentile" val="50"/>
        <cfvo type="num" val="2"/>
        <color rgb="FF63BE7B"/>
        <color rgb="FFFFEB84"/>
        <color rgb="FFF8696B"/>
      </colorScale>
    </cfRule>
  </conditionalFormatting>
  <conditionalFormatting sqref="U25:Z25">
    <cfRule type="cellIs" dxfId="35" priority="131" operator="lessThan">
      <formula>0</formula>
    </cfRule>
    <cfRule type="cellIs" dxfId="34" priority="132" operator="greaterThan">
      <formula>0</formula>
    </cfRule>
  </conditionalFormatting>
  <conditionalFormatting sqref="U26:Z26">
    <cfRule type="colorScale" priority="130">
      <colorScale>
        <cfvo type="min"/>
        <cfvo type="percentile" val="50"/>
        <cfvo type="max"/>
        <color rgb="FFF8696B"/>
        <color rgb="FFFFEB84"/>
        <color rgb="FF63BE7B"/>
      </colorScale>
    </cfRule>
  </conditionalFormatting>
  <conditionalFormatting sqref="AD26:AH26">
    <cfRule type="cellIs" dxfId="33" priority="2" operator="greaterThan">
      <formula>0</formula>
    </cfRule>
    <cfRule type="cellIs" dxfId="32" priority="1" operator="lessThan">
      <formula>0</formula>
    </cfRule>
  </conditionalFormatting>
  <conditionalFormatting sqref="AD27:AH28 AI26">
    <cfRule type="colorScale" priority="105">
      <colorScale>
        <cfvo type="min"/>
        <cfvo type="percentile" val="50"/>
        <cfvo type="max"/>
        <color rgb="FFF8696B"/>
        <color rgb="FFFFEB84"/>
        <color rgb="FF63BE7B"/>
      </colorScale>
    </cfRule>
  </conditionalFormatting>
  <conditionalFormatting sqref="AD3:AI3">
    <cfRule type="colorScale" priority="129">
      <colorScale>
        <cfvo type="num" val="1.2"/>
        <cfvo type="percentile" val="50"/>
        <cfvo type="num" val="1.5"/>
        <color rgb="FFF8696B"/>
        <color rgb="FFFFEB84"/>
        <color rgb="FF63BE7B"/>
      </colorScale>
    </cfRule>
  </conditionalFormatting>
  <conditionalFormatting sqref="AD4:AI4">
    <cfRule type="colorScale" priority="128">
      <colorScale>
        <cfvo type="num" val="0.99"/>
        <cfvo type="percentile" val="50"/>
        <cfvo type="num" val="1"/>
        <color rgb="FFF8696B"/>
        <color rgb="FFFFEB84"/>
        <color rgb="FF63BE7B"/>
      </colorScale>
    </cfRule>
  </conditionalFormatting>
  <conditionalFormatting sqref="AD5:AI5">
    <cfRule type="colorScale" priority="127">
      <colorScale>
        <cfvo type="num" val="1"/>
        <cfvo type="percentile" val="50"/>
        <cfvo type="num" val="2"/>
        <color rgb="FF63BE7B"/>
        <color rgb="FFFFEB84"/>
        <color rgb="FFF8696B"/>
      </colorScale>
    </cfRule>
  </conditionalFormatting>
  <conditionalFormatting sqref="AD6:AI6">
    <cfRule type="colorScale" priority="126">
      <colorScale>
        <cfvo type="num" val="2"/>
        <cfvo type="percentile" val="50"/>
        <cfvo type="num" val="3"/>
        <color rgb="FFF8696B"/>
        <color rgb="FFFFEB84"/>
        <color rgb="FF63BE7B"/>
      </colorScale>
    </cfRule>
  </conditionalFormatting>
  <conditionalFormatting sqref="AD7:AI7">
    <cfRule type="colorScale" priority="125">
      <colorScale>
        <cfvo type="num" val="0.5"/>
        <cfvo type="percentile" val="50"/>
        <cfvo type="num" val="0.6"/>
        <color rgb="FF63BE7B"/>
        <color rgb="FFFFEB84"/>
        <color rgb="FFF8696B"/>
      </colorScale>
    </cfRule>
  </conditionalFormatting>
  <conditionalFormatting sqref="AD8:AI8">
    <cfRule type="colorScale" priority="124">
      <colorScale>
        <cfvo type="num" val="4.9000000000000002E-2"/>
        <cfvo type="percentile" val="50"/>
        <cfvo type="num" val="0.05"/>
        <color rgb="FFF8696B"/>
        <color rgb="FFFFEB84"/>
        <color rgb="FF63BE7B"/>
      </colorScale>
    </cfRule>
  </conditionalFormatting>
  <conditionalFormatting sqref="AD9:AI9">
    <cfRule type="colorScale" priority="123">
      <colorScale>
        <cfvo type="num" val="0.08"/>
        <cfvo type="percentile" val="50"/>
        <cfvo type="num" val="0.15"/>
        <color rgb="FFF8696B"/>
        <color rgb="FFFFEB84"/>
        <color rgb="FF63BE7B"/>
      </colorScale>
    </cfRule>
  </conditionalFormatting>
  <conditionalFormatting sqref="AD10:AI10">
    <cfRule type="colorScale" priority="122">
      <colorScale>
        <cfvo type="num" val="0.2"/>
        <cfvo type="percentile" val="50"/>
        <cfvo type="num" val="0.21"/>
        <color rgb="FFF8696B"/>
        <color rgb="FFFFEB84"/>
        <color rgb="FF63BE7B"/>
      </colorScale>
    </cfRule>
  </conditionalFormatting>
  <conditionalFormatting sqref="AD11:AI11">
    <cfRule type="colorScale" priority="121">
      <colorScale>
        <cfvo type="num" val="0.1"/>
        <cfvo type="percentile" val="50"/>
        <cfvo type="num" val="0.15"/>
        <color rgb="FFF8696B"/>
        <color rgb="FFFFEB84"/>
        <color rgb="FF63BE7B"/>
      </colorScale>
    </cfRule>
  </conditionalFormatting>
  <conditionalFormatting sqref="AD12:AI12">
    <cfRule type="colorScale" priority="120">
      <colorScale>
        <cfvo type="num" val="0.1"/>
        <cfvo type="percentile" val="50"/>
        <cfvo type="max"/>
        <color rgb="FFF8696B"/>
        <color rgb="FFFFEB84"/>
        <color rgb="FF63BE7B"/>
      </colorScale>
    </cfRule>
  </conditionalFormatting>
  <conditionalFormatting sqref="AD13:AI13">
    <cfRule type="colorScale" priority="119">
      <colorScale>
        <cfvo type="num" val="0.05"/>
        <cfvo type="num" val="0.08"/>
        <cfvo type="max"/>
        <color rgb="FFF8696B"/>
        <color rgb="FFFFEB84"/>
        <color rgb="FF63BE7B"/>
      </colorScale>
    </cfRule>
  </conditionalFormatting>
  <conditionalFormatting sqref="AD14:AI14">
    <cfRule type="colorScale" priority="118">
      <colorScale>
        <cfvo type="num" val="6"/>
        <cfvo type="percentile" val="50"/>
        <cfvo type="max"/>
        <color rgb="FFF8696B"/>
        <color rgb="FFFFEB84"/>
        <color rgb="FF63BE7B"/>
      </colorScale>
    </cfRule>
  </conditionalFormatting>
  <conditionalFormatting sqref="AD15:AI15">
    <cfRule type="colorScale" priority="117">
      <colorScale>
        <cfvo type="num" val="6"/>
        <cfvo type="percentile" val="50"/>
        <cfvo type="num" val="8"/>
        <color rgb="FFF8696B"/>
        <color rgb="FFFFEB84"/>
        <color rgb="FF63BE7B"/>
      </colorScale>
    </cfRule>
  </conditionalFormatting>
  <conditionalFormatting sqref="AD16:AI16">
    <cfRule type="colorScale" priority="116">
      <colorScale>
        <cfvo type="num" val="1"/>
        <cfvo type="percentile" val="50"/>
        <cfvo type="num" val="1.2"/>
        <color rgb="FFF8696B"/>
        <color rgb="FFFFEB84"/>
        <color rgb="FF63BE7B"/>
      </colorScale>
    </cfRule>
  </conditionalFormatting>
  <conditionalFormatting sqref="AD17:AI17">
    <cfRule type="colorScale" priority="115">
      <colorScale>
        <cfvo type="num" val="0"/>
        <cfvo type="percentile" val="50"/>
        <cfvo type="max"/>
        <color rgb="FFF8696B"/>
        <color rgb="FFFFEB84"/>
        <color rgb="FF63BE7B"/>
      </colorScale>
    </cfRule>
  </conditionalFormatting>
  <conditionalFormatting sqref="AD18:AI18">
    <cfRule type="colorScale" priority="114">
      <colorScale>
        <cfvo type="min"/>
        <cfvo type="max"/>
        <color rgb="FFFFEF9C"/>
        <color rgb="FF63BE7B"/>
      </colorScale>
    </cfRule>
  </conditionalFormatting>
  <conditionalFormatting sqref="AD19:AI19">
    <cfRule type="colorScale" priority="113">
      <colorScale>
        <cfvo type="num" val="10"/>
        <cfvo type="percentile" val="50"/>
        <cfvo type="num" val="50"/>
        <color rgb="FF63BE7B"/>
        <color rgb="FFFFEB84"/>
        <color rgb="FFF8696B"/>
      </colorScale>
    </cfRule>
  </conditionalFormatting>
  <conditionalFormatting sqref="AD20:AI20">
    <cfRule type="colorScale" priority="112">
      <colorScale>
        <cfvo type="num" val="1"/>
        <cfvo type="percentile" val="50"/>
        <cfvo type="num" val="6"/>
        <color rgb="FFF8696B"/>
        <color rgb="FFFFEB84"/>
        <color rgb="FF63BE7B"/>
      </colorScale>
    </cfRule>
  </conditionalFormatting>
  <conditionalFormatting sqref="AD21:AI21">
    <cfRule type="colorScale" priority="111">
      <colorScale>
        <cfvo type="num" val="12"/>
        <cfvo type="percentile" val="50"/>
        <cfvo type="num" val="18"/>
        <color rgb="FF63BE7B"/>
        <color rgb="FFFFEB84"/>
        <color rgb="FFF8696B"/>
      </colorScale>
    </cfRule>
  </conditionalFormatting>
  <conditionalFormatting sqref="AD22:AI22">
    <cfRule type="colorScale" priority="110">
      <colorScale>
        <cfvo type="num" val="1"/>
        <cfvo type="percentile" val="50"/>
        <cfvo type="num" val="2"/>
        <color rgb="FF63BE7B"/>
        <color rgb="FFFFEB84"/>
        <color rgb="FFF8696B"/>
      </colorScale>
    </cfRule>
  </conditionalFormatting>
  <conditionalFormatting sqref="AD23:AI23">
    <cfRule type="colorScale" priority="109">
      <colorScale>
        <cfvo type="num" val="0.4"/>
        <cfvo type="percentile" val="50"/>
        <cfvo type="num" val="0.5"/>
        <color rgb="FFF8696B"/>
        <color rgb="FFFFEB84"/>
        <color rgb="FF63BE7B"/>
      </colorScale>
    </cfRule>
  </conditionalFormatting>
  <conditionalFormatting sqref="AD24:AI24">
    <cfRule type="colorScale" priority="108">
      <colorScale>
        <cfvo type="num" val="1.5"/>
        <cfvo type="percentile" val="50"/>
        <cfvo type="num" val="2"/>
        <color rgb="FF63BE7B"/>
        <color rgb="FFFFEB84"/>
        <color rgb="FFF8696B"/>
      </colorScale>
    </cfRule>
  </conditionalFormatting>
  <conditionalFormatting sqref="AD25:AI25">
    <cfRule type="cellIs" dxfId="31" priority="106" operator="lessThan">
      <formula>0</formula>
    </cfRule>
    <cfRule type="cellIs" dxfId="30" priority="107" operator="greaterThan">
      <formula>0</formula>
    </cfRule>
  </conditionalFormatting>
  <conditionalFormatting sqref="AM3:AR3">
    <cfRule type="colorScale" priority="104">
      <colorScale>
        <cfvo type="num" val="1.2"/>
        <cfvo type="percentile" val="50"/>
        <cfvo type="num" val="1.5"/>
        <color rgb="FFF8696B"/>
        <color rgb="FFFFEB84"/>
        <color rgb="FF63BE7B"/>
      </colorScale>
    </cfRule>
  </conditionalFormatting>
  <conditionalFormatting sqref="AM4:AR4">
    <cfRule type="colorScale" priority="103">
      <colorScale>
        <cfvo type="num" val="0.99"/>
        <cfvo type="percentile" val="50"/>
        <cfvo type="num" val="1"/>
        <color rgb="FFF8696B"/>
        <color rgb="FFFFEB84"/>
        <color rgb="FF63BE7B"/>
      </colorScale>
    </cfRule>
  </conditionalFormatting>
  <conditionalFormatting sqref="AM5:AR5">
    <cfRule type="colorScale" priority="102">
      <colorScale>
        <cfvo type="num" val="1"/>
        <cfvo type="percentile" val="50"/>
        <cfvo type="num" val="2"/>
        <color rgb="FF63BE7B"/>
        <color rgb="FFFFEB84"/>
        <color rgb="FFF8696B"/>
      </colorScale>
    </cfRule>
  </conditionalFormatting>
  <conditionalFormatting sqref="AM6:AR6">
    <cfRule type="colorScale" priority="101">
      <colorScale>
        <cfvo type="num" val="2"/>
        <cfvo type="percentile" val="50"/>
        <cfvo type="num" val="3"/>
        <color rgb="FFF8696B"/>
        <color rgb="FFFFEB84"/>
        <color rgb="FF63BE7B"/>
      </colorScale>
    </cfRule>
  </conditionalFormatting>
  <conditionalFormatting sqref="AM7:AR7">
    <cfRule type="colorScale" priority="100">
      <colorScale>
        <cfvo type="num" val="0.5"/>
        <cfvo type="percentile" val="50"/>
        <cfvo type="num" val="0.6"/>
        <color rgb="FF63BE7B"/>
        <color rgb="FFFFEB84"/>
        <color rgb="FFF8696B"/>
      </colorScale>
    </cfRule>
  </conditionalFormatting>
  <conditionalFormatting sqref="AM8:AR8">
    <cfRule type="colorScale" priority="99">
      <colorScale>
        <cfvo type="num" val="4.9000000000000002E-2"/>
        <cfvo type="percentile" val="50"/>
        <cfvo type="num" val="0.05"/>
        <color rgb="FFF8696B"/>
        <color rgb="FFFFEB84"/>
        <color rgb="FF63BE7B"/>
      </colorScale>
    </cfRule>
  </conditionalFormatting>
  <conditionalFormatting sqref="AM9:AR9">
    <cfRule type="colorScale" priority="98">
      <colorScale>
        <cfvo type="num" val="0.08"/>
        <cfvo type="percentile" val="50"/>
        <cfvo type="num" val="0.15"/>
        <color rgb="FFF8696B"/>
        <color rgb="FFFFEB84"/>
        <color rgb="FF63BE7B"/>
      </colorScale>
    </cfRule>
  </conditionalFormatting>
  <conditionalFormatting sqref="AM10:AR10">
    <cfRule type="colorScale" priority="97">
      <colorScale>
        <cfvo type="num" val="0.2"/>
        <cfvo type="percentile" val="50"/>
        <cfvo type="num" val="0.21"/>
        <color rgb="FFF8696B"/>
        <color rgb="FFFFEB84"/>
        <color rgb="FF63BE7B"/>
      </colorScale>
    </cfRule>
  </conditionalFormatting>
  <conditionalFormatting sqref="AM11:AR11">
    <cfRule type="colorScale" priority="96">
      <colorScale>
        <cfvo type="num" val="0.1"/>
        <cfvo type="percentile" val="50"/>
        <cfvo type="num" val="0.15"/>
        <color rgb="FFF8696B"/>
        <color rgb="FFFFEB84"/>
        <color rgb="FF63BE7B"/>
      </colorScale>
    </cfRule>
  </conditionalFormatting>
  <conditionalFormatting sqref="AM12:AR12">
    <cfRule type="colorScale" priority="95">
      <colorScale>
        <cfvo type="num" val="0.1"/>
        <cfvo type="percentile" val="50"/>
        <cfvo type="max"/>
        <color rgb="FFF8696B"/>
        <color rgb="FFFFEB84"/>
        <color rgb="FF63BE7B"/>
      </colorScale>
    </cfRule>
  </conditionalFormatting>
  <conditionalFormatting sqref="AM13:AR13">
    <cfRule type="colorScale" priority="94">
      <colorScale>
        <cfvo type="num" val="0.05"/>
        <cfvo type="num" val="0.08"/>
        <cfvo type="max"/>
        <color rgb="FFF8696B"/>
        <color rgb="FFFFEB84"/>
        <color rgb="FF63BE7B"/>
      </colorScale>
    </cfRule>
  </conditionalFormatting>
  <conditionalFormatting sqref="AM14:AR14">
    <cfRule type="colorScale" priority="93">
      <colorScale>
        <cfvo type="num" val="6"/>
        <cfvo type="percentile" val="50"/>
        <cfvo type="max"/>
        <color rgb="FFF8696B"/>
        <color rgb="FFFFEB84"/>
        <color rgb="FF63BE7B"/>
      </colorScale>
    </cfRule>
  </conditionalFormatting>
  <conditionalFormatting sqref="AM15:AR15">
    <cfRule type="colorScale" priority="92">
      <colorScale>
        <cfvo type="num" val="6"/>
        <cfvo type="percentile" val="50"/>
        <cfvo type="num" val="8"/>
        <color rgb="FFF8696B"/>
        <color rgb="FFFFEB84"/>
        <color rgb="FF63BE7B"/>
      </colorScale>
    </cfRule>
  </conditionalFormatting>
  <conditionalFormatting sqref="AM16:AR16">
    <cfRule type="colorScale" priority="91">
      <colorScale>
        <cfvo type="num" val="1"/>
        <cfvo type="percentile" val="50"/>
        <cfvo type="num" val="1.2"/>
        <color rgb="FFF8696B"/>
        <color rgb="FFFFEB84"/>
        <color rgb="FF63BE7B"/>
      </colorScale>
    </cfRule>
  </conditionalFormatting>
  <conditionalFormatting sqref="AM17:AR17">
    <cfRule type="colorScale" priority="90">
      <colorScale>
        <cfvo type="num" val="0"/>
        <cfvo type="percentile" val="50"/>
        <cfvo type="max"/>
        <color rgb="FFF8696B"/>
        <color rgb="FFFFEB84"/>
        <color rgb="FF63BE7B"/>
      </colorScale>
    </cfRule>
  </conditionalFormatting>
  <conditionalFormatting sqref="AM18:AR18">
    <cfRule type="colorScale" priority="89">
      <colorScale>
        <cfvo type="min"/>
        <cfvo type="max"/>
        <color rgb="FFFFEF9C"/>
        <color rgb="FF63BE7B"/>
      </colorScale>
    </cfRule>
  </conditionalFormatting>
  <conditionalFormatting sqref="AM19:AR19">
    <cfRule type="colorScale" priority="88">
      <colorScale>
        <cfvo type="num" val="10"/>
        <cfvo type="percentile" val="50"/>
        <cfvo type="num" val="50"/>
        <color rgb="FF63BE7B"/>
        <color rgb="FFFFEB84"/>
        <color rgb="FFF8696B"/>
      </colorScale>
    </cfRule>
  </conditionalFormatting>
  <conditionalFormatting sqref="AM20:AR20">
    <cfRule type="colorScale" priority="87">
      <colorScale>
        <cfvo type="num" val="1"/>
        <cfvo type="percentile" val="50"/>
        <cfvo type="num" val="6"/>
        <color rgb="FFF8696B"/>
        <color rgb="FFFFEB84"/>
        <color rgb="FF63BE7B"/>
      </colorScale>
    </cfRule>
  </conditionalFormatting>
  <conditionalFormatting sqref="AM21:AR21">
    <cfRule type="colorScale" priority="86">
      <colorScale>
        <cfvo type="num" val="12"/>
        <cfvo type="percentile" val="50"/>
        <cfvo type="num" val="18"/>
        <color rgb="FF63BE7B"/>
        <color rgb="FFFFEB84"/>
        <color rgb="FFF8696B"/>
      </colorScale>
    </cfRule>
  </conditionalFormatting>
  <conditionalFormatting sqref="AM22:AR22">
    <cfRule type="colorScale" priority="85">
      <colorScale>
        <cfvo type="num" val="1"/>
        <cfvo type="percentile" val="50"/>
        <cfvo type="num" val="2"/>
        <color rgb="FF63BE7B"/>
        <color rgb="FFFFEB84"/>
        <color rgb="FFF8696B"/>
      </colorScale>
    </cfRule>
  </conditionalFormatting>
  <conditionalFormatting sqref="AM23:AR23">
    <cfRule type="colorScale" priority="84">
      <colorScale>
        <cfvo type="num" val="0.4"/>
        <cfvo type="percentile" val="50"/>
        <cfvo type="num" val="0.5"/>
        <color rgb="FFF8696B"/>
        <color rgb="FFFFEB84"/>
        <color rgb="FF63BE7B"/>
      </colorScale>
    </cfRule>
  </conditionalFormatting>
  <conditionalFormatting sqref="AM24:AR24">
    <cfRule type="colorScale" priority="83">
      <colorScale>
        <cfvo type="num" val="1.5"/>
        <cfvo type="percentile" val="50"/>
        <cfvo type="num" val="2"/>
        <color rgb="FF63BE7B"/>
        <color rgb="FFFFEB84"/>
        <color rgb="FFF8696B"/>
      </colorScale>
    </cfRule>
  </conditionalFormatting>
  <conditionalFormatting sqref="AM25:AR25">
    <cfRule type="cellIs" dxfId="29" priority="82" operator="greaterThan">
      <formula>0</formula>
    </cfRule>
    <cfRule type="cellIs" dxfId="28" priority="81" operator="lessThan">
      <formula>0</formula>
    </cfRule>
  </conditionalFormatting>
  <conditionalFormatting sqref="AM26:AR26">
    <cfRule type="colorScale" priority="80">
      <colorScale>
        <cfvo type="min"/>
        <cfvo type="percentile" val="50"/>
        <cfvo type="max"/>
        <color rgb="FFF8696B"/>
        <color rgb="FFFFEB84"/>
        <color rgb="FF63BE7B"/>
      </colorScale>
    </cfRule>
  </conditionalFormatting>
  <conditionalFormatting sqref="AV3:BA3">
    <cfRule type="colorScale" priority="79">
      <colorScale>
        <cfvo type="num" val="1.2"/>
        <cfvo type="percentile" val="50"/>
        <cfvo type="num" val="1.5"/>
        <color rgb="FFF8696B"/>
        <color rgb="FFFFEB84"/>
        <color rgb="FF63BE7B"/>
      </colorScale>
    </cfRule>
  </conditionalFormatting>
  <conditionalFormatting sqref="AV4:BA4">
    <cfRule type="colorScale" priority="78">
      <colorScale>
        <cfvo type="num" val="0.99"/>
        <cfvo type="percentile" val="50"/>
        <cfvo type="num" val="1"/>
        <color rgb="FFF8696B"/>
        <color rgb="FFFFEB84"/>
        <color rgb="FF63BE7B"/>
      </colorScale>
    </cfRule>
  </conditionalFormatting>
  <conditionalFormatting sqref="AV5:BA5">
    <cfRule type="colorScale" priority="77">
      <colorScale>
        <cfvo type="num" val="1"/>
        <cfvo type="percentile" val="50"/>
        <cfvo type="num" val="2"/>
        <color rgb="FF63BE7B"/>
        <color rgb="FFFFEB84"/>
        <color rgb="FFF8696B"/>
      </colorScale>
    </cfRule>
  </conditionalFormatting>
  <conditionalFormatting sqref="AV6:BA6">
    <cfRule type="colorScale" priority="76">
      <colorScale>
        <cfvo type="num" val="2"/>
        <cfvo type="percentile" val="50"/>
        <cfvo type="num" val="3"/>
        <color rgb="FFF8696B"/>
        <color rgb="FFFFEB84"/>
        <color rgb="FF63BE7B"/>
      </colorScale>
    </cfRule>
  </conditionalFormatting>
  <conditionalFormatting sqref="AV7:BA7">
    <cfRule type="colorScale" priority="75">
      <colorScale>
        <cfvo type="num" val="0.5"/>
        <cfvo type="percentile" val="50"/>
        <cfvo type="num" val="0.6"/>
        <color rgb="FF63BE7B"/>
        <color rgb="FFFFEB84"/>
        <color rgb="FFF8696B"/>
      </colorScale>
    </cfRule>
  </conditionalFormatting>
  <conditionalFormatting sqref="AV8:BA8">
    <cfRule type="colorScale" priority="74">
      <colorScale>
        <cfvo type="num" val="4.9000000000000002E-2"/>
        <cfvo type="percentile" val="50"/>
        <cfvo type="num" val="0.05"/>
        <color rgb="FFF8696B"/>
        <color rgb="FFFFEB84"/>
        <color rgb="FF63BE7B"/>
      </colorScale>
    </cfRule>
  </conditionalFormatting>
  <conditionalFormatting sqref="AV9:BA9">
    <cfRule type="colorScale" priority="73">
      <colorScale>
        <cfvo type="num" val="0.08"/>
        <cfvo type="percentile" val="50"/>
        <cfvo type="num" val="0.15"/>
        <color rgb="FFF8696B"/>
        <color rgb="FFFFEB84"/>
        <color rgb="FF63BE7B"/>
      </colorScale>
    </cfRule>
  </conditionalFormatting>
  <conditionalFormatting sqref="AV10:BA10">
    <cfRule type="colorScale" priority="72">
      <colorScale>
        <cfvo type="num" val="0.2"/>
        <cfvo type="percentile" val="50"/>
        <cfvo type="num" val="0.21"/>
        <color rgb="FFF8696B"/>
        <color rgb="FFFFEB84"/>
        <color rgb="FF63BE7B"/>
      </colorScale>
    </cfRule>
  </conditionalFormatting>
  <conditionalFormatting sqref="AV11:BA11">
    <cfRule type="colorScale" priority="71">
      <colorScale>
        <cfvo type="num" val="0.1"/>
        <cfvo type="percentile" val="50"/>
        <cfvo type="num" val="0.15"/>
        <color rgb="FFF8696B"/>
        <color rgb="FFFFEB84"/>
        <color rgb="FF63BE7B"/>
      </colorScale>
    </cfRule>
  </conditionalFormatting>
  <conditionalFormatting sqref="AV12:BA12">
    <cfRule type="colorScale" priority="70">
      <colorScale>
        <cfvo type="num" val="0.1"/>
        <cfvo type="percentile" val="50"/>
        <cfvo type="max"/>
        <color rgb="FFF8696B"/>
        <color rgb="FFFFEB84"/>
        <color rgb="FF63BE7B"/>
      </colorScale>
    </cfRule>
  </conditionalFormatting>
  <conditionalFormatting sqref="AV13:BA13">
    <cfRule type="colorScale" priority="69">
      <colorScale>
        <cfvo type="num" val="0.05"/>
        <cfvo type="num" val="0.08"/>
        <cfvo type="max"/>
        <color rgb="FFF8696B"/>
        <color rgb="FFFFEB84"/>
        <color rgb="FF63BE7B"/>
      </colorScale>
    </cfRule>
  </conditionalFormatting>
  <conditionalFormatting sqref="AV14:BA14">
    <cfRule type="colorScale" priority="68">
      <colorScale>
        <cfvo type="num" val="6"/>
        <cfvo type="percentile" val="50"/>
        <cfvo type="max"/>
        <color rgb="FFF8696B"/>
        <color rgb="FFFFEB84"/>
        <color rgb="FF63BE7B"/>
      </colorScale>
    </cfRule>
  </conditionalFormatting>
  <conditionalFormatting sqref="AV15:BA15">
    <cfRule type="colorScale" priority="67">
      <colorScale>
        <cfvo type="num" val="6"/>
        <cfvo type="percentile" val="50"/>
        <cfvo type="num" val="8"/>
        <color rgb="FFF8696B"/>
        <color rgb="FFFFEB84"/>
        <color rgb="FF63BE7B"/>
      </colorScale>
    </cfRule>
  </conditionalFormatting>
  <conditionalFormatting sqref="AV16:BA16">
    <cfRule type="colorScale" priority="66">
      <colorScale>
        <cfvo type="num" val="1"/>
        <cfvo type="percentile" val="50"/>
        <cfvo type="num" val="1.2"/>
        <color rgb="FFF8696B"/>
        <color rgb="FFFFEB84"/>
        <color rgb="FF63BE7B"/>
      </colorScale>
    </cfRule>
  </conditionalFormatting>
  <conditionalFormatting sqref="AV17:BA17">
    <cfRule type="colorScale" priority="65">
      <colorScale>
        <cfvo type="num" val="0"/>
        <cfvo type="percentile" val="50"/>
        <cfvo type="max"/>
        <color rgb="FFF8696B"/>
        <color rgb="FFFFEB84"/>
        <color rgb="FF63BE7B"/>
      </colorScale>
    </cfRule>
  </conditionalFormatting>
  <conditionalFormatting sqref="AV18:BA18">
    <cfRule type="colorScale" priority="64">
      <colorScale>
        <cfvo type="min"/>
        <cfvo type="max"/>
        <color rgb="FFFFEF9C"/>
        <color rgb="FF63BE7B"/>
      </colorScale>
    </cfRule>
  </conditionalFormatting>
  <conditionalFormatting sqref="AV19:BA19">
    <cfRule type="colorScale" priority="63">
      <colorScale>
        <cfvo type="num" val="10"/>
        <cfvo type="percentile" val="50"/>
        <cfvo type="num" val="50"/>
        <color rgb="FF63BE7B"/>
        <color rgb="FFFFEB84"/>
        <color rgb="FFF8696B"/>
      </colorScale>
    </cfRule>
  </conditionalFormatting>
  <conditionalFormatting sqref="AV20:BA20">
    <cfRule type="colorScale" priority="62">
      <colorScale>
        <cfvo type="num" val="1"/>
        <cfvo type="percentile" val="50"/>
        <cfvo type="num" val="6"/>
        <color rgb="FFF8696B"/>
        <color rgb="FFFFEB84"/>
        <color rgb="FF63BE7B"/>
      </colorScale>
    </cfRule>
  </conditionalFormatting>
  <conditionalFormatting sqref="AV21:BA21">
    <cfRule type="colorScale" priority="61">
      <colorScale>
        <cfvo type="num" val="12"/>
        <cfvo type="percentile" val="50"/>
        <cfvo type="num" val="18"/>
        <color rgb="FF63BE7B"/>
        <color rgb="FFFFEB84"/>
        <color rgb="FFF8696B"/>
      </colorScale>
    </cfRule>
  </conditionalFormatting>
  <conditionalFormatting sqref="AV22:BA22">
    <cfRule type="colorScale" priority="60">
      <colorScale>
        <cfvo type="num" val="1"/>
        <cfvo type="percentile" val="50"/>
        <cfvo type="num" val="2"/>
        <color rgb="FF63BE7B"/>
        <color rgb="FFFFEB84"/>
        <color rgb="FFF8696B"/>
      </colorScale>
    </cfRule>
  </conditionalFormatting>
  <conditionalFormatting sqref="AV23:BA23">
    <cfRule type="colorScale" priority="59">
      <colorScale>
        <cfvo type="num" val="0.4"/>
        <cfvo type="percentile" val="50"/>
        <cfvo type="num" val="0.5"/>
        <color rgb="FFF8696B"/>
        <color rgb="FFFFEB84"/>
        <color rgb="FF63BE7B"/>
      </colorScale>
    </cfRule>
  </conditionalFormatting>
  <conditionalFormatting sqref="AV24:BA24">
    <cfRule type="colorScale" priority="58">
      <colorScale>
        <cfvo type="num" val="1.5"/>
        <cfvo type="percentile" val="50"/>
        <cfvo type="num" val="2"/>
        <color rgb="FF63BE7B"/>
        <color rgb="FFFFEB84"/>
        <color rgb="FFF8696B"/>
      </colorScale>
    </cfRule>
  </conditionalFormatting>
  <conditionalFormatting sqref="AV25:BA25">
    <cfRule type="cellIs" dxfId="27" priority="57" operator="greaterThan">
      <formula>0</formula>
    </cfRule>
    <cfRule type="cellIs" dxfId="26" priority="56" operator="lessThan">
      <formula>0</formula>
    </cfRule>
  </conditionalFormatting>
  <conditionalFormatting sqref="AV26:BA26">
    <cfRule type="colorScale" priority="55">
      <colorScale>
        <cfvo type="min"/>
        <cfvo type="percentile" val="50"/>
        <cfvo type="max"/>
        <color rgb="FFF8696B"/>
        <color rgb="FFFFEB84"/>
        <color rgb="FF63BE7B"/>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57DB7EBA-B843-476B-854F-C648D7ED81A3}">
            <x14:dataBar minLength="0" maxLength="100" gradient="0">
              <x14:cfvo type="autoMin"/>
              <x14:cfvo type="autoMax"/>
              <x14:negativeFillColor rgb="FFFF0000"/>
              <x14:axisColor rgb="FF000000"/>
            </x14:dataBar>
          </x14:cfRule>
          <xm:sqref>C18:H18</xm:sqref>
        </x14:conditionalFormatting>
        <x14:conditionalFormatting xmlns:xm="http://schemas.microsoft.com/office/excel/2006/main">
          <x14:cfRule type="dataBar" id="{BD603D28-BFD5-40DD-AF01-274EE0205B81}">
            <x14:dataBar minLength="0" maxLength="100" gradient="0">
              <x14:cfvo type="autoMin"/>
              <x14:cfvo type="autoMax"/>
              <x14:negativeFillColor rgb="FFFF0000"/>
              <x14:axisColor rgb="FF000000"/>
            </x14:dataBar>
          </x14:cfRule>
          <xm:sqref>L18:Q18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505A4-0773-4C8F-B112-6178E6D7A25D}">
  <dimension ref="A1:P16"/>
  <sheetViews>
    <sheetView workbookViewId="0">
      <selection activeCell="N11" sqref="N11"/>
    </sheetView>
  </sheetViews>
  <sheetFormatPr defaultRowHeight="14.4" x14ac:dyDescent="0.3"/>
  <cols>
    <col min="1" max="1" width="19.44140625" style="2" customWidth="1"/>
    <col min="2" max="7" width="11.44140625" style="2" customWidth="1"/>
    <col min="8" max="9" width="8.88671875" style="2"/>
    <col min="10" max="10" width="18.6640625" style="2" bestFit="1" customWidth="1"/>
    <col min="11" max="16384" width="8.88671875" style="2"/>
  </cols>
  <sheetData>
    <row r="1" spans="1:16" ht="43.2" customHeight="1" x14ac:dyDescent="0.3">
      <c r="A1" s="221" t="s">
        <v>490</v>
      </c>
      <c r="B1" s="221"/>
      <c r="C1" s="221"/>
      <c r="D1" s="221"/>
      <c r="E1" s="221"/>
      <c r="F1" s="221"/>
      <c r="G1" s="221"/>
      <c r="J1" s="221" t="s">
        <v>494</v>
      </c>
      <c r="K1" s="221"/>
      <c r="L1" s="221"/>
      <c r="M1" s="221"/>
      <c r="N1" s="221"/>
      <c r="O1" s="221"/>
      <c r="P1" s="221"/>
    </row>
    <row r="2" spans="1:16" ht="37.200000000000003" customHeight="1" thickBot="1" x14ac:dyDescent="0.35">
      <c r="A2" s="135" t="s">
        <v>478</v>
      </c>
      <c r="B2" s="63" t="e" vm="1">
        <v>#VALUE!</v>
      </c>
      <c r="C2" s="63" t="e" vm="2">
        <v>#VALUE!</v>
      </c>
      <c r="D2" s="63" t="e" vm="3">
        <v>#VALUE!</v>
      </c>
      <c r="E2" s="63" t="e" vm="4">
        <v>#VALUE!</v>
      </c>
      <c r="F2" s="63" t="e" vm="5">
        <v>#VALUE!</v>
      </c>
      <c r="G2" s="63" t="e" vm="6">
        <v>#VALUE!</v>
      </c>
      <c r="J2" s="135" t="s">
        <v>478</v>
      </c>
      <c r="K2" s="63" t="e" vm="1">
        <v>#VALUE!</v>
      </c>
      <c r="L2" s="63" t="e" vm="2">
        <v>#VALUE!</v>
      </c>
      <c r="M2" s="63" t="e" vm="3">
        <v>#VALUE!</v>
      </c>
      <c r="N2" s="63" t="e" vm="4">
        <v>#VALUE!</v>
      </c>
      <c r="O2" s="63" t="e" vm="5">
        <v>#VALUE!</v>
      </c>
      <c r="P2" s="63" t="e" vm="6">
        <v>#VALUE!</v>
      </c>
    </row>
    <row r="3" spans="1:16" x14ac:dyDescent="0.3">
      <c r="A3" s="96" t="s">
        <v>479</v>
      </c>
      <c r="B3" s="147">
        <v>6.7900000000000002E-2</v>
      </c>
      <c r="C3" s="140">
        <v>6.7900000000000002E-2</v>
      </c>
      <c r="D3" s="140">
        <v>6.7900000000000002E-2</v>
      </c>
      <c r="E3" s="140">
        <v>6.7900000000000002E-2</v>
      </c>
      <c r="F3" s="140">
        <v>6.7900000000000002E-2</v>
      </c>
      <c r="G3" s="141">
        <v>6.7900000000000002E-2</v>
      </c>
      <c r="J3" s="96" t="s">
        <v>491</v>
      </c>
      <c r="K3" s="147">
        <v>5.5E-2</v>
      </c>
      <c r="L3" s="147">
        <v>5.5E-2</v>
      </c>
      <c r="M3" s="147">
        <v>5.5E-2</v>
      </c>
      <c r="N3" s="147">
        <v>5.5E-2</v>
      </c>
      <c r="O3" s="147">
        <v>5.5E-2</v>
      </c>
      <c r="P3" s="147">
        <v>5.5E-2</v>
      </c>
    </row>
    <row r="4" spans="1:16" x14ac:dyDescent="0.3">
      <c r="A4" s="99" t="s">
        <v>11</v>
      </c>
      <c r="B4" s="148">
        <f ca="1">'Company Profile'!B19</f>
        <v>0.34639999999999999</v>
      </c>
      <c r="C4" s="137">
        <f ca="1">'Company Profile'!C19</f>
        <v>0.75719999999999998</v>
      </c>
      <c r="D4" s="137">
        <f ca="1">'Company Profile'!D19</f>
        <v>1.0253000000000001</v>
      </c>
      <c r="E4" s="137">
        <f ca="1">'Company Profile'!E19</f>
        <v>0.1588</v>
      </c>
      <c r="F4" s="137">
        <f ca="1">'Company Profile'!F19</f>
        <v>0.98440000000000005</v>
      </c>
      <c r="G4" s="142">
        <f ca="1">'Company Profile'!G19</f>
        <v>1.5879000000000001</v>
      </c>
      <c r="J4" s="99" t="s">
        <v>492</v>
      </c>
      <c r="K4" s="153">
        <f>B3</f>
        <v>6.7900000000000002E-2</v>
      </c>
      <c r="L4" s="138">
        <f t="shared" ref="L4:P4" si="0">C3</f>
        <v>6.7900000000000002E-2</v>
      </c>
      <c r="M4" s="138">
        <f t="shared" si="0"/>
        <v>6.7900000000000002E-2</v>
      </c>
      <c r="N4" s="138">
        <f t="shared" si="0"/>
        <v>6.7900000000000002E-2</v>
      </c>
      <c r="O4" s="138">
        <f t="shared" si="0"/>
        <v>6.7900000000000002E-2</v>
      </c>
      <c r="P4" s="152">
        <f t="shared" si="0"/>
        <v>6.7900000000000002E-2</v>
      </c>
    </row>
    <row r="5" spans="1:16" x14ac:dyDescent="0.3">
      <c r="A5" s="99" t="s">
        <v>480</v>
      </c>
      <c r="B5" s="149">
        <v>7.2599999999999998E-2</v>
      </c>
      <c r="C5" s="136">
        <v>7.2599999999999998E-2</v>
      </c>
      <c r="D5" s="136">
        <v>7.2599999999999998E-2</v>
      </c>
      <c r="E5" s="136">
        <v>7.2599999999999998E-2</v>
      </c>
      <c r="F5" s="136">
        <v>7.2599999999999998E-2</v>
      </c>
      <c r="G5" s="143">
        <v>7.2599999999999998E-2</v>
      </c>
      <c r="J5" s="99" t="s">
        <v>481</v>
      </c>
      <c r="K5" s="153">
        <f ca="1">B6</f>
        <v>9.3048640000000002E-2</v>
      </c>
      <c r="L5" s="138">
        <f t="shared" ref="L5:P5" ca="1" si="1">C6</f>
        <v>0.12287271999999999</v>
      </c>
      <c r="M5" s="138">
        <f t="shared" ca="1" si="1"/>
        <v>0.14233678</v>
      </c>
      <c r="N5" s="138">
        <f t="shared" ca="1" si="1"/>
        <v>7.9428880000000007E-2</v>
      </c>
      <c r="O5" s="138">
        <f t="shared" ca="1" si="1"/>
        <v>0.13936744000000001</v>
      </c>
      <c r="P5" s="152">
        <f t="shared" ca="1" si="1"/>
        <v>0.18318154</v>
      </c>
    </row>
    <row r="6" spans="1:16" ht="15" thickBot="1" x14ac:dyDescent="0.35">
      <c r="A6" s="99" t="s">
        <v>481</v>
      </c>
      <c r="B6" s="149">
        <f ca="1">B3+B4*B5</f>
        <v>9.3048640000000002E-2</v>
      </c>
      <c r="C6" s="136">
        <f t="shared" ref="C6:G6" ca="1" si="2">C3+C4*C5</f>
        <v>0.12287271999999999</v>
      </c>
      <c r="D6" s="136">
        <f t="shared" ca="1" si="2"/>
        <v>0.14233678</v>
      </c>
      <c r="E6" s="136">
        <f t="shared" ca="1" si="2"/>
        <v>7.9428880000000007E-2</v>
      </c>
      <c r="F6" s="136">
        <f t="shared" ca="1" si="2"/>
        <v>0.13936744000000001</v>
      </c>
      <c r="G6" s="143">
        <f t="shared" ca="1" si="2"/>
        <v>0.18318154</v>
      </c>
      <c r="J6" s="97" t="s">
        <v>493</v>
      </c>
      <c r="K6" s="151">
        <f>-AVERAGE('Cash Flow Statement'!B52:G52)/AVERAGE('Income Statement'!B24:G24)</f>
        <v>0.15032125818858644</v>
      </c>
      <c r="L6" s="145">
        <f>-AVERAGE('Cash Flow Statement'!J52:O52)/AVERAGE('Income Statement'!J29:O29)</f>
        <v>0.16948403520048047</v>
      </c>
      <c r="M6" s="145">
        <f>-AVERAGE('Cash Flow Statement'!R74:W74)/AVERAGE('Income Statement'!R42:W42)</f>
        <v>0.1095124798359465</v>
      </c>
      <c r="N6" s="145">
        <f>ABS(AVERAGE('Cash Flow Statement'!Z48:AD48))/AVERAGE('Income Statement'!Z27:AD27)</f>
        <v>0.23293339264317484</v>
      </c>
      <c r="O6" s="145">
        <f>ABS(AVERAGE('Cash Flow Statement'!AH36:AM36))/AVERAGE('Income Statement'!AH26:AM26)</f>
        <v>0.24803083521122671</v>
      </c>
      <c r="P6" s="146">
        <f>ABS(AVERAGE('Cash Flow Statement'!AP40:AT40))/AVERAGE('Income Statement'!AP34:AT34)</f>
        <v>0.24652531312252368</v>
      </c>
    </row>
    <row r="7" spans="1:16" x14ac:dyDescent="0.3">
      <c r="A7" s="99" t="s">
        <v>482</v>
      </c>
      <c r="B7" s="149">
        <v>5.8000000000000003E-2</v>
      </c>
      <c r="C7" s="136">
        <f>AVERAGE('Income Statement'!J12:O12)/(AVERAGE('Balance Sheet'!J43:O43)+AVERAGE('Balance Sheet'!J52:O52))</f>
        <v>7.7553129751739183E-2</v>
      </c>
      <c r="D7" s="136">
        <f>AVERAGE('Income Statement'!R16:W16)/(AVERAGE('Balance Sheet'!R46:W46)+AVERAGE('Balance Sheet'!R55:W55))</f>
        <v>7.4212689743158464E-2</v>
      </c>
      <c r="E7" s="136">
        <f>AVERAGE('Income Statement'!Z12:AD12)/(AVERAGE('Balance Sheet'!Z44:AD44)+AVERAGE('Balance Sheet'!Z52:AD52))</f>
        <v>7.4127899940380992E-2</v>
      </c>
      <c r="F7" s="68">
        <v>9.1999999999999998E-2</v>
      </c>
      <c r="G7" s="143">
        <f>AVERAGE('Income Statement'!AP15:AT15)/(AVERAGE('Balance Sheet'!AP47:AT47)+AVERAGE('Balance Sheet'!AP58:AT58))</f>
        <v>6.7528818030624535E-2</v>
      </c>
    </row>
    <row r="8" spans="1:16" x14ac:dyDescent="0.3">
      <c r="A8" s="99" t="s">
        <v>483</v>
      </c>
      <c r="B8" s="149">
        <v>0.25</v>
      </c>
      <c r="C8" s="136">
        <v>0.25</v>
      </c>
      <c r="D8" s="136">
        <v>0.25</v>
      </c>
      <c r="E8" s="136">
        <v>0.25</v>
      </c>
      <c r="F8" s="136">
        <v>0.25</v>
      </c>
      <c r="G8" s="143">
        <v>0.25</v>
      </c>
    </row>
    <row r="9" spans="1:16" x14ac:dyDescent="0.3">
      <c r="A9" s="99" t="s">
        <v>484</v>
      </c>
      <c r="B9" s="149">
        <f>B7*(1-B8)</f>
        <v>4.3500000000000004E-2</v>
      </c>
      <c r="C9" s="136">
        <f>C7*(1-C8)</f>
        <v>5.8164847313804391E-2</v>
      </c>
      <c r="D9" s="136">
        <f t="shared" ref="D9:G9" si="3">D7*(1-D8)</f>
        <v>5.5659517307368844E-2</v>
      </c>
      <c r="E9" s="136">
        <f t="shared" si="3"/>
        <v>5.5595924955285744E-2</v>
      </c>
      <c r="F9" s="136">
        <f t="shared" si="3"/>
        <v>6.9000000000000006E-2</v>
      </c>
      <c r="G9" s="143">
        <f t="shared" si="3"/>
        <v>5.0646613522968398E-2</v>
      </c>
    </row>
    <row r="10" spans="1:16" x14ac:dyDescent="0.3">
      <c r="A10" s="99" t="s">
        <v>38</v>
      </c>
      <c r="B10" s="150">
        <f>AVERAGE('Balance Sheet'!B35:G35)</f>
        <v>66181.05</v>
      </c>
      <c r="C10" s="139">
        <f>AVERAGE('Balance Sheet'!J39:O39)</f>
        <v>64804.665000000001</v>
      </c>
      <c r="D10" s="139">
        <f>AVERAGE('Balance Sheet'!R42:W42)</f>
        <v>72998.684999999998</v>
      </c>
      <c r="E10" s="139">
        <f>AVERAGE('Balance Sheet'!Z40:AD40)</f>
        <v>5258.304000000001</v>
      </c>
      <c r="F10" s="139">
        <f>AVERAGE('Balance Sheet'!AH41:AM41)</f>
        <v>10405.603333333333</v>
      </c>
      <c r="G10" s="144">
        <f>AVERAGE('Balance Sheet'!AP43:AT43)</f>
        <v>21273.359999999997</v>
      </c>
    </row>
    <row r="11" spans="1:16" x14ac:dyDescent="0.3">
      <c r="A11" s="99" t="s">
        <v>485</v>
      </c>
      <c r="B11" s="150">
        <f>AVERAGE('Balance Sheet'!B39:G39)+AVERAGE('Balance Sheet'!B47:G47)</f>
        <v>372.35</v>
      </c>
      <c r="C11" s="139">
        <f>AVERAGE('Balance Sheet'!J43:O43)+AVERAGE('Balance Sheet'!J52:O52)</f>
        <v>84979.85</v>
      </c>
      <c r="D11" s="139">
        <f>AVERAGE('Balance Sheet'!R46:W46)+AVERAGE('Balance Sheet'!R55:W55)</f>
        <v>106798.53666666667</v>
      </c>
      <c r="E11" s="139">
        <f>AVERAGE('Balance Sheet'!Z44:AD44)+AVERAGE('Balance Sheet'!Z52:AD52)</f>
        <v>16112.314000000002</v>
      </c>
      <c r="F11" s="139">
        <f>AVERAGE('Balance Sheet'!AH45:AM45)+AVERAGE('Balance Sheet'!AH61:AM61)</f>
        <v>491.06166666666661</v>
      </c>
      <c r="G11" s="144">
        <f>AVERAGE('Balance Sheet'!AP47:AT47)+AVERAGE('Balance Sheet'!AP58:AT58)</f>
        <v>12554.64</v>
      </c>
    </row>
    <row r="12" spans="1:16" x14ac:dyDescent="0.3">
      <c r="A12" s="99" t="s">
        <v>486</v>
      </c>
      <c r="B12" s="150">
        <f>B10+B11</f>
        <v>66553.400000000009</v>
      </c>
      <c r="C12" s="139">
        <f t="shared" ref="C12:G12" si="4">C10+C11</f>
        <v>149784.51500000001</v>
      </c>
      <c r="D12" s="139">
        <f t="shared" si="4"/>
        <v>179797.22166666668</v>
      </c>
      <c r="E12" s="139">
        <f t="shared" si="4"/>
        <v>21370.618000000002</v>
      </c>
      <c r="F12" s="139">
        <f t="shared" si="4"/>
        <v>10896.664999999999</v>
      </c>
      <c r="G12" s="144">
        <f t="shared" si="4"/>
        <v>33828</v>
      </c>
    </row>
    <row r="13" spans="1:16" x14ac:dyDescent="0.3">
      <c r="A13" s="99" t="s">
        <v>487</v>
      </c>
      <c r="B13" s="149">
        <f>B10/B12</f>
        <v>0.99440524451042311</v>
      </c>
      <c r="C13" s="136">
        <f t="shared" ref="C13:G13" si="5">C10/C12</f>
        <v>0.43265263435275664</v>
      </c>
      <c r="D13" s="136">
        <f t="shared" si="5"/>
        <v>0.40600563414341967</v>
      </c>
      <c r="E13" s="136">
        <f t="shared" si="5"/>
        <v>0.24605296861326145</v>
      </c>
      <c r="F13" s="136">
        <f t="shared" si="5"/>
        <v>0.95493468261466541</v>
      </c>
      <c r="G13" s="143">
        <f t="shared" si="5"/>
        <v>0.62886839304717979</v>
      </c>
    </row>
    <row r="14" spans="1:16" x14ac:dyDescent="0.3">
      <c r="A14" s="99" t="s">
        <v>488</v>
      </c>
      <c r="B14" s="149">
        <f>B11/B12</f>
        <v>5.5947554895767904E-3</v>
      </c>
      <c r="C14" s="136">
        <f t="shared" ref="C14:G14" si="6">C11/C12</f>
        <v>0.56734736564724331</v>
      </c>
      <c r="D14" s="136">
        <f t="shared" si="6"/>
        <v>0.59399436585658028</v>
      </c>
      <c r="E14" s="136">
        <f t="shared" si="6"/>
        <v>0.75394703138673858</v>
      </c>
      <c r="F14" s="136">
        <f t="shared" si="6"/>
        <v>4.5065317385334563E-2</v>
      </c>
      <c r="G14" s="143">
        <f t="shared" si="6"/>
        <v>0.37113160695282016</v>
      </c>
    </row>
    <row r="15" spans="1:16" ht="15" thickBot="1" x14ac:dyDescent="0.35">
      <c r="A15" s="179" t="s">
        <v>489</v>
      </c>
      <c r="B15" s="180">
        <f ca="1">(B6*B13)+(B9*B14)</f>
        <v>9.2771427474358931E-2</v>
      </c>
      <c r="C15" s="181">
        <f t="shared" ref="C15:G15" ca="1" si="7">(C6*C13)+(C9*C14)</f>
        <v>8.6160878894849691E-2</v>
      </c>
      <c r="D15" s="181">
        <f t="shared" ca="1" si="7"/>
        <v>9.085097431270632E-2</v>
      </c>
      <c r="E15" s="181">
        <f t="shared" ca="1" si="7"/>
        <v>6.1460094294864098E-2</v>
      </c>
      <c r="F15" s="181">
        <f t="shared" ca="1" si="7"/>
        <v>0.13619630898280652</v>
      </c>
      <c r="G15" s="182">
        <f t="shared" ca="1" si="7"/>
        <v>0.13399363975920539</v>
      </c>
    </row>
    <row r="16" spans="1:16" x14ac:dyDescent="0.3">
      <c r="A16" s="2" t="s">
        <v>493</v>
      </c>
      <c r="B16" s="70">
        <f>-AVERAGE('Cash Flow Statement'!B52:G52)/AVERAGE('Income Statement'!B24:G24)</f>
        <v>0.15032125818858644</v>
      </c>
      <c r="C16" s="70">
        <f>-AVERAGE('Cash Flow Statement'!J52:O52)/AVERAGE('Income Statement'!J29:O29)</f>
        <v>0.16948403520048047</v>
      </c>
      <c r="D16" s="70">
        <f>-AVERAGE('Cash Flow Statement'!V74:W74)/AVERAGE('Income Statement'!V42:W42)</f>
        <v>5.1237574221095469E-2</v>
      </c>
      <c r="E16" s="70">
        <f>-AVERAGE('Cash Flow Statement'!Z48:AD48)/AVERAGE('Income Statement'!Z25:AE25)</f>
        <v>0.27497782455974323</v>
      </c>
      <c r="F16" s="70">
        <f>-AVERAGE('Cash Flow Statement'!AL36:AM36)/AVERAGE('Income Statement'!AL26:AM26)</f>
        <v>0.20198179787562709</v>
      </c>
      <c r="G16" s="70">
        <f>-AVERAGE('Cash Flow Statement'!AR40:AT40)/AVERAGE('Income Statement'!AS34:AT34)</f>
        <v>0.17161420569251273</v>
      </c>
    </row>
  </sheetData>
  <mergeCells count="2">
    <mergeCell ref="A1:G1"/>
    <mergeCell ref="J1:P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57BAC-616E-44C2-894A-705C944C32B0}">
  <dimension ref="A1:BC181"/>
  <sheetViews>
    <sheetView topLeftCell="B1" zoomScale="90" zoomScaleNormal="90" workbookViewId="0">
      <selection activeCell="E23" sqref="E23"/>
    </sheetView>
  </sheetViews>
  <sheetFormatPr defaultRowHeight="14.4" x14ac:dyDescent="0.3"/>
  <cols>
    <col min="1" max="1" width="20" style="2" customWidth="1"/>
    <col min="2" max="2" width="12.44140625" style="2" bestFit="1" customWidth="1"/>
    <col min="3" max="3" width="7.6640625" style="2" bestFit="1" customWidth="1"/>
    <col min="4" max="8" width="12" style="2" bestFit="1" customWidth="1"/>
    <col min="9" max="9" width="8.88671875" style="2"/>
    <col min="10" max="10" width="32.5546875" style="2" bestFit="1" customWidth="1"/>
    <col min="11" max="11" width="12" style="2" bestFit="1" customWidth="1"/>
    <col min="12" max="12" width="5.88671875" style="2" bestFit="1" customWidth="1"/>
    <col min="13" max="17" width="12" style="2" bestFit="1" customWidth="1"/>
    <col min="18" max="18" width="8.88671875" style="2"/>
    <col min="19" max="19" width="20" style="2" customWidth="1"/>
    <col min="20" max="20" width="14.109375" style="2" bestFit="1" customWidth="1"/>
    <col min="21" max="21" width="7" style="2" bestFit="1" customWidth="1"/>
    <col min="22" max="26" width="12" style="2" bestFit="1" customWidth="1"/>
    <col min="27" max="27" width="8.88671875" style="2"/>
    <col min="28" max="28" width="32.5546875" style="2" bestFit="1" customWidth="1"/>
    <col min="29" max="29" width="13.5546875" style="2" bestFit="1" customWidth="1"/>
    <col min="30" max="30" width="6.44140625" style="2" bestFit="1" customWidth="1"/>
    <col min="31" max="36" width="10.88671875" style="2" bestFit="1" customWidth="1"/>
    <col min="37" max="37" width="8.88671875" style="2"/>
    <col min="38" max="38" width="32.5546875" style="2" bestFit="1" customWidth="1"/>
    <col min="39" max="39" width="10.88671875" style="2" bestFit="1" customWidth="1"/>
    <col min="40" max="40" width="6.44140625" style="2" bestFit="1" customWidth="1"/>
    <col min="41" max="45" width="10.88671875" style="2" bestFit="1" customWidth="1"/>
    <col min="46" max="46" width="8.88671875" style="2"/>
    <col min="47" max="47" width="20" style="2" customWidth="1"/>
    <col min="48" max="48" width="12" style="2" bestFit="1" customWidth="1"/>
    <col min="49" max="49" width="6.44140625" style="2" bestFit="1" customWidth="1"/>
    <col min="50" max="55" width="12" style="2" bestFit="1" customWidth="1"/>
    <col min="56" max="16384" width="8.88671875" style="2"/>
  </cols>
  <sheetData>
    <row r="1" spans="1:55" ht="43.2" customHeight="1" x14ac:dyDescent="0.3">
      <c r="A1" s="233"/>
      <c r="B1" s="233"/>
      <c r="C1" s="233"/>
      <c r="D1" s="233"/>
      <c r="E1" s="233"/>
      <c r="F1" s="233"/>
      <c r="G1" s="232" t="e" vm="1">
        <v>#VALUE!</v>
      </c>
      <c r="H1" s="232"/>
      <c r="J1" s="233"/>
      <c r="K1" s="233"/>
      <c r="L1" s="233"/>
      <c r="M1" s="233"/>
      <c r="N1" s="233"/>
      <c r="O1" s="233"/>
      <c r="P1" s="232" t="e" vm="2">
        <v>#VALUE!</v>
      </c>
      <c r="Q1" s="232"/>
      <c r="S1" s="233"/>
      <c r="T1" s="233"/>
      <c r="U1" s="233"/>
      <c r="V1" s="233"/>
      <c r="W1" s="233"/>
      <c r="X1" s="233"/>
      <c r="Y1" s="232" t="e" vm="3">
        <v>#VALUE!</v>
      </c>
      <c r="Z1" s="232"/>
      <c r="AB1" s="226"/>
      <c r="AC1" s="226"/>
      <c r="AD1" s="226"/>
      <c r="AE1" s="226"/>
      <c r="AF1" s="226"/>
      <c r="AG1" s="226"/>
      <c r="AH1" s="226"/>
      <c r="AI1" s="225" t="e" vm="4">
        <v>#VALUE!</v>
      </c>
      <c r="AJ1" s="225"/>
      <c r="AK1" s="156"/>
      <c r="AL1" s="233"/>
      <c r="AM1" s="233"/>
      <c r="AN1" s="233"/>
      <c r="AO1" s="233"/>
      <c r="AP1" s="233"/>
      <c r="AQ1" s="233"/>
      <c r="AR1" s="232" t="e" vm="5">
        <v>#VALUE!</v>
      </c>
      <c r="AS1" s="232"/>
      <c r="AU1" s="226"/>
      <c r="AV1" s="226"/>
      <c r="AW1" s="226"/>
      <c r="AX1" s="226"/>
      <c r="AY1" s="226"/>
      <c r="AZ1" s="226"/>
      <c r="BA1" s="226"/>
      <c r="BB1" s="225" t="e" vm="6">
        <v>#VALUE!</v>
      </c>
      <c r="BC1" s="225"/>
    </row>
    <row r="2" spans="1:55" x14ac:dyDescent="0.3">
      <c r="A2" s="60" t="s">
        <v>495</v>
      </c>
      <c r="B2" s="60">
        <v>2025</v>
      </c>
      <c r="C2" s="60" t="s">
        <v>496</v>
      </c>
      <c r="D2" s="60">
        <v>2026</v>
      </c>
      <c r="E2" s="60">
        <v>2027</v>
      </c>
      <c r="F2" s="60">
        <v>2028</v>
      </c>
      <c r="G2" s="60">
        <v>2029</v>
      </c>
      <c r="H2" s="60">
        <v>2030</v>
      </c>
      <c r="J2" s="60" t="s">
        <v>495</v>
      </c>
      <c r="K2" s="60">
        <v>2025</v>
      </c>
      <c r="L2" s="60" t="s">
        <v>496</v>
      </c>
      <c r="M2" s="60">
        <v>2026</v>
      </c>
      <c r="N2" s="60">
        <v>2027</v>
      </c>
      <c r="O2" s="60">
        <v>2028</v>
      </c>
      <c r="P2" s="60">
        <v>2029</v>
      </c>
      <c r="Q2" s="60">
        <v>2030</v>
      </c>
      <c r="S2" s="60" t="s">
        <v>495</v>
      </c>
      <c r="T2" s="60">
        <v>2025</v>
      </c>
      <c r="U2" s="60" t="s">
        <v>496</v>
      </c>
      <c r="V2" s="60">
        <v>2026</v>
      </c>
      <c r="W2" s="60">
        <v>2027</v>
      </c>
      <c r="X2" s="60">
        <v>2028</v>
      </c>
      <c r="Y2" s="60">
        <v>2029</v>
      </c>
      <c r="Z2" s="60">
        <v>2030</v>
      </c>
      <c r="AB2" s="61" t="s">
        <v>495</v>
      </c>
      <c r="AC2" s="61">
        <v>2024</v>
      </c>
      <c r="AD2" s="64" t="s">
        <v>496</v>
      </c>
      <c r="AE2" s="61">
        <v>2025</v>
      </c>
      <c r="AF2" s="61">
        <v>2026</v>
      </c>
      <c r="AG2" s="61">
        <v>2027</v>
      </c>
      <c r="AH2" s="61">
        <v>2028</v>
      </c>
      <c r="AI2" s="61">
        <v>2029</v>
      </c>
      <c r="AJ2" s="61">
        <v>2030</v>
      </c>
      <c r="AL2" s="60" t="s">
        <v>495</v>
      </c>
      <c r="AM2" s="60">
        <v>2025</v>
      </c>
      <c r="AN2" s="60" t="s">
        <v>496</v>
      </c>
      <c r="AO2" s="60">
        <v>2026</v>
      </c>
      <c r="AP2" s="60">
        <v>2027</v>
      </c>
      <c r="AQ2" s="60">
        <v>2028</v>
      </c>
      <c r="AR2" s="60">
        <v>2029</v>
      </c>
      <c r="AS2" s="60">
        <v>2030</v>
      </c>
      <c r="AU2" s="61" t="s">
        <v>495</v>
      </c>
      <c r="AV2" s="61">
        <v>2024</v>
      </c>
      <c r="AW2" s="64" t="s">
        <v>496</v>
      </c>
      <c r="AX2" s="61">
        <v>2025</v>
      </c>
      <c r="AY2" s="61">
        <v>2026</v>
      </c>
      <c r="AZ2" s="61">
        <v>2027</v>
      </c>
      <c r="BA2" s="61">
        <v>2028</v>
      </c>
      <c r="BB2" s="61">
        <v>2029</v>
      </c>
      <c r="BC2" s="61">
        <v>2030</v>
      </c>
    </row>
    <row r="3" spans="1:55" x14ac:dyDescent="0.3">
      <c r="A3" s="60" t="s">
        <v>497</v>
      </c>
      <c r="B3" s="56">
        <f>'Income Statement'!G4</f>
        <v>145115.20000000001</v>
      </c>
      <c r="C3" s="68">
        <f>('Income Statement'!G4/'Income Statement'!B4)^(1/6)-1</f>
        <v>0.11465660707090342</v>
      </c>
      <c r="D3" s="56">
        <f>B3*(1+C3)</f>
        <v>161753.61646641558</v>
      </c>
      <c r="E3" s="56">
        <f>D3*(1+$C$3)</f>
        <v>180299.73731190301</v>
      </c>
      <c r="F3" s="56">
        <f t="shared" ref="F3:H3" si="0">E3*(1+$C$3)</f>
        <v>200972.29344786098</v>
      </c>
      <c r="G3" s="56">
        <f t="shared" si="0"/>
        <v>224015.09472985068</v>
      </c>
      <c r="H3" s="56">
        <f t="shared" si="0"/>
        <v>249699.90542424237</v>
      </c>
      <c r="J3" s="60" t="s">
        <v>497</v>
      </c>
      <c r="K3" s="56">
        <f>'Income Statement'!O4</f>
        <v>158749.75</v>
      </c>
      <c r="L3" s="68">
        <f>('Income Statement'!O4/'Income Statement'!J4)^(1/6)-1</f>
        <v>0.13215954648574657</v>
      </c>
      <c r="M3" s="56">
        <f>K3*(1+L3)</f>
        <v>179730.04496472565</v>
      </c>
      <c r="N3" s="56">
        <f>M3*(1+$L$3)</f>
        <v>203483.08619712663</v>
      </c>
      <c r="O3" s="56">
        <f t="shared" ref="O3:Q3" si="1">N3*(1+$L$3)</f>
        <v>230375.31858645895</v>
      </c>
      <c r="P3" s="56">
        <f t="shared" si="1"/>
        <v>260821.61621235474</v>
      </c>
      <c r="Q3" s="56">
        <f t="shared" si="1"/>
        <v>295291.68272465898</v>
      </c>
      <c r="S3" s="60" t="s">
        <v>497</v>
      </c>
      <c r="T3" s="139">
        <f>'Income Statement'!W4</f>
        <v>436821</v>
      </c>
      <c r="U3" s="68">
        <f>('Income Statement'!W4/'Income Statement'!R4)^(1/6)-1</f>
        <v>9.1308178782413929E-2</v>
      </c>
      <c r="V3" s="139">
        <f>T3*(1+U3)</f>
        <v>476706.32996391284</v>
      </c>
      <c r="W3" s="139">
        <f>V3*(1+$U$3)</f>
        <v>520233.5167669662</v>
      </c>
      <c r="X3" s="139">
        <f t="shared" ref="X3:Z3" si="2">W3*(1+$U$3)</f>
        <v>567735.09172452823</v>
      </c>
      <c r="Y3" s="139">
        <f t="shared" si="2"/>
        <v>619573.94898076158</v>
      </c>
      <c r="Z3" s="139">
        <f t="shared" si="2"/>
        <v>676146.11788322311</v>
      </c>
      <c r="AB3" s="60" t="s">
        <v>497</v>
      </c>
      <c r="AC3" s="139">
        <f>'Income Statement'!AD4</f>
        <v>39144.74</v>
      </c>
      <c r="AD3" s="154">
        <f>('Income Statement'!AD4/'Income Statement'!Z4)^(1/5)-1</f>
        <v>0.15737898160503239</v>
      </c>
      <c r="AE3" s="56">
        <f>AC3*(1+AD3)</f>
        <v>45305.299316393772</v>
      </c>
      <c r="AF3" s="56">
        <f>AE3*(1+$AD$3)</f>
        <v>52435.401184118993</v>
      </c>
      <c r="AG3" s="56">
        <f t="shared" ref="AG3:AJ3" si="3">AF3*(1+$AD$3)</f>
        <v>60687.63122252695</v>
      </c>
      <c r="AH3" s="56">
        <f t="shared" si="3"/>
        <v>70238.588820350007</v>
      </c>
      <c r="AI3" s="56">
        <f t="shared" si="3"/>
        <v>81292.666398271307</v>
      </c>
      <c r="AJ3" s="56">
        <f t="shared" si="3"/>
        <v>94086.423447988884</v>
      </c>
      <c r="AL3" s="60" t="s">
        <v>497</v>
      </c>
      <c r="AM3" s="56">
        <f>'Income Statement'!AM4</f>
        <v>17237.849999999999</v>
      </c>
      <c r="AN3" s="69">
        <f>('Income Statement'!AM4/'Income Statement'!AH4)^(1/6)-1</f>
        <v>2.9589351569835332E-2</v>
      </c>
      <c r="AO3" s="56">
        <f>AM3*(1+AN3)</f>
        <v>17747.906803958085</v>
      </c>
      <c r="AP3" s="56">
        <f>AO3*(1+$AN$3)</f>
        <v>18273.055858009073</v>
      </c>
      <c r="AQ3" s="56">
        <f t="shared" ref="AQ3:AS3" si="4">AP3*(1+$AN$3)</f>
        <v>18813.743732046943</v>
      </c>
      <c r="AR3" s="56">
        <f t="shared" si="4"/>
        <v>19370.430209679267</v>
      </c>
      <c r="AS3" s="56">
        <f t="shared" si="4"/>
        <v>19943.588679212426</v>
      </c>
      <c r="AU3" s="60" t="s">
        <v>497</v>
      </c>
      <c r="AV3" s="139">
        <f>'Income Statement'!AT4</f>
        <v>97779.4</v>
      </c>
      <c r="AW3" s="154">
        <f>('Income Statement'!AT4/'Income Statement'!AP4)^(1/5)-1</f>
        <v>0.10158312518386103</v>
      </c>
      <c r="AX3" s="56">
        <f>AV3*(1+AW3)</f>
        <v>107712.13703060281</v>
      </c>
      <c r="AY3" s="56">
        <f>AX3*(1+$AW$3)</f>
        <v>118653.87253040374</v>
      </c>
      <c r="AZ3" s="56">
        <f t="shared" ref="AZ3:BC3" si="5">AY3*(1+$AW$3)</f>
        <v>130707.10371720963</v>
      </c>
      <c r="BA3" s="56">
        <f t="shared" si="5"/>
        <v>143984.73979653485</v>
      </c>
      <c r="BB3" s="56">
        <f t="shared" si="5"/>
        <v>158611.15964385192</v>
      </c>
      <c r="BC3" s="56">
        <f t="shared" si="5"/>
        <v>174723.3769295107</v>
      </c>
    </row>
    <row r="4" spans="1:55" x14ac:dyDescent="0.3">
      <c r="A4" s="60" t="s">
        <v>498</v>
      </c>
      <c r="B4" s="56">
        <f>'Income Statement'!G19+'Income Statement'!G12</f>
        <v>19376.299999999981</v>
      </c>
      <c r="C4" s="68">
        <f>AVERAGE('Income Statement'!B19:G19)/AVERAGE('Income Statement'!B6:G6)</f>
        <v>9.5953292028809631E-2</v>
      </c>
      <c r="D4" s="56">
        <f>D3*$C$4</f>
        <v>15520.791997518045</v>
      </c>
      <c r="E4" s="56">
        <f t="shared" ref="E4:H4" si="6">E3*$C$4</f>
        <v>17300.353347006694</v>
      </c>
      <c r="F4" s="56">
        <f t="shared" si="6"/>
        <v>19283.953162902228</v>
      </c>
      <c r="G4" s="56">
        <f t="shared" si="6"/>
        <v>21494.985803474814</v>
      </c>
      <c r="H4" s="56">
        <f t="shared" si="6"/>
        <v>23959.527944738475</v>
      </c>
      <c r="J4" s="60" t="s">
        <v>498</v>
      </c>
      <c r="K4" s="56">
        <f>'Income Statement'!O17+'Income Statement'!O12</f>
        <v>26625.589999999982</v>
      </c>
      <c r="L4" s="68">
        <f>('Income Statement'!O31/'Income Statement'!J31)^(1/6)-1</f>
        <v>0.16132659413456762</v>
      </c>
      <c r="M4" s="56">
        <f>K4*(1+L4)</f>
        <v>30921.005751523382</v>
      </c>
      <c r="N4" s="56">
        <f>M4*(1+$L$4)</f>
        <v>35909.386296632023</v>
      </c>
      <c r="O4" s="56">
        <f t="shared" ref="O4:Q4" si="7">N4*(1+$L$4)</f>
        <v>41702.525285330179</v>
      </c>
      <c r="P4" s="56">
        <f t="shared" si="7"/>
        <v>48430.251656423185</v>
      </c>
      <c r="Q4" s="56">
        <f t="shared" si="7"/>
        <v>56243.339209233942</v>
      </c>
      <c r="S4" s="60" t="s">
        <v>498</v>
      </c>
      <c r="T4" s="139">
        <f>'Income Statement'!W23+'Income Statement'!W16</f>
        <v>39126</v>
      </c>
      <c r="U4" s="68">
        <f>AVERAGE('Income Statement'!R46:W46)</f>
        <v>4.3788997279816631E-2</v>
      </c>
      <c r="V4" s="139">
        <f>T4*(1+U4)</f>
        <v>40839.28830757011</v>
      </c>
      <c r="W4" s="139">
        <f>V4*(1+$U$4)</f>
        <v>42627.59979217995</v>
      </c>
      <c r="X4" s="139">
        <f t="shared" ref="X4:Z4" si="8">W4*(1+$U$4)</f>
        <v>44494.219643524833</v>
      </c>
      <c r="Y4" s="139">
        <f t="shared" si="8"/>
        <v>46442.576906462709</v>
      </c>
      <c r="Z4" s="139">
        <f t="shared" si="8"/>
        <v>48476.250780287482</v>
      </c>
      <c r="AB4" s="60" t="s">
        <v>498</v>
      </c>
      <c r="AC4" s="139">
        <f>'Income Statement'!AD30</f>
        <v>4674.1099999999997</v>
      </c>
      <c r="AD4" s="154">
        <f>('Income Statement'!AD30/'Income Statement'!Z30)^(1/5)-1</f>
        <v>0.21450724938267518</v>
      </c>
      <c r="AE4" s="56">
        <f>AC4*(1+AD4)</f>
        <v>5676.7404794120557</v>
      </c>
      <c r="AF4" s="56">
        <f>AE4*(1+$AD$4)</f>
        <v>6894.4424651100244</v>
      </c>
      <c r="AG4" s="56">
        <f t="shared" ref="AG4:AJ4" si="9">AF4*(1+$AD$4)</f>
        <v>8373.3503543278857</v>
      </c>
      <c r="AH4" s="56">
        <f t="shared" si="9"/>
        <v>10169.49470695221</v>
      </c>
      <c r="AI4" s="56">
        <f t="shared" si="9"/>
        <v>12350.925044152202</v>
      </c>
      <c r="AJ4" s="56">
        <f t="shared" si="9"/>
        <v>15000.288002704887</v>
      </c>
      <c r="AL4" s="60" t="s">
        <v>498</v>
      </c>
      <c r="AM4" s="56">
        <f>'Income Statement'!AM29</f>
        <v>1328.489999999998</v>
      </c>
      <c r="AN4" s="69">
        <f>('Income Statement'!AM29/'Income Statement'!AH29)^(1/6)-1</f>
        <v>3.3470449405965885E-2</v>
      </c>
      <c r="AO4" s="56">
        <f>AM4*(1+AN4)</f>
        <v>1372.9551573313295</v>
      </c>
      <c r="AP4" s="56">
        <f>AO4*(1+$AN$4)</f>
        <v>1418.9085834614477</v>
      </c>
      <c r="AQ4" s="56">
        <f t="shared" ref="AQ4:AS4" si="10">AP4*(1+$AN$4)</f>
        <v>1466.4000914158848</v>
      </c>
      <c r="AR4" s="56">
        <f t="shared" si="10"/>
        <v>1515.4811614845239</v>
      </c>
      <c r="AS4" s="56">
        <f t="shared" si="10"/>
        <v>1566.204997025686</v>
      </c>
      <c r="AU4" s="60" t="s">
        <v>498</v>
      </c>
      <c r="AV4" s="139">
        <f>'Income Statement'!AT37</f>
        <v>5663.7000000000144</v>
      </c>
      <c r="AW4" s="154">
        <f>('Income Statement'!AT37/'Income Statement'!AP37)^(1/5)-1</f>
        <v>0.21290241716173375</v>
      </c>
      <c r="AX4" s="56">
        <f>AV4*(1+AW4)</f>
        <v>6869.5154200789293</v>
      </c>
      <c r="AY4" s="56">
        <f>AX4*(1+$AW$4)</f>
        <v>8332.0518577435359</v>
      </c>
      <c r="AZ4" s="56">
        <f t="shared" ref="AZ4:BC4" si="11">AY4*(1+$AW$4)</f>
        <v>10105.965838174048</v>
      </c>
      <c r="BA4" s="56">
        <f t="shared" si="11"/>
        <v>12257.55039287521</v>
      </c>
      <c r="BB4" s="56">
        <f t="shared" si="11"/>
        <v>14867.212500000101</v>
      </c>
      <c r="BC4" s="56">
        <f t="shared" si="11"/>
        <v>18032.477977707265</v>
      </c>
    </row>
    <row r="5" spans="1:55" x14ac:dyDescent="0.3">
      <c r="A5" s="60" t="s">
        <v>499</v>
      </c>
      <c r="B5" s="56">
        <f>B4*C5</f>
        <v>4844.0749999999953</v>
      </c>
      <c r="C5" s="68">
        <v>0.25</v>
      </c>
      <c r="D5" s="56">
        <f>D4*$C$5</f>
        <v>3880.1979993795112</v>
      </c>
      <c r="E5" s="56">
        <f t="shared" ref="E5:H5" si="12">E4*$C$5</f>
        <v>4325.0883367516735</v>
      </c>
      <c r="F5" s="56">
        <f t="shared" si="12"/>
        <v>4820.9882907255569</v>
      </c>
      <c r="G5" s="56">
        <f t="shared" si="12"/>
        <v>5373.7464508687035</v>
      </c>
      <c r="H5" s="56">
        <f t="shared" si="12"/>
        <v>5989.8819861846187</v>
      </c>
      <c r="J5" s="60" t="s">
        <v>499</v>
      </c>
      <c r="K5" s="56">
        <f>K4*L5</f>
        <v>6656.3974999999955</v>
      </c>
      <c r="L5" s="68">
        <v>0.25</v>
      </c>
      <c r="M5" s="56">
        <f>M4*$L$5</f>
        <v>7730.2514378808455</v>
      </c>
      <c r="N5" s="56">
        <f t="shared" ref="N5:Q5" si="13">N4*$L$5</f>
        <v>8977.3465741580058</v>
      </c>
      <c r="O5" s="56">
        <f t="shared" si="13"/>
        <v>10425.631321332545</v>
      </c>
      <c r="P5" s="56">
        <f t="shared" si="13"/>
        <v>12107.562914105796</v>
      </c>
      <c r="Q5" s="56">
        <f t="shared" si="13"/>
        <v>14060.834802308485</v>
      </c>
      <c r="S5" s="60" t="s">
        <v>499</v>
      </c>
      <c r="T5" s="139">
        <f>T4*U5</f>
        <v>9781.5</v>
      </c>
      <c r="U5" s="68">
        <v>0.25</v>
      </c>
      <c r="V5" s="139">
        <f>V4*$U$5</f>
        <v>10209.822076892528</v>
      </c>
      <c r="W5" s="139">
        <f t="shared" ref="W5:Z5" si="14">W4*$U$5</f>
        <v>10656.899948044987</v>
      </c>
      <c r="X5" s="139">
        <f t="shared" si="14"/>
        <v>11123.554910881208</v>
      </c>
      <c r="Y5" s="139">
        <f t="shared" si="14"/>
        <v>11610.644226615677</v>
      </c>
      <c r="Z5" s="139">
        <f t="shared" si="14"/>
        <v>12119.062695071871</v>
      </c>
      <c r="AB5" s="60" t="s">
        <v>499</v>
      </c>
      <c r="AC5" s="139">
        <f>AC4*AD5</f>
        <v>1168.5274999999999</v>
      </c>
      <c r="AD5" s="154">
        <v>0.25</v>
      </c>
      <c r="AE5" s="56">
        <f>AE4*$AD$5</f>
        <v>1419.1851198530139</v>
      </c>
      <c r="AF5" s="56">
        <f t="shared" ref="AF5:AJ5" si="15">AF4*$AD$5</f>
        <v>1723.6106162775061</v>
      </c>
      <c r="AG5" s="56">
        <f t="shared" si="15"/>
        <v>2093.3375885819714</v>
      </c>
      <c r="AH5" s="56">
        <f t="shared" si="15"/>
        <v>2542.3736767380524</v>
      </c>
      <c r="AI5" s="56">
        <f t="shared" si="15"/>
        <v>3087.7312610380504</v>
      </c>
      <c r="AJ5" s="56">
        <f t="shared" si="15"/>
        <v>3750.0720006762217</v>
      </c>
      <c r="AL5" s="60" t="s">
        <v>499</v>
      </c>
      <c r="AM5" s="56">
        <f>AM4*AN5</f>
        <v>332.12249999999949</v>
      </c>
      <c r="AN5" s="69">
        <v>0.25</v>
      </c>
      <c r="AO5" s="56">
        <f>AO4*$AN$5</f>
        <v>343.23878933283237</v>
      </c>
      <c r="AP5" s="56">
        <f t="shared" ref="AP5:AS5" si="16">AP4*$AN$5</f>
        <v>354.72714586536193</v>
      </c>
      <c r="AQ5" s="56">
        <f t="shared" si="16"/>
        <v>366.60002285397121</v>
      </c>
      <c r="AR5" s="56">
        <f t="shared" si="16"/>
        <v>378.87029037113098</v>
      </c>
      <c r="AS5" s="56">
        <f t="shared" si="16"/>
        <v>391.5512492564215</v>
      </c>
      <c r="AU5" s="60" t="s">
        <v>499</v>
      </c>
      <c r="AV5" s="139">
        <f>AV4*AW5</f>
        <v>1415.9250000000036</v>
      </c>
      <c r="AW5" s="154">
        <v>0.25</v>
      </c>
      <c r="AX5" s="56">
        <f>AX4*$AW$5</f>
        <v>1717.3788550197323</v>
      </c>
      <c r="AY5" s="56">
        <f t="shared" ref="AY5:BC5" si="17">AY4*$AW$5</f>
        <v>2083.012964435884</v>
      </c>
      <c r="AZ5" s="56">
        <f t="shared" si="17"/>
        <v>2526.4914595435121</v>
      </c>
      <c r="BA5" s="56">
        <f t="shared" si="17"/>
        <v>3064.3875982188024</v>
      </c>
      <c r="BB5" s="56">
        <f t="shared" si="17"/>
        <v>3716.8031250000254</v>
      </c>
      <c r="BC5" s="56">
        <f t="shared" si="17"/>
        <v>4508.1194944268163</v>
      </c>
    </row>
    <row r="6" spans="1:55" x14ac:dyDescent="0.3">
      <c r="A6" s="60" t="s">
        <v>500</v>
      </c>
      <c r="B6" s="56">
        <f>B4-B5</f>
        <v>14532.224999999986</v>
      </c>
      <c r="C6" s="68"/>
      <c r="D6" s="56">
        <f t="shared" ref="D6:H6" si="18">D4-D5</f>
        <v>11640.593998138535</v>
      </c>
      <c r="E6" s="56">
        <f t="shared" si="18"/>
        <v>12975.265010255021</v>
      </c>
      <c r="F6" s="56">
        <f t="shared" si="18"/>
        <v>14462.964872176672</v>
      </c>
      <c r="G6" s="56">
        <f t="shared" si="18"/>
        <v>16121.23935260611</v>
      </c>
      <c r="H6" s="56">
        <f t="shared" si="18"/>
        <v>17969.645958553854</v>
      </c>
      <c r="J6" s="60" t="s">
        <v>500</v>
      </c>
      <c r="K6" s="56">
        <f>K4-K5</f>
        <v>19969.192499999986</v>
      </c>
      <c r="L6" s="56"/>
      <c r="M6" s="56">
        <f t="shared" ref="M6:Q6" si="19">M4-M5</f>
        <v>23190.754313642537</v>
      </c>
      <c r="N6" s="56">
        <f t="shared" si="19"/>
        <v>26932.039722474015</v>
      </c>
      <c r="O6" s="56">
        <f t="shared" si="19"/>
        <v>31276.893963997634</v>
      </c>
      <c r="P6" s="56">
        <f t="shared" si="19"/>
        <v>36322.68874231739</v>
      </c>
      <c r="Q6" s="56">
        <f t="shared" si="19"/>
        <v>42182.504406925458</v>
      </c>
      <c r="S6" s="60" t="s">
        <v>500</v>
      </c>
      <c r="T6" s="139">
        <f>T4-T5</f>
        <v>29344.5</v>
      </c>
      <c r="U6" s="68"/>
      <c r="V6" s="139">
        <f t="shared" ref="V6:Z6" si="20">V4-V5</f>
        <v>30629.466230677583</v>
      </c>
      <c r="W6" s="139">
        <f t="shared" si="20"/>
        <v>31970.699844134964</v>
      </c>
      <c r="X6" s="139">
        <f t="shared" si="20"/>
        <v>33370.664732643621</v>
      </c>
      <c r="Y6" s="139">
        <f t="shared" si="20"/>
        <v>34831.932679847028</v>
      </c>
      <c r="Z6" s="139">
        <f t="shared" si="20"/>
        <v>36357.18808521561</v>
      </c>
      <c r="AB6" s="60" t="s">
        <v>500</v>
      </c>
      <c r="AC6" s="139">
        <f>AC4-AC5</f>
        <v>3505.5824999999995</v>
      </c>
      <c r="AD6" s="139"/>
      <c r="AE6" s="139">
        <f t="shared" ref="AE6:AJ6" si="21">AE4-AE5</f>
        <v>4257.5553595590418</v>
      </c>
      <c r="AF6" s="139">
        <f t="shared" si="21"/>
        <v>5170.8318488325185</v>
      </c>
      <c r="AG6" s="139">
        <f t="shared" si="21"/>
        <v>6280.0127657459143</v>
      </c>
      <c r="AH6" s="139">
        <f t="shared" si="21"/>
        <v>7627.1210302141571</v>
      </c>
      <c r="AI6" s="139">
        <f t="shared" si="21"/>
        <v>9263.1937831141513</v>
      </c>
      <c r="AJ6" s="139">
        <f t="shared" si="21"/>
        <v>11250.216002028665</v>
      </c>
      <c r="AL6" s="60" t="s">
        <v>500</v>
      </c>
      <c r="AM6" s="56">
        <f>AM4-AM5</f>
        <v>996.36749999999847</v>
      </c>
      <c r="AN6" s="56"/>
      <c r="AO6" s="56">
        <f t="shared" ref="AO6:AS6" si="22">AO4-AO5</f>
        <v>1029.7163679984972</v>
      </c>
      <c r="AP6" s="56">
        <f t="shared" si="22"/>
        <v>1064.1814375960857</v>
      </c>
      <c r="AQ6" s="56">
        <f t="shared" si="22"/>
        <v>1099.8000685619136</v>
      </c>
      <c r="AR6" s="56">
        <f t="shared" si="22"/>
        <v>1136.6108711133929</v>
      </c>
      <c r="AS6" s="56">
        <f t="shared" si="22"/>
        <v>1174.6537477692646</v>
      </c>
      <c r="AU6" s="60" t="s">
        <v>500</v>
      </c>
      <c r="AV6" s="139">
        <f>AV4-AV5</f>
        <v>4247.7750000000106</v>
      </c>
      <c r="AW6" s="139"/>
      <c r="AX6" s="139">
        <f t="shared" ref="AX6:BC6" si="23">AX4-AX5</f>
        <v>5152.136565059197</v>
      </c>
      <c r="AY6" s="139">
        <f t="shared" si="23"/>
        <v>6249.038893307652</v>
      </c>
      <c r="AZ6" s="139">
        <f t="shared" si="23"/>
        <v>7579.4743786305362</v>
      </c>
      <c r="BA6" s="139">
        <f t="shared" si="23"/>
        <v>9193.1627946564076</v>
      </c>
      <c r="BB6" s="139">
        <f t="shared" si="23"/>
        <v>11150.409375000076</v>
      </c>
      <c r="BC6" s="139">
        <f t="shared" si="23"/>
        <v>13524.358483280448</v>
      </c>
    </row>
    <row r="7" spans="1:55" ht="28.8" x14ac:dyDescent="0.3">
      <c r="A7" s="55" t="s">
        <v>501</v>
      </c>
      <c r="B7" s="56">
        <f>'Income Statement'!G13</f>
        <v>3159.3</v>
      </c>
      <c r="C7" s="68">
        <f>('Income Statement'!G13/'Income Statement'!B13)^(1/6)-1</f>
        <v>-1.824713871586392E-2</v>
      </c>
      <c r="D7" s="56">
        <f>B7*(1+C7)</f>
        <v>3101.6518146549711</v>
      </c>
      <c r="E7" s="56">
        <f>D7*(1+$C$7)</f>
        <v>3045.0555437446505</v>
      </c>
      <c r="F7" s="56">
        <f t="shared" ref="F7:H7" si="24">E7*(1+$C$7)</f>
        <v>2989.4919928404315</v>
      </c>
      <c r="G7" s="56">
        <f t="shared" si="24"/>
        <v>2934.9423177571075</v>
      </c>
      <c r="H7" s="56">
        <f t="shared" si="24"/>
        <v>2881.3880181619343</v>
      </c>
      <c r="J7" s="55" t="s">
        <v>501</v>
      </c>
      <c r="K7" s="56">
        <f>'Income Statement'!O13</f>
        <v>6073.65</v>
      </c>
      <c r="L7" s="68">
        <f>('Income Statement'!O13/'Income Statement'!J13)^(1/6)-1</f>
        <v>0.10333650402677486</v>
      </c>
      <c r="M7" s="56">
        <f>K7*(1+L7)</f>
        <v>6701.2797576822204</v>
      </c>
      <c r="N7" s="56">
        <f>M7*(1+$L$7)</f>
        <v>7393.7665803464943</v>
      </c>
      <c r="O7" s="56">
        <f t="shared" ref="O7:Q7" si="25">N7*(1+$L$7)</f>
        <v>8157.8125703495034</v>
      </c>
      <c r="P7" s="56">
        <f t="shared" si="25"/>
        <v>9000.8124018750987</v>
      </c>
      <c r="Q7" s="56">
        <f t="shared" si="25"/>
        <v>9930.9248888857092</v>
      </c>
      <c r="S7" s="55" t="s">
        <v>501</v>
      </c>
      <c r="T7" s="139">
        <f>'Income Statement'!W18</f>
        <v>23256</v>
      </c>
      <c r="U7" s="68">
        <f>('Income Statement'!W18/'Income Statement'!R18)^(1/5)-1</f>
        <v>1.6532093145996019E-2</v>
      </c>
      <c r="V7" s="139">
        <f>T7*(1+U7)</f>
        <v>23640.470358203282</v>
      </c>
      <c r="W7" s="139">
        <f>V7*(1+$U$7)</f>
        <v>24031.296816180256</v>
      </c>
      <c r="X7" s="139">
        <f t="shared" ref="X7:Z7" si="26">W7*(1+$U$7)</f>
        <v>24428.584453564425</v>
      </c>
      <c r="Y7" s="139">
        <f t="shared" si="26"/>
        <v>24832.440087175582</v>
      </c>
      <c r="Z7" s="139">
        <f t="shared" si="26"/>
        <v>25242.972299739136</v>
      </c>
      <c r="AB7" s="55" t="s">
        <v>501</v>
      </c>
      <c r="AC7" s="139">
        <f>'Income Statement'!AD13</f>
        <v>975.12</v>
      </c>
      <c r="AD7" s="154">
        <f>('Income Statement'!AD13/'Income Statement'!Z13)^(1/5)-1</f>
        <v>0.11891386257195213</v>
      </c>
      <c r="AE7" s="56">
        <f>AC7*(1+AD7)</f>
        <v>1091.075285671162</v>
      </c>
      <c r="AF7" s="56">
        <f>AE7*(1+$AD$7)</f>
        <v>1220.8192622471158</v>
      </c>
      <c r="AG7" s="56">
        <f t="shared" ref="AG7:AJ7" si="27">AF7*(1+$AD$7)</f>
        <v>1365.9915962231614</v>
      </c>
      <c r="AH7" s="56">
        <f t="shared" si="27"/>
        <v>1528.426933170884</v>
      </c>
      <c r="AI7" s="56">
        <f t="shared" si="27"/>
        <v>1710.1780834532367</v>
      </c>
      <c r="AJ7" s="56">
        <f t="shared" si="27"/>
        <v>1913.5419650425595</v>
      </c>
      <c r="AL7" s="55" t="s">
        <v>501</v>
      </c>
      <c r="AM7" s="56">
        <f>'Income Statement'!AM16</f>
        <v>582.34</v>
      </c>
      <c r="AN7" s="69">
        <f>('Income Statement'!AM16/'Income Statement'!AH16)^(1/6)-1</f>
        <v>5.699473008727729E-2</v>
      </c>
      <c r="AO7" s="56">
        <f>AM7*(1+AN7)</f>
        <v>615.5303111190251</v>
      </c>
      <c r="AP7" s="56">
        <f>AO7*(1+$AN$7)</f>
        <v>650.61229506179177</v>
      </c>
      <c r="AQ7" s="56">
        <f t="shared" ref="AQ7:AS7" si="28">AP7*(1+$AN$7)</f>
        <v>687.69376721030255</v>
      </c>
      <c r="AR7" s="56">
        <f t="shared" si="28"/>
        <v>726.8886878551566</v>
      </c>
      <c r="AS7" s="56">
        <f t="shared" si="28"/>
        <v>768.31751242295638</v>
      </c>
      <c r="AU7" s="55" t="s">
        <v>501</v>
      </c>
      <c r="AV7" s="139">
        <f>'Income Statement'!AT14</f>
        <v>3810.5</v>
      </c>
      <c r="AW7" s="154">
        <f>('Income Statement'!AT14/'Income Statement'!AP14)^(1/5)-1</f>
        <v>6.9672140598194376E-2</v>
      </c>
      <c r="AX7" s="56">
        <f>AV7*(1+AW7)</f>
        <v>4075.9856917494199</v>
      </c>
      <c r="AY7" s="56">
        <f>AX7*(1+$AW$7)</f>
        <v>4359.9683399412143</v>
      </c>
      <c r="AZ7" s="56">
        <f t="shared" ref="AZ7:BC7" si="29">AY7*(1+$AW$7)</f>
        <v>4663.7366671252748</v>
      </c>
      <c r="BA7" s="56">
        <f t="shared" si="29"/>
        <v>4988.6691839101813</v>
      </c>
      <c r="BB7" s="56">
        <f t="shared" si="29"/>
        <v>5336.2404446894507</v>
      </c>
      <c r="BC7" s="56">
        <f t="shared" si="29"/>
        <v>5708.0277392176249</v>
      </c>
    </row>
    <row r="8" spans="1:55" x14ac:dyDescent="0.3">
      <c r="A8" s="60" t="s">
        <v>502</v>
      </c>
      <c r="B8" s="56">
        <f>ABS('Cash Flow Statement'!G37)</f>
        <v>8348.6</v>
      </c>
      <c r="C8" s="68">
        <f>ABS(AVERAGE('Cash Flow Statement'!B37:G37))/AVERAGE('Income Statement'!B6:G6)</f>
        <v>4.4798674356883741E-2</v>
      </c>
      <c r="D8" s="56">
        <f>D3*$C$8</f>
        <v>7246.3475901272195</v>
      </c>
      <c r="E8" s="56">
        <f t="shared" ref="E8:H8" si="30">E3*$C$8</f>
        <v>8077.1892184676244</v>
      </c>
      <c r="F8" s="56">
        <f t="shared" si="30"/>
        <v>9003.2923289268037</v>
      </c>
      <c r="G8" s="56">
        <f t="shared" si="30"/>
        <v>10035.579279829044</v>
      </c>
      <c r="H8" s="56">
        <f t="shared" si="30"/>
        <v>11186.224750045303</v>
      </c>
      <c r="J8" s="60" t="s">
        <v>502</v>
      </c>
      <c r="K8" s="56">
        <f>ABS('Cash Flow Statement'!O27)</f>
        <v>10391.950000000001</v>
      </c>
      <c r="L8" s="68">
        <f>ABS(('Cash Flow Statement'!O27/'Cash Flow Statement'!J27))^(1/6)-1</f>
        <v>7.0737688104389962E-2</v>
      </c>
      <c r="M8" s="56">
        <f>K8*(1+L8)</f>
        <v>11127.052517896416</v>
      </c>
      <c r="N8" s="56">
        <f>M8*(1+$L$8)</f>
        <v>11914.154488428539</v>
      </c>
      <c r="O8" s="56">
        <f t="shared" ref="O8:Q8" si="31">N8*(1+$L$8)</f>
        <v>12756.934232658516</v>
      </c>
      <c r="P8" s="56">
        <f t="shared" si="31"/>
        <v>13659.33026757653</v>
      </c>
      <c r="Q8" s="56">
        <f t="shared" si="31"/>
        <v>14625.559711759211</v>
      </c>
      <c r="S8" s="60" t="s">
        <v>502</v>
      </c>
      <c r="T8" s="56">
        <f>ABS('Cash Flow Statement'!W43+'Cash Flow Statement'!W44)</f>
        <v>38042</v>
      </c>
      <c r="U8" s="68">
        <f>(ABS(('Cash Flow Statement'!W43+'Cash Flow Statement'!W44)/('Cash Flow Statement'!R43+'Cash Flow Statement'!R44)))^(1/6)-1</f>
        <v>4.2108331760354112E-2</v>
      </c>
      <c r="V8" s="139">
        <f>T8*(1+U8)</f>
        <v>39643.885156827389</v>
      </c>
      <c r="W8" s="139">
        <f>V8*(1+$U$8)</f>
        <v>41313.223025280458</v>
      </c>
      <c r="X8" s="139">
        <f t="shared" ref="X8:Z8" si="32">W8*(1+$U$8)</f>
        <v>43052.853926518466</v>
      </c>
      <c r="Y8" s="139">
        <f t="shared" si="32"/>
        <v>44865.737782886368</v>
      </c>
      <c r="Z8" s="139">
        <f t="shared" si="32"/>
        <v>46754.959154121199</v>
      </c>
      <c r="AB8" s="60" t="s">
        <v>502</v>
      </c>
      <c r="AC8" s="139">
        <f>ABS('Cash Flow Statement'!AD30)</f>
        <v>1145.17</v>
      </c>
      <c r="AD8" s="154">
        <f>(('Cash Flow Statement'!AD30/'Cash Flow Statement'!Z30))^(1/5)-1</f>
        <v>2.3201546469194367E-2</v>
      </c>
      <c r="AE8" s="56">
        <f>AC8*(1+AD8)</f>
        <v>1171.7397149701274</v>
      </c>
      <c r="AF8" s="56">
        <f>AE8*(1+$AD$8)</f>
        <v>1198.9258884168073</v>
      </c>
      <c r="AG8" s="56">
        <f t="shared" ref="AG8:AJ8" si="33">AF8*(1+$AD$8)</f>
        <v>1226.74282313003</v>
      </c>
      <c r="AH8" s="56">
        <f t="shared" si="33"/>
        <v>1255.205153746632</v>
      </c>
      <c r="AI8" s="56">
        <f t="shared" si="33"/>
        <v>1284.3278544496568</v>
      </c>
      <c r="AJ8" s="56">
        <f t="shared" si="33"/>
        <v>1314.1262468463513</v>
      </c>
      <c r="AL8" s="60" t="s">
        <v>502</v>
      </c>
      <c r="AM8" s="56">
        <f>ABS('Cash Flow Statement'!AM25)</f>
        <v>1948.72</v>
      </c>
      <c r="AN8" s="69">
        <f>(ABS('Cash Flow Statement'!AM25/'Cash Flow Statement'!AH25))^(1/6)-1</f>
        <v>0.21421873649663903</v>
      </c>
      <c r="AO8" s="56">
        <f>AM8*(1+AN8)</f>
        <v>2366.1723361857303</v>
      </c>
      <c r="AP8" s="56">
        <f>AO8*(1+$AN$8)</f>
        <v>2873.0507843767382</v>
      </c>
      <c r="AQ8" s="56">
        <f t="shared" ref="AQ8:AS8" si="34">AP8*(1+$AN$8)</f>
        <v>3488.5120932966006</v>
      </c>
      <c r="AR8" s="56">
        <f t="shared" si="34"/>
        <v>4235.8167461758439</v>
      </c>
      <c r="AS8" s="56">
        <f t="shared" si="34"/>
        <v>5143.2080575729378</v>
      </c>
      <c r="AU8" s="60" t="s">
        <v>502</v>
      </c>
      <c r="AV8" s="139">
        <f>ABS('Cash Flow Statement'!AT28)</f>
        <v>4125.3999999999996</v>
      </c>
      <c r="AW8" s="154">
        <f>(ABS('Cash Flow Statement'!AT28/'Cash Flow Statement'!AP28))^(1/5)-1</f>
        <v>0.12650027274737941</v>
      </c>
      <c r="AX8" s="56">
        <f>AV8*(1+AW8)</f>
        <v>4647.2642251920388</v>
      </c>
      <c r="AY8" s="56">
        <f>AX8*(1+$AW$8)</f>
        <v>5235.1444172079709</v>
      </c>
      <c r="AZ8" s="56">
        <f t="shared" ref="AZ8:BC8" si="35">AY8*(1+$AW$8)</f>
        <v>5897.3916138567001</v>
      </c>
      <c r="BA8" s="56">
        <f t="shared" si="35"/>
        <v>6643.4132615076805</v>
      </c>
      <c r="BB8" s="56">
        <f t="shared" si="35"/>
        <v>7483.8068510619596</v>
      </c>
      <c r="BC8" s="56">
        <f t="shared" si="35"/>
        <v>8430.5104589100047</v>
      </c>
    </row>
    <row r="9" spans="1:55" ht="28.8" x14ac:dyDescent="0.3">
      <c r="A9" s="55" t="s">
        <v>503</v>
      </c>
      <c r="B9" s="56">
        <f>('Balance Sheet'!G60-'Balance Sheet'!F60)</f>
        <v>1697.7999999999993</v>
      </c>
      <c r="C9" s="68">
        <f>ABS(('Balance Sheet'!G60/'Balance Sheet'!B60))^(1/6)-1</f>
        <v>3.2383920661639864E-2</v>
      </c>
      <c r="D9" s="56">
        <f>B9*(1+C9)</f>
        <v>1752.7814204993315</v>
      </c>
      <c r="E9" s="56">
        <f>D9*(1+$C$9)</f>
        <v>1809.5433549579782</v>
      </c>
      <c r="F9" s="56">
        <f t="shared" ref="F9:H9" si="36">E9*(1+$C$9)</f>
        <v>1868.1434633987349</v>
      </c>
      <c r="G9" s="56">
        <f t="shared" si="36"/>
        <v>1928.6412731020007</v>
      </c>
      <c r="H9" s="56">
        <f t="shared" si="36"/>
        <v>1991.0982390749</v>
      </c>
      <c r="J9" s="55" t="s">
        <v>503</v>
      </c>
      <c r="K9" s="56">
        <f>'Balance Sheet'!O65-'Balance Sheet'!N65</f>
        <v>13531.26999999999</v>
      </c>
      <c r="L9" s="68">
        <f>('Balance Sheet'!O65/'Balance Sheet'!J65)^(1/6)-1</f>
        <v>0.238685512064023</v>
      </c>
      <c r="M9" s="56">
        <f>K9*(1+L9)</f>
        <v>16760.988108826539</v>
      </c>
      <c r="N9" s="56">
        <f>M9*(1+$L$9)</f>
        <v>20761.593138280801</v>
      </c>
      <c r="O9" s="56">
        <f t="shared" ref="O9:Q9" si="37">N9*(1+$L$9)</f>
        <v>25717.08462775626</v>
      </c>
      <c r="P9" s="56">
        <f t="shared" si="37"/>
        <v>31855.380140926078</v>
      </c>
      <c r="Q9" s="56">
        <f t="shared" si="37"/>
        <v>39458.797861857129</v>
      </c>
      <c r="S9" s="55" t="s">
        <v>503</v>
      </c>
      <c r="T9" s="139">
        <f>'Balance Sheet'!W69-'Balance Sheet'!V69</f>
        <v>-1135</v>
      </c>
      <c r="U9" s="68">
        <f>ABS(('Balance Sheet'!W69/'Balance Sheet'!R69))^(1/6)-1</f>
        <v>-0.17967296447979153</v>
      </c>
      <c r="V9" s="139">
        <f>T9*(1+U9)</f>
        <v>-931.07118531543665</v>
      </c>
      <c r="W9" s="139">
        <f>V9*(1+$U$9)</f>
        <v>-763.78286530809885</v>
      </c>
      <c r="X9" s="139">
        <f t="shared" ref="X9:Z9" si="38">W9*(1+$U$9)</f>
        <v>-626.55173367932343</v>
      </c>
      <c r="Y9" s="139">
        <f t="shared" si="38"/>
        <v>-513.97732628920653</v>
      </c>
      <c r="Z9" s="139">
        <f t="shared" si="38"/>
        <v>-421.62949639942769</v>
      </c>
      <c r="AB9" s="55" t="s">
        <v>503</v>
      </c>
      <c r="AC9" s="139">
        <f>'Balance Sheet'!AD65-'Balance Sheet'!AC65</f>
        <v>2636.2200000000012</v>
      </c>
      <c r="AD9" s="154">
        <f>('Balance Sheet'!AD65/ABS('Balance Sheet'!Z65))^(1/5)-1</f>
        <v>9.0684340160917865E-2</v>
      </c>
      <c r="AE9" s="56">
        <f>AC9*(1+AD9)</f>
        <v>2875.283871219016</v>
      </c>
      <c r="AF9" s="56">
        <f>AE9*(1+$AD$9)</f>
        <v>3136.0270918558422</v>
      </c>
      <c r="AG9" s="56">
        <f t="shared" ref="AG9:AJ9" si="39">AF9*(1+$AD$9)</f>
        <v>3420.4156394075512</v>
      </c>
      <c r="AH9" s="56">
        <f t="shared" si="39"/>
        <v>3730.593774743309</v>
      </c>
      <c r="AI9" s="56">
        <f t="shared" si="39"/>
        <v>4068.900209614334</v>
      </c>
      <c r="AJ9" s="56">
        <f t="shared" si="39"/>
        <v>4437.8857403038301</v>
      </c>
      <c r="AL9" s="55" t="s">
        <v>503</v>
      </c>
      <c r="AM9" s="56">
        <f>'Balance Sheet'!AM76-'Balance Sheet'!AL76</f>
        <v>-480.28000000000065</v>
      </c>
      <c r="AN9" s="69">
        <f>('Balance Sheet'!AM76/'Balance Sheet'!AH76)^(1/6)-1</f>
        <v>-7.8259834836345576E-2</v>
      </c>
      <c r="AO9" s="56">
        <f>AM9*(1+AN9)</f>
        <v>-442.69336652480052</v>
      </c>
      <c r="AP9" s="56">
        <f>AO9*(1+$AN$9)</f>
        <v>-408.04825677742383</v>
      </c>
      <c r="AQ9" s="56">
        <f t="shared" ref="AQ9:AS9" si="40">AP9*(1+$AN$9)</f>
        <v>-376.11446759676392</v>
      </c>
      <c r="AR9" s="56">
        <f t="shared" si="40"/>
        <v>-346.6798114830811</v>
      </c>
      <c r="AS9" s="56">
        <f t="shared" si="40"/>
        <v>-319.54870669531977</v>
      </c>
      <c r="AU9" s="55" t="s">
        <v>503</v>
      </c>
      <c r="AV9" s="139">
        <f>'Balance Sheet'!AT72</f>
        <v>-1448.1999999999971</v>
      </c>
      <c r="AW9" s="154">
        <f>(('Balance Sheet'!AT72/'Balance Sheet'!AP72))^(1/5)-1</f>
        <v>0.68887530901602445</v>
      </c>
      <c r="AX9" s="56">
        <f>AV9*(1+$AW$9)</f>
        <v>-2445.8292225170017</v>
      </c>
      <c r="AY9" s="56">
        <f>AX9*(1+$AW$9)</f>
        <v>-4130.7005839788244</v>
      </c>
      <c r="AZ9" s="56">
        <f t="shared" ref="AZ9:BC9" si="41">AY9*(1+$AW$9)</f>
        <v>-6976.2382252199095</v>
      </c>
      <c r="BA9" s="56">
        <f t="shared" si="41"/>
        <v>-11781.996488387676</v>
      </c>
      <c r="BB9" s="56">
        <f t="shared" si="41"/>
        <v>-19898.32296015145</v>
      </c>
      <c r="BC9" s="56">
        <f t="shared" si="41"/>
        <v>-33605.786338226433</v>
      </c>
    </row>
    <row r="10" spans="1:55" s="65" customFormat="1" ht="28.8" x14ac:dyDescent="0.3">
      <c r="A10" s="57" t="s">
        <v>504</v>
      </c>
      <c r="B10" s="58">
        <f>B6+B7-B8-B9</f>
        <v>7645.1249999999873</v>
      </c>
      <c r="C10" s="157"/>
      <c r="D10" s="58">
        <f t="shared" ref="D10:H10" si="42">D6+D7-D8-D9</f>
        <v>5743.1168021669546</v>
      </c>
      <c r="E10" s="58">
        <f t="shared" si="42"/>
        <v>6133.5879805740697</v>
      </c>
      <c r="F10" s="58">
        <f t="shared" si="42"/>
        <v>6581.0210726915639</v>
      </c>
      <c r="G10" s="58">
        <f t="shared" si="42"/>
        <v>7091.9611174321726</v>
      </c>
      <c r="H10" s="58">
        <f t="shared" si="42"/>
        <v>7673.7109875955866</v>
      </c>
      <c r="J10" s="57" t="s">
        <v>504</v>
      </c>
      <c r="K10" s="58">
        <f>K6+K7-K8-K9</f>
        <v>2119.622499999994</v>
      </c>
      <c r="L10" s="58"/>
      <c r="M10" s="58">
        <f t="shared" ref="M10:Q10" si="43">M6+M7-M8-M9</f>
        <v>2003.9934446018015</v>
      </c>
      <c r="N10" s="58">
        <f t="shared" si="43"/>
        <v>1650.0586761111663</v>
      </c>
      <c r="O10" s="58">
        <f t="shared" si="43"/>
        <v>960.6876739323634</v>
      </c>
      <c r="P10" s="58">
        <f t="shared" si="43"/>
        <v>-191.20926431012049</v>
      </c>
      <c r="Q10" s="58">
        <f t="shared" si="43"/>
        <v>-1970.9282778051711</v>
      </c>
      <c r="S10" s="57" t="s">
        <v>504</v>
      </c>
      <c r="T10" s="62">
        <f>T6+T7-T8-T9</f>
        <v>15693.5</v>
      </c>
      <c r="U10" s="157"/>
      <c r="V10" s="62">
        <f t="shared" ref="V10:Z10" si="44">V6+V7-V8-V9</f>
        <v>15557.122617368916</v>
      </c>
      <c r="W10" s="62">
        <f t="shared" si="44"/>
        <v>15452.556500342862</v>
      </c>
      <c r="X10" s="62">
        <f t="shared" si="44"/>
        <v>15372.946993368907</v>
      </c>
      <c r="Y10" s="62">
        <f t="shared" si="44"/>
        <v>15312.612310425446</v>
      </c>
      <c r="Z10" s="62">
        <f t="shared" si="44"/>
        <v>15266.830727232975</v>
      </c>
      <c r="AB10" s="57" t="s">
        <v>504</v>
      </c>
      <c r="AC10" s="62">
        <f>AC6+AC7-AC8-AC9</f>
        <v>699.31249999999818</v>
      </c>
      <c r="AD10" s="62"/>
      <c r="AE10" s="62">
        <f t="shared" ref="AE10:AJ10" si="45">AE6+AE7-AE8-AE9</f>
        <v>1301.60705904106</v>
      </c>
      <c r="AF10" s="62">
        <f t="shared" si="45"/>
        <v>2056.6981308069849</v>
      </c>
      <c r="AG10" s="62">
        <f t="shared" si="45"/>
        <v>2998.8458994314947</v>
      </c>
      <c r="AH10" s="62">
        <f t="shared" si="45"/>
        <v>4169.7490348950996</v>
      </c>
      <c r="AI10" s="62">
        <f t="shared" si="45"/>
        <v>5620.1438025033967</v>
      </c>
      <c r="AJ10" s="62">
        <f t="shared" si="45"/>
        <v>7411.7459799210419</v>
      </c>
      <c r="AL10" s="57" t="s">
        <v>504</v>
      </c>
      <c r="AM10" s="58">
        <f>AM6+AM7-AM8-AM9</f>
        <v>110.26749999999925</v>
      </c>
      <c r="AN10" s="58"/>
      <c r="AO10" s="58">
        <f t="shared" ref="AO10:AS10" si="46">AO6+AO7-AO8-AO9</f>
        <v>-278.23229054340749</v>
      </c>
      <c r="AP10" s="58">
        <f t="shared" si="46"/>
        <v>-750.20879494143674</v>
      </c>
      <c r="AQ10" s="58">
        <f t="shared" si="46"/>
        <v>-1324.9037899276204</v>
      </c>
      <c r="AR10" s="58">
        <f t="shared" si="46"/>
        <v>-2025.6373757242134</v>
      </c>
      <c r="AS10" s="58">
        <f t="shared" si="46"/>
        <v>-2880.6880906853971</v>
      </c>
      <c r="AU10" s="57" t="s">
        <v>504</v>
      </c>
      <c r="AV10" s="62">
        <f>AV6+AV7-AV8-AV9</f>
        <v>5381.075000000008</v>
      </c>
      <c r="AW10" s="62"/>
      <c r="AX10" s="62">
        <f t="shared" ref="AX10:BC10" si="47">AX6+AX7-AX8-AX9</f>
        <v>7026.6872541335788</v>
      </c>
      <c r="AY10" s="62">
        <f t="shared" si="47"/>
        <v>9504.5634000197206</v>
      </c>
      <c r="AZ10" s="62">
        <f t="shared" si="47"/>
        <v>13322.057657119021</v>
      </c>
      <c r="BA10" s="62">
        <f t="shared" si="47"/>
        <v>19320.415205446585</v>
      </c>
      <c r="BB10" s="62">
        <f t="shared" si="47"/>
        <v>28901.165928779017</v>
      </c>
      <c r="BC10" s="62">
        <f t="shared" si="47"/>
        <v>44407.662101814502</v>
      </c>
    </row>
    <row r="12" spans="1:55" x14ac:dyDescent="0.3">
      <c r="A12" s="60" t="s">
        <v>505</v>
      </c>
      <c r="B12" s="230">
        <f ca="1">'Key Assumptions-WACC'!B15</f>
        <v>9.2771427474358931E-2</v>
      </c>
      <c r="C12" s="231"/>
      <c r="D12" s="136">
        <f ca="1">1/(1+$B$12)^1</f>
        <v>0.91510445355551195</v>
      </c>
      <c r="E12" s="136">
        <f ca="1">1/(1+$B$12)^2</f>
        <v>0.83741616091713222</v>
      </c>
      <c r="F12" s="136">
        <f ca="1">1/(1+$B$12)^3</f>
        <v>0.76632325833462689</v>
      </c>
      <c r="G12" s="136">
        <f ca="1">1/(1+$B$12)^4</f>
        <v>0.70126582656518821</v>
      </c>
      <c r="H12" s="136">
        <f ca="1">1/(1+$B$12)^5</f>
        <v>0.64173148101609101</v>
      </c>
      <c r="J12" s="60" t="s">
        <v>505</v>
      </c>
      <c r="K12" s="222">
        <f ca="1">'Key Assumptions-WACC'!C15</f>
        <v>8.6160878894849691E-2</v>
      </c>
      <c r="L12" s="222"/>
      <c r="M12" s="136">
        <f ca="1">1/(1+$K$12)^1</f>
        <v>0.92067392541101556</v>
      </c>
      <c r="N12" s="136">
        <f ca="1">1/(1+$K$12)^2</f>
        <v>0.84764047693172817</v>
      </c>
      <c r="O12" s="136">
        <f ca="1">1/(1+$K$12)^3</f>
        <v>0.78040048523399941</v>
      </c>
      <c r="P12" s="136">
        <f ca="1">1/(1+$K$12)^4</f>
        <v>0.71849437813304751</v>
      </c>
      <c r="Q12" s="136">
        <f ca="1">1/(1+$K$12)^5</f>
        <v>0.66149903950149935</v>
      </c>
      <c r="S12" s="60" t="s">
        <v>505</v>
      </c>
      <c r="T12" s="222">
        <f ca="1">'Key Assumptions-WACC'!D15</f>
        <v>9.085097431270632E-2</v>
      </c>
      <c r="U12" s="222"/>
      <c r="V12" s="136">
        <f ca="1">1/(1+$T$12)^1</f>
        <v>0.91671550335283214</v>
      </c>
      <c r="W12" s="136">
        <f ca="1">1/(1+$T$12)^2</f>
        <v>0.84036731408743637</v>
      </c>
      <c r="X12" s="136">
        <f ca="1">1/(1+$T$12)^3</f>
        <v>0.77037774533493175</v>
      </c>
      <c r="Y12" s="136">
        <f ca="1">1/(1+$T$12)^4</f>
        <v>0.70621722258653186</v>
      </c>
      <c r="Z12" s="136">
        <f ca="1">1/(1+$T$12)^5</f>
        <v>0.64740027667985167</v>
      </c>
      <c r="AB12" s="60" t="s">
        <v>505</v>
      </c>
      <c r="AC12" s="222">
        <f ca="1">'Key Assumptions-WACC'!E15</f>
        <v>6.1460094294864098E-2</v>
      </c>
      <c r="AD12" s="222"/>
      <c r="AE12" s="136">
        <f ca="1">1/(1+$AC$12)^1</f>
        <v>0.94209853519204356</v>
      </c>
      <c r="AF12" s="136">
        <f ca="1">1/(1+$AC$12)^2</f>
        <v>0.88754965001099417</v>
      </c>
      <c r="AG12" s="136">
        <f ca="1">1/(1+$AC$12)^3</f>
        <v>0.83615922518556862</v>
      </c>
      <c r="AH12" s="136">
        <f ca="1">1/(1+$AC$12)^4</f>
        <v>0.7877443812346383</v>
      </c>
      <c r="AI12" s="136">
        <f ca="1">1/(1+$AC$12)^5</f>
        <v>0.74213282766691546</v>
      </c>
      <c r="AJ12" s="136">
        <f ca="1">1/(1+$AC$12)^6</f>
        <v>0.69916224986293041</v>
      </c>
      <c r="AL12" s="60" t="s">
        <v>505</v>
      </c>
      <c r="AM12" s="222">
        <f ca="1">'Key Assumptions-WACC'!F15</f>
        <v>0.13619630898280652</v>
      </c>
      <c r="AN12" s="222"/>
      <c r="AO12" s="136">
        <f ca="1">1/(1+$AM$12)^1</f>
        <v>0.88012959740668595</v>
      </c>
      <c r="AP12" s="136">
        <f ca="1">1/(1+$AM$12)^2</f>
        <v>0.77462810823125505</v>
      </c>
      <c r="AQ12" s="136">
        <f ca="1">1/(1+$AM$12)^3</f>
        <v>0.68177312503747722</v>
      </c>
      <c r="AR12" s="136">
        <f ca="1">1/(1+$AM$12)^4</f>
        <v>0.60004870606193306</v>
      </c>
      <c r="AS12" s="136">
        <f ca="1">1/(1+$AM$12)^5</f>
        <v>0.52812062609069199</v>
      </c>
      <c r="AU12" s="60" t="s">
        <v>505</v>
      </c>
      <c r="AV12" s="222">
        <f ca="1">'Key Assumptions-WACC'!G15</f>
        <v>0.13399363975920539</v>
      </c>
      <c r="AW12" s="223"/>
      <c r="AX12" s="136">
        <f ca="1">1/(1+$AV$12)^1</f>
        <v>0.88183916111940641</v>
      </c>
      <c r="AY12" s="136">
        <f ca="1">1/(1+$AV$12)^2</f>
        <v>0.77764030608377832</v>
      </c>
      <c r="AZ12" s="136">
        <f ca="1">1/(1+$AV$12)^3</f>
        <v>0.68575367516955743</v>
      </c>
      <c r="BA12" s="136">
        <f ca="1">1/(1+$AV$12)^4</f>
        <v>0.60472444564607242</v>
      </c>
      <c r="BB12" s="136">
        <f ca="1">1/(1+$AV$12)^5</f>
        <v>0.53326969785693057</v>
      </c>
      <c r="BC12" s="136">
        <f ca="1">1/(1+$AV$12)^6</f>
        <v>0.47025810300855492</v>
      </c>
    </row>
    <row r="13" spans="1:55" x14ac:dyDescent="0.3">
      <c r="A13" s="227" t="s">
        <v>506</v>
      </c>
      <c r="B13" s="228"/>
      <c r="C13" s="229"/>
      <c r="D13" s="139">
        <f ca="1">D12*D10</f>
        <v>5255.5517629524702</v>
      </c>
      <c r="E13" s="139">
        <f t="shared" ref="E13:H13" ca="1" si="48">E12*E10</f>
        <v>5136.3656993398035</v>
      </c>
      <c r="F13" s="139">
        <f t="shared" ca="1" si="48"/>
        <v>5043.1895115938405</v>
      </c>
      <c r="G13" s="139">
        <f t="shared" ca="1" si="48"/>
        <v>4973.3499749842485</v>
      </c>
      <c r="H13" s="139">
        <f t="shared" ca="1" si="48"/>
        <v>4924.461916959166</v>
      </c>
      <c r="J13" s="224" t="s">
        <v>506</v>
      </c>
      <c r="K13" s="224"/>
      <c r="L13" s="224"/>
      <c r="M13" s="139">
        <f ca="1">M10*M12</f>
        <v>1845.0245111394831</v>
      </c>
      <c r="N13" s="139">
        <f t="shared" ref="N13:Q13" ca="1" si="49">N10*N12</f>
        <v>1398.6565231842051</v>
      </c>
      <c r="O13" s="139">
        <f t="shared" ca="1" si="49"/>
        <v>749.72112689513858</v>
      </c>
      <c r="P13" s="139">
        <f t="shared" ca="1" si="49"/>
        <v>-137.38278145377754</v>
      </c>
      <c r="Q13" s="139">
        <f t="shared" ca="1" si="49"/>
        <v>-1303.767162694465</v>
      </c>
      <c r="S13" s="224" t="s">
        <v>506</v>
      </c>
      <c r="T13" s="224"/>
      <c r="U13" s="224"/>
      <c r="V13" s="139">
        <f ca="1">V10*V12</f>
        <v>14261.455490903074</v>
      </c>
      <c r="W13" s="139">
        <f t="shared" ref="W13:Z13" ca="1" si="50">W10*W12</f>
        <v>12985.823401977486</v>
      </c>
      <c r="X13" s="139">
        <f t="shared" ca="1" si="50"/>
        <v>11842.976243904957</v>
      </c>
      <c r="Y13" s="139">
        <f t="shared" ca="1" si="50"/>
        <v>10814.030536412994</v>
      </c>
      <c r="Z13" s="139">
        <f t="shared" ca="1" si="50"/>
        <v>9883.7504368350892</v>
      </c>
      <c r="AB13" s="224" t="s">
        <v>506</v>
      </c>
      <c r="AC13" s="224"/>
      <c r="AD13" s="224"/>
      <c r="AE13" s="139">
        <f ca="1">AE10*AE12</f>
        <v>1226.2421037182064</v>
      </c>
      <c r="AF13" s="139">
        <f t="shared" ref="AF13:AJ13" ca="1" si="51">AF10*AF12</f>
        <v>1825.4217061760053</v>
      </c>
      <c r="AG13" s="139">
        <f t="shared" ca="1" si="51"/>
        <v>2507.5126637195581</v>
      </c>
      <c r="AH13" s="139">
        <f t="shared" ca="1" si="51"/>
        <v>3284.6963733971706</v>
      </c>
      <c r="AI13" s="139">
        <f t="shared" ca="1" si="51"/>
        <v>4170.8932120465361</v>
      </c>
      <c r="AJ13" s="139">
        <f t="shared" ca="1" si="51"/>
        <v>5182.0129947341256</v>
      </c>
      <c r="AL13" s="223" t="s">
        <v>506</v>
      </c>
      <c r="AM13" s="223"/>
      <c r="AN13" s="223"/>
      <c r="AO13" s="139">
        <f ca="1">AO10*AO12</f>
        <v>-244.8804738615093</v>
      </c>
      <c r="AP13" s="139">
        <f t="shared" ref="AP13:AS13" ca="1" si="52">AP10*AP12</f>
        <v>-581.13281960393465</v>
      </c>
      <c r="AQ13" s="139">
        <f t="shared" ca="1" si="52"/>
        <v>-903.28379723295097</v>
      </c>
      <c r="AR13" s="139">
        <f t="shared" ca="1" si="52"/>
        <v>-1215.4810862540039</v>
      </c>
      <c r="AS13" s="139">
        <f t="shared" ca="1" si="52"/>
        <v>-1521.3507980247721</v>
      </c>
      <c r="AU13" s="224" t="s">
        <v>506</v>
      </c>
      <c r="AV13" s="224"/>
      <c r="AW13" s="224"/>
      <c r="AX13" s="139">
        <f ca="1">AX10*AX12</f>
        <v>6196.4079936335802</v>
      </c>
      <c r="AY13" s="139">
        <f t="shared" ref="AY13:BC13" ca="1" si="53">AY10*AY12</f>
        <v>7391.1315915840123</v>
      </c>
      <c r="AZ13" s="139">
        <f t="shared" ca="1" si="53"/>
        <v>9135.6499991901128</v>
      </c>
      <c r="BA13" s="139">
        <f t="shared" ca="1" si="53"/>
        <v>11683.527374765634</v>
      </c>
      <c r="BB13" s="139">
        <f t="shared" ca="1" si="53"/>
        <v>15412.116022553002</v>
      </c>
      <c r="BC13" s="139">
        <f t="shared" ca="1" si="53"/>
        <v>20883.062939044183</v>
      </c>
    </row>
    <row r="15" spans="1:55" x14ac:dyDescent="0.3">
      <c r="A15" s="158" t="s">
        <v>507</v>
      </c>
      <c r="B15" s="159">
        <f ca="1">H10/(B12-'Key Assumptions-WACC'!K3)</f>
        <v>203161.79452854602</v>
      </c>
      <c r="J15" s="158" t="s">
        <v>507</v>
      </c>
      <c r="K15" s="159">
        <f ca="1">O10/(K12-'Key Assumptions-WACC'!L3)</f>
        <v>30829.928679936787</v>
      </c>
      <c r="S15" s="158" t="s">
        <v>507</v>
      </c>
      <c r="T15" s="159">
        <f ca="1">Z10/(T12-'Key Assumptions-WACC'!M3)</f>
        <v>425841.44559279375</v>
      </c>
      <c r="AB15" s="158" t="s">
        <v>507</v>
      </c>
      <c r="AC15" s="159">
        <f ca="1">AJ10/(AC12-'Key Assumptions-WACC'!N3)</f>
        <v>1147312.3520524346</v>
      </c>
      <c r="AL15" s="158" t="s">
        <v>507</v>
      </c>
      <c r="AM15" s="14">
        <f ca="1">AM10/(AM12-'Key Assumptions-WACC'!O3)</f>
        <v>1358.0358686421152</v>
      </c>
      <c r="AU15" s="158" t="s">
        <v>507</v>
      </c>
      <c r="AV15" s="159">
        <f ca="1">BC10/(AV12-'Key Assumptions-WACC'!P3)</f>
        <v>562167.56484675745</v>
      </c>
    </row>
    <row r="16" spans="1:55" x14ac:dyDescent="0.3">
      <c r="A16" s="4" t="s">
        <v>508</v>
      </c>
      <c r="B16" s="159">
        <f ca="1">B15*H12</f>
        <v>130375.3192886906</v>
      </c>
      <c r="J16" s="4" t="s">
        <v>508</v>
      </c>
      <c r="K16" s="159">
        <f ca="1">K15*O12</f>
        <v>24059.691301552262</v>
      </c>
      <c r="S16" s="4" t="s">
        <v>508</v>
      </c>
      <c r="T16" s="159">
        <f ca="1">T15/(1+'Key Assumptions-WACC'!M5)^5</f>
        <v>218915.80993059973</v>
      </c>
      <c r="AB16" s="4" t="s">
        <v>508</v>
      </c>
      <c r="AC16" s="159">
        <f ca="1">AC15/(1+'Key Assumptions-WACC'!N5)^6</f>
        <v>725299.65176426456</v>
      </c>
      <c r="AL16" s="4" t="s">
        <v>508</v>
      </c>
      <c r="AM16" s="14">
        <f ca="1">AM15/(1+'Key Assumptions-WACC'!O5)</f>
        <v>1191.920903621851</v>
      </c>
      <c r="AU16" s="4" t="s">
        <v>508</v>
      </c>
      <c r="AV16" s="159">
        <f ca="1">AV15/(1+'Key Assumptions-WACC'!P5)^6</f>
        <v>204907.32020171071</v>
      </c>
    </row>
    <row r="17" spans="1:48" x14ac:dyDescent="0.3">
      <c r="A17" s="4" t="s">
        <v>506</v>
      </c>
      <c r="B17" s="159">
        <f ca="1">SUM(D13:H13)</f>
        <v>25332.918865829532</v>
      </c>
      <c r="J17" s="4" t="s">
        <v>506</v>
      </c>
      <c r="K17" s="159">
        <f ca="1">SUM(M13:Q13)</f>
        <v>2552.2522170705843</v>
      </c>
      <c r="S17" s="4" t="s">
        <v>506</v>
      </c>
      <c r="T17" s="159">
        <f ca="1">SUM(V13:Z13)</f>
        <v>59788.036110033601</v>
      </c>
      <c r="AB17" s="4" t="s">
        <v>506</v>
      </c>
      <c r="AC17" s="159">
        <f ca="1">SUM(AE13:AJ13)</f>
        <v>18196.779053791604</v>
      </c>
      <c r="AL17" s="4" t="s">
        <v>506</v>
      </c>
      <c r="AM17" s="14">
        <f ca="1">SUM(AO13:AS13)</f>
        <v>-4466.1289749771713</v>
      </c>
      <c r="AU17" s="4" t="s">
        <v>506</v>
      </c>
      <c r="AV17" s="159">
        <f ca="1">SUM(AX13:BC13)</f>
        <v>70701.895920770534</v>
      </c>
    </row>
    <row r="18" spans="1:48" x14ac:dyDescent="0.3">
      <c r="A18" s="158" t="s">
        <v>509</v>
      </c>
      <c r="B18" s="159">
        <f ca="1">B16+B17</f>
        <v>155708.23815452014</v>
      </c>
      <c r="J18" s="158" t="s">
        <v>509</v>
      </c>
      <c r="K18" s="159">
        <f ca="1">K16+K17</f>
        <v>26611.943518622847</v>
      </c>
      <c r="S18" s="158" t="s">
        <v>509</v>
      </c>
      <c r="T18" s="159">
        <f ca="1">T16+T17</f>
        <v>278703.84604063333</v>
      </c>
      <c r="AB18" s="158" t="s">
        <v>509</v>
      </c>
      <c r="AC18" s="159">
        <f ca="1">AC16+AC17</f>
        <v>743496.43081805622</v>
      </c>
      <c r="AL18" s="158" t="s">
        <v>509</v>
      </c>
      <c r="AM18" s="14">
        <f ca="1">AM16+AM17</f>
        <v>-3274.2080713553205</v>
      </c>
      <c r="AU18" s="158" t="s">
        <v>509</v>
      </c>
      <c r="AV18" s="159">
        <f ca="1">AV16+AV17</f>
        <v>275609.21612248127</v>
      </c>
    </row>
    <row r="19" spans="1:48" x14ac:dyDescent="0.3">
      <c r="A19" s="4" t="s">
        <v>510</v>
      </c>
      <c r="B19" s="159">
        <f>'Key Assumptions-WACC'!B11-'Balance Sheet'!G21</f>
        <v>294.35000000000002</v>
      </c>
      <c r="J19" s="4" t="s">
        <v>510</v>
      </c>
      <c r="K19" s="159">
        <f>'Key Assumptions-WACC'!C11-(AVERAGE('Balance Sheet'!J25:O25))</f>
        <v>80887.415000000008</v>
      </c>
      <c r="S19" s="4" t="s">
        <v>510</v>
      </c>
      <c r="T19" s="159">
        <f>'Key Assumptions-WACC'!D11-AVERAGE('Balance Sheet'!R26:W26)</f>
        <v>74368.908333333326</v>
      </c>
      <c r="AB19" s="4" t="s">
        <v>510</v>
      </c>
      <c r="AC19" s="159">
        <f>'Key Assumptions-WACC'!E11-(AVERAGE('Balance Sheet'!Z27:AD27))</f>
        <v>14451.090000000002</v>
      </c>
      <c r="AL19" s="4" t="s">
        <v>510</v>
      </c>
      <c r="AM19" s="14">
        <f>'Key Assumptions-WACC'!F11-(AVERAGE('Balance Sheet'!AH28:AM28))</f>
        <v>241.29499999999993</v>
      </c>
      <c r="AU19" s="4" t="s">
        <v>510</v>
      </c>
      <c r="AV19" s="159">
        <f>'Key Assumptions-WACC'!G11-(AVERAGE('Balance Sheet'!AP27:AT27))</f>
        <v>7169.2399999999989</v>
      </c>
    </row>
    <row r="20" spans="1:48" x14ac:dyDescent="0.3">
      <c r="A20" s="158" t="s">
        <v>511</v>
      </c>
      <c r="B20" s="159">
        <f ca="1">B18+B19</f>
        <v>156002.58815452014</v>
      </c>
      <c r="J20" s="158" t="s">
        <v>511</v>
      </c>
      <c r="K20" s="159">
        <f ca="1">K18+K19</f>
        <v>107499.35851862286</v>
      </c>
      <c r="S20" s="158" t="s">
        <v>511</v>
      </c>
      <c r="T20" s="159">
        <f ca="1">T18+T19</f>
        <v>353072.75437396666</v>
      </c>
      <c r="AB20" s="158" t="s">
        <v>511</v>
      </c>
      <c r="AC20" s="159">
        <f ca="1">AC18+AC19</f>
        <v>757947.52081805619</v>
      </c>
      <c r="AL20" s="158" t="s">
        <v>511</v>
      </c>
      <c r="AM20" s="14">
        <f ca="1">AM18+AM19</f>
        <v>-3032.9130713553204</v>
      </c>
      <c r="AU20" s="158" t="s">
        <v>511</v>
      </c>
      <c r="AV20" s="159">
        <f ca="1">AV18+AV19</f>
        <v>282778.45612248126</v>
      </c>
    </row>
    <row r="21" spans="1:48" x14ac:dyDescent="0.3">
      <c r="A21" s="158" t="s">
        <v>512</v>
      </c>
      <c r="B21" s="159">
        <f ca="1">'Company Profile'!B16</f>
        <v>31.440259999999999</v>
      </c>
      <c r="J21" s="158" t="s">
        <v>512</v>
      </c>
      <c r="K21" s="159">
        <f ca="1">'Company Profile'!C16</f>
        <v>120.0046</v>
      </c>
      <c r="S21" s="158" t="s">
        <v>512</v>
      </c>
      <c r="T21" s="159">
        <f ca="1">'Company Profile'!D16</f>
        <v>368.23309999999998</v>
      </c>
      <c r="AB21" s="158" t="s">
        <v>512</v>
      </c>
      <c r="AC21" s="159">
        <f ca="1">'Company Profile'!E16</f>
        <v>47.491909999999997</v>
      </c>
      <c r="AL21" s="158" t="s">
        <v>512</v>
      </c>
      <c r="AM21" s="14">
        <f ca="1">'Company Profile'!F16</f>
        <v>85</v>
      </c>
      <c r="AU21" s="158" t="s">
        <v>512</v>
      </c>
      <c r="AV21" s="159">
        <f ca="1">'Company Profile'!G16</f>
        <v>1055.444</v>
      </c>
    </row>
    <row r="22" spans="1:48" ht="28.8" x14ac:dyDescent="0.3">
      <c r="A22" s="158" t="s">
        <v>513</v>
      </c>
      <c r="B22" s="160">
        <f ca="1">B20/B21</f>
        <v>4961.873348201324</v>
      </c>
      <c r="J22" s="158" t="s">
        <v>513</v>
      </c>
      <c r="K22" s="160">
        <f ca="1">K20/K21</f>
        <v>895.79364889864939</v>
      </c>
      <c r="S22" s="158" t="s">
        <v>513</v>
      </c>
      <c r="T22" s="160">
        <f ca="1">T20/T21</f>
        <v>958.82948701234807</v>
      </c>
      <c r="AB22" s="158" t="s">
        <v>513</v>
      </c>
      <c r="AC22" s="160">
        <f ca="1">AC20/AC21</f>
        <v>15959.508068175321</v>
      </c>
      <c r="AL22" s="158" t="s">
        <v>513</v>
      </c>
      <c r="AM22" s="14">
        <f ca="1">AM20/AM21</f>
        <v>-35.681330251239061</v>
      </c>
      <c r="AU22" s="158" t="s">
        <v>513</v>
      </c>
      <c r="AV22" s="160">
        <f ca="1">AV20/AV21</f>
        <v>267.92369478862099</v>
      </c>
    </row>
    <row r="23" spans="1:48" x14ac:dyDescent="0.3">
      <c r="A23" s="158" t="s">
        <v>514</v>
      </c>
      <c r="B23" s="10">
        <f ca="1">'Company Profile'!B11</f>
        <v>15583</v>
      </c>
      <c r="J23" s="158" t="s">
        <v>514</v>
      </c>
      <c r="K23" s="10">
        <f ca="1">'Company Profile'!C11</f>
        <v>3663.9</v>
      </c>
      <c r="S23" s="158" t="s">
        <v>514</v>
      </c>
      <c r="T23" s="10">
        <f ca="1">'Company Profile'!D11</f>
        <v>410.5</v>
      </c>
      <c r="AB23" s="158" t="s">
        <v>514</v>
      </c>
      <c r="AC23" s="10">
        <f ca="1">'Company Profile'!E11</f>
        <v>3490.8</v>
      </c>
      <c r="AL23" s="158" t="s">
        <v>514</v>
      </c>
      <c r="AM23" s="14">
        <f ca="1">'Company Profile'!F11</f>
        <v>379.55</v>
      </c>
      <c r="AU23" s="158" t="s">
        <v>514</v>
      </c>
      <c r="AV23" s="10">
        <f ca="1">'Company Profile'!G11</f>
        <v>102.55</v>
      </c>
    </row>
    <row r="24" spans="1:48" x14ac:dyDescent="0.3">
      <c r="A24" s="4" t="s">
        <v>515</v>
      </c>
      <c r="B24" s="161">
        <f ca="1">(B22-B23)/B23</f>
        <v>-0.68158420405561682</v>
      </c>
      <c r="J24" s="4" t="s">
        <v>515</v>
      </c>
      <c r="K24" s="161">
        <f ca="1">(K22-K23)/K23</f>
        <v>-0.75550816100367113</v>
      </c>
      <c r="S24" s="4" t="s">
        <v>515</v>
      </c>
      <c r="T24" s="161">
        <f ca="1">(T22-T23)/T23</f>
        <v>1.3357600170824557</v>
      </c>
      <c r="AB24" s="4" t="s">
        <v>515</v>
      </c>
      <c r="AC24" s="161">
        <f ca="1">(AC22-AC23)/AC23</f>
        <v>3.5718769531841756</v>
      </c>
      <c r="AL24" s="4" t="s">
        <v>515</v>
      </c>
      <c r="AM24" s="161">
        <f ca="1">(AM22-AM23)/AM23</f>
        <v>-1.0940095646192571</v>
      </c>
      <c r="AU24" s="4" t="s">
        <v>515</v>
      </c>
      <c r="AV24" s="161">
        <f ca="1">(AV22-AV23)/AV23</f>
        <v>1.6126152587871379</v>
      </c>
    </row>
    <row r="26" spans="1:48" x14ac:dyDescent="0.3">
      <c r="AN26" s="155"/>
    </row>
    <row r="27" spans="1:48" x14ac:dyDescent="0.3">
      <c r="A27" s="2" t="s">
        <v>460</v>
      </c>
      <c r="B27" s="2" t="str">
        <f>'5b'!B16</f>
        <v>Suzuki</v>
      </c>
      <c r="C27" s="162">
        <f>(AVERAGE(D4:H4)+AVERAGE(D7:H7))/AVERAGE(D3:H3)</f>
        <v>0.1106596281290587</v>
      </c>
      <c r="AM27" s="167"/>
      <c r="AN27" s="167"/>
      <c r="AO27" s="167"/>
      <c r="AP27" s="167"/>
      <c r="AQ27" s="167"/>
      <c r="AR27" s="167"/>
      <c r="AS27" s="167"/>
    </row>
    <row r="28" spans="1:48" x14ac:dyDescent="0.3">
      <c r="A28" s="2" t="s">
        <v>460</v>
      </c>
      <c r="B28" s="2" t="str">
        <f>'5b'!B17</f>
        <v>M&amp;M</v>
      </c>
      <c r="C28" s="162">
        <f>(AVERAGE(M4:Q4)+AVERAGE(M7:Q7))/AVERAGE(M3:Q3)</f>
        <v>0.2174837343657921</v>
      </c>
      <c r="AM28" s="166"/>
      <c r="AN28" s="166"/>
      <c r="AO28" s="166"/>
      <c r="AP28" s="166"/>
      <c r="AQ28" s="166"/>
      <c r="AR28" s="166"/>
      <c r="AS28" s="166"/>
    </row>
    <row r="29" spans="1:48" x14ac:dyDescent="0.3">
      <c r="A29" s="2" t="s">
        <v>460</v>
      </c>
      <c r="B29" s="2" t="str">
        <f>'5b'!B18</f>
        <v>Tata</v>
      </c>
      <c r="C29" s="162">
        <f>(AVERAGE(V4:Z4)+AVERAGE(V7:Z7))/AVERAGE(V3:Z3)</f>
        <v>0.12063218499654695</v>
      </c>
      <c r="AM29" s="168"/>
      <c r="AN29" s="168"/>
      <c r="AO29" s="168"/>
      <c r="AP29" s="168"/>
      <c r="AQ29" s="168"/>
      <c r="AR29" s="168"/>
      <c r="AS29" s="168"/>
    </row>
    <row r="30" spans="1:48" x14ac:dyDescent="0.3">
      <c r="A30" s="2" t="s">
        <v>460</v>
      </c>
      <c r="B30" s="2" t="str">
        <f>'5b'!B19</f>
        <v>TVS</v>
      </c>
      <c r="C30" s="162">
        <f>(AVERAGE(AE4:AJ4)+AVERAGE(AE7:AJ7))/AVERAGE(AE3:AJ3)</f>
        <v>0.16655349254301469</v>
      </c>
      <c r="AM30" s="169"/>
      <c r="AN30" s="169"/>
      <c r="AO30" s="169"/>
      <c r="AP30" s="169"/>
      <c r="AQ30" s="169"/>
      <c r="AR30" s="169"/>
      <c r="AS30" s="169"/>
    </row>
    <row r="31" spans="1:48" x14ac:dyDescent="0.3">
      <c r="A31" s="2" t="s">
        <v>460</v>
      </c>
      <c r="B31" s="2" t="str">
        <f>'5b'!B20</f>
        <v>Exide</v>
      </c>
      <c r="C31" s="162">
        <f>(AVERAGE(AO4:AS4)+AVERAGE(AO7:AS7))/AVERAGE(AO3:AS3)</f>
        <v>0.11459520595704781</v>
      </c>
      <c r="AM31" s="169"/>
      <c r="AN31" s="169"/>
      <c r="AO31" s="169"/>
      <c r="AP31" s="169"/>
      <c r="AQ31" s="169"/>
      <c r="AR31" s="169"/>
      <c r="AS31" s="169"/>
    </row>
    <row r="32" spans="1:48" x14ac:dyDescent="0.3">
      <c r="A32" s="2" t="s">
        <v>460</v>
      </c>
      <c r="B32" s="2" t="str">
        <f>'5b'!B21</f>
        <v>Motherson</v>
      </c>
      <c r="C32" s="162">
        <f>(AVERAGE(AX4:BC4)+AVERAGE(AX7:BC7))/AVERAGE(AX3:BC3)</f>
        <v>0.11936518512017497</v>
      </c>
      <c r="AM32" s="168"/>
      <c r="AN32" s="168"/>
      <c r="AO32" s="168"/>
      <c r="AP32" s="168"/>
      <c r="AQ32" s="168"/>
      <c r="AR32" s="168"/>
      <c r="AS32" s="168"/>
    </row>
    <row r="33" spans="1:45" x14ac:dyDescent="0.3">
      <c r="A33" s="65" t="s">
        <v>460</v>
      </c>
      <c r="B33" s="65" t="s">
        <v>549</v>
      </c>
      <c r="C33" s="183">
        <f>AVERAGE(C27:C32)</f>
        <v>0.14154823851860587</v>
      </c>
      <c r="AM33" s="166"/>
      <c r="AN33" s="166"/>
      <c r="AO33" s="166"/>
      <c r="AP33" s="166"/>
      <c r="AQ33" s="166"/>
      <c r="AR33" s="166"/>
      <c r="AS33" s="166"/>
    </row>
    <row r="34" spans="1:45" x14ac:dyDescent="0.3">
      <c r="AM34" s="168"/>
      <c r="AN34" s="168"/>
      <c r="AO34" s="168"/>
      <c r="AP34" s="168"/>
      <c r="AQ34" s="168"/>
      <c r="AR34" s="168"/>
      <c r="AS34" s="168"/>
    </row>
    <row r="35" spans="1:45" x14ac:dyDescent="0.3">
      <c r="AM35" s="168"/>
      <c r="AN35" s="168"/>
      <c r="AO35" s="168"/>
      <c r="AP35" s="168"/>
      <c r="AQ35" s="168"/>
      <c r="AR35" s="168"/>
      <c r="AS35" s="168"/>
    </row>
    <row r="36" spans="1:45" x14ac:dyDescent="0.3">
      <c r="AM36" s="168"/>
      <c r="AN36" s="168"/>
      <c r="AO36" s="168"/>
      <c r="AP36" s="168"/>
      <c r="AQ36" s="168"/>
      <c r="AR36" s="168"/>
      <c r="AS36" s="168"/>
    </row>
    <row r="37" spans="1:45" x14ac:dyDescent="0.3">
      <c r="AM37" s="168"/>
      <c r="AN37" s="168"/>
      <c r="AO37" s="168"/>
      <c r="AP37" s="168"/>
      <c r="AQ37" s="168"/>
      <c r="AR37" s="168"/>
      <c r="AS37" s="168"/>
    </row>
    <row r="38" spans="1:45" x14ac:dyDescent="0.3">
      <c r="AM38" s="168"/>
      <c r="AN38" s="168"/>
      <c r="AO38" s="168"/>
      <c r="AP38" s="168"/>
      <c r="AQ38" s="168"/>
      <c r="AR38" s="168"/>
      <c r="AS38" s="168"/>
    </row>
    <row r="39" spans="1:45" x14ac:dyDescent="0.3">
      <c r="AM39" s="168"/>
      <c r="AN39" s="168"/>
      <c r="AO39" s="168"/>
      <c r="AP39" s="168"/>
      <c r="AQ39" s="168"/>
      <c r="AR39" s="168"/>
      <c r="AS39" s="168"/>
    </row>
    <row r="40" spans="1:45" x14ac:dyDescent="0.3">
      <c r="AM40" s="168"/>
      <c r="AN40" s="168"/>
      <c r="AO40" s="168"/>
      <c r="AP40" s="168"/>
      <c r="AQ40" s="168"/>
      <c r="AR40" s="168"/>
      <c r="AS40" s="168"/>
    </row>
    <row r="41" spans="1:45" x14ac:dyDescent="0.3">
      <c r="AM41" s="168"/>
      <c r="AN41" s="168"/>
      <c r="AO41" s="168"/>
      <c r="AP41" s="168"/>
      <c r="AQ41" s="168"/>
      <c r="AR41" s="168"/>
      <c r="AS41" s="168"/>
    </row>
    <row r="42" spans="1:45" x14ac:dyDescent="0.3">
      <c r="AM42" s="168"/>
      <c r="AN42" s="168"/>
      <c r="AO42" s="168"/>
      <c r="AP42" s="168"/>
      <c r="AQ42" s="168"/>
      <c r="AR42" s="168"/>
      <c r="AS42" s="168"/>
    </row>
    <row r="43" spans="1:45" x14ac:dyDescent="0.3">
      <c r="AM43" s="168"/>
      <c r="AN43" s="168"/>
      <c r="AO43" s="168"/>
      <c r="AP43" s="168"/>
      <c r="AQ43" s="168"/>
      <c r="AR43" s="168"/>
      <c r="AS43" s="168"/>
    </row>
    <row r="44" spans="1:45" x14ac:dyDescent="0.3">
      <c r="AM44" s="168"/>
      <c r="AN44" s="168"/>
      <c r="AO44" s="168"/>
      <c r="AP44" s="168"/>
      <c r="AQ44" s="168"/>
      <c r="AR44" s="168"/>
      <c r="AS44" s="168"/>
    </row>
    <row r="45" spans="1:45" x14ac:dyDescent="0.3">
      <c r="AM45" s="168"/>
      <c r="AN45" s="168"/>
      <c r="AO45" s="168"/>
      <c r="AP45" s="168"/>
      <c r="AQ45" s="168"/>
      <c r="AR45" s="168"/>
      <c r="AS45" s="168"/>
    </row>
    <row r="46" spans="1:45" x14ac:dyDescent="0.3">
      <c r="AM46" s="3"/>
      <c r="AN46" s="3"/>
      <c r="AO46" s="3"/>
      <c r="AP46" s="3"/>
      <c r="AQ46" s="3"/>
      <c r="AR46" s="3"/>
      <c r="AS46" s="3"/>
    </row>
    <row r="47" spans="1:45" x14ac:dyDescent="0.3">
      <c r="AM47" s="3"/>
      <c r="AN47" s="3"/>
      <c r="AO47" s="3"/>
      <c r="AP47" s="3"/>
      <c r="AQ47" s="3"/>
      <c r="AR47" s="3"/>
      <c r="AS47" s="3"/>
    </row>
    <row r="48" spans="1:45" x14ac:dyDescent="0.3">
      <c r="AM48" s="3"/>
      <c r="AN48" s="3"/>
      <c r="AO48" s="3"/>
      <c r="AP48" s="3"/>
      <c r="AQ48" s="3"/>
      <c r="AR48" s="3"/>
      <c r="AS48" s="3"/>
    </row>
    <row r="49" spans="39:45" x14ac:dyDescent="0.3">
      <c r="AM49" s="3"/>
      <c r="AN49" s="3"/>
      <c r="AO49" s="3"/>
      <c r="AP49" s="3"/>
      <c r="AQ49" s="3"/>
      <c r="AR49" s="3"/>
      <c r="AS49" s="3"/>
    </row>
    <row r="50" spans="39:45" x14ac:dyDescent="0.3">
      <c r="AM50" s="3"/>
      <c r="AN50" s="3"/>
      <c r="AO50" s="3"/>
      <c r="AP50" s="3"/>
      <c r="AQ50" s="3"/>
      <c r="AR50" s="3"/>
      <c r="AS50" s="3"/>
    </row>
    <row r="51" spans="39:45" x14ac:dyDescent="0.3">
      <c r="AM51" s="3"/>
      <c r="AN51" s="3"/>
      <c r="AO51" s="3"/>
      <c r="AP51" s="3"/>
      <c r="AQ51" s="3"/>
      <c r="AR51" s="3"/>
      <c r="AS51" s="3"/>
    </row>
    <row r="52" spans="39:45" x14ac:dyDescent="0.3">
      <c r="AM52" s="3"/>
      <c r="AN52" s="3"/>
      <c r="AO52" s="3"/>
      <c r="AP52" s="3"/>
      <c r="AQ52" s="3"/>
      <c r="AR52" s="3"/>
      <c r="AS52" s="3"/>
    </row>
    <row r="53" spans="39:45" x14ac:dyDescent="0.3">
      <c r="AM53" s="3"/>
      <c r="AN53" s="3"/>
      <c r="AO53" s="3"/>
      <c r="AP53" s="3"/>
      <c r="AQ53" s="3"/>
      <c r="AR53" s="3"/>
      <c r="AS53" s="3"/>
    </row>
    <row r="54" spans="39:45" x14ac:dyDescent="0.3">
      <c r="AM54" s="3"/>
      <c r="AN54" s="3"/>
      <c r="AO54" s="3"/>
      <c r="AP54" s="3"/>
      <c r="AQ54" s="3"/>
      <c r="AR54" s="3"/>
      <c r="AS54" s="3"/>
    </row>
    <row r="55" spans="39:45" x14ac:dyDescent="0.3">
      <c r="AM55" s="3"/>
      <c r="AN55" s="3"/>
      <c r="AO55" s="3"/>
      <c r="AP55" s="3"/>
      <c r="AQ55" s="3"/>
      <c r="AR55" s="3"/>
      <c r="AS55" s="3"/>
    </row>
    <row r="56" spans="39:45" x14ac:dyDescent="0.3">
      <c r="AM56" s="3"/>
      <c r="AN56" s="3"/>
      <c r="AO56" s="3"/>
      <c r="AP56" s="3"/>
      <c r="AQ56" s="3"/>
      <c r="AR56" s="3"/>
      <c r="AS56" s="3"/>
    </row>
    <row r="57" spans="39:45" x14ac:dyDescent="0.3">
      <c r="AM57" s="3"/>
      <c r="AN57" s="3"/>
      <c r="AO57" s="3"/>
      <c r="AP57" s="3"/>
      <c r="AQ57" s="3"/>
      <c r="AR57" s="3"/>
      <c r="AS57" s="3"/>
    </row>
    <row r="58" spans="39:45" x14ac:dyDescent="0.3">
      <c r="AM58" s="3"/>
      <c r="AN58" s="3"/>
      <c r="AO58" s="3"/>
      <c r="AP58" s="3"/>
      <c r="AQ58" s="3"/>
      <c r="AR58" s="3"/>
      <c r="AS58" s="3"/>
    </row>
    <row r="59" spans="39:45" x14ac:dyDescent="0.3">
      <c r="AM59" s="3"/>
      <c r="AN59" s="3"/>
      <c r="AO59" s="3"/>
      <c r="AP59" s="3"/>
      <c r="AQ59" s="3"/>
      <c r="AR59" s="3"/>
      <c r="AS59" s="3"/>
    </row>
    <row r="60" spans="39:45" x14ac:dyDescent="0.3">
      <c r="AM60" s="3"/>
      <c r="AN60" s="3"/>
      <c r="AO60" s="3"/>
      <c r="AP60" s="3"/>
      <c r="AQ60" s="3"/>
      <c r="AR60" s="3"/>
      <c r="AS60" s="3"/>
    </row>
    <row r="61" spans="39:45" x14ac:dyDescent="0.3">
      <c r="AM61" s="3"/>
      <c r="AN61" s="3"/>
      <c r="AO61" s="3"/>
      <c r="AP61" s="3"/>
      <c r="AQ61" s="3"/>
      <c r="AR61" s="3"/>
      <c r="AS61" s="3"/>
    </row>
    <row r="62" spans="39:45" x14ac:dyDescent="0.3">
      <c r="AM62" s="3"/>
      <c r="AN62" s="3"/>
      <c r="AO62" s="3"/>
      <c r="AP62" s="3"/>
      <c r="AQ62" s="3"/>
      <c r="AR62" s="3"/>
      <c r="AS62" s="3"/>
    </row>
    <row r="63" spans="39:45" x14ac:dyDescent="0.3">
      <c r="AM63" s="3"/>
      <c r="AN63" s="3"/>
      <c r="AO63" s="3"/>
      <c r="AP63" s="3"/>
      <c r="AQ63" s="3"/>
      <c r="AR63" s="3"/>
      <c r="AS63" s="3"/>
    </row>
    <row r="64" spans="39:45" x14ac:dyDescent="0.3">
      <c r="AM64" s="3"/>
      <c r="AN64" s="3"/>
      <c r="AO64" s="3"/>
      <c r="AP64" s="3"/>
      <c r="AQ64" s="3"/>
      <c r="AR64" s="3"/>
      <c r="AS64" s="3"/>
    </row>
    <row r="65" spans="39:45" x14ac:dyDescent="0.3">
      <c r="AM65" s="3"/>
      <c r="AN65" s="3"/>
      <c r="AO65" s="3"/>
      <c r="AP65" s="3"/>
      <c r="AQ65" s="3"/>
      <c r="AR65" s="3"/>
      <c r="AS65" s="3"/>
    </row>
    <row r="66" spans="39:45" x14ac:dyDescent="0.3">
      <c r="AM66" s="3"/>
      <c r="AN66" s="3"/>
      <c r="AO66" s="3"/>
      <c r="AP66" s="3"/>
      <c r="AQ66" s="3"/>
      <c r="AR66" s="3"/>
      <c r="AS66" s="3"/>
    </row>
    <row r="67" spans="39:45" x14ac:dyDescent="0.3">
      <c r="AM67" s="3"/>
      <c r="AN67" s="3"/>
      <c r="AO67" s="3"/>
      <c r="AP67" s="3"/>
      <c r="AQ67" s="3"/>
      <c r="AR67" s="3"/>
      <c r="AS67" s="3"/>
    </row>
    <row r="68" spans="39:45" x14ac:dyDescent="0.3">
      <c r="AM68" s="3"/>
      <c r="AN68" s="3"/>
      <c r="AO68" s="3"/>
      <c r="AP68" s="3"/>
      <c r="AQ68" s="3"/>
      <c r="AR68" s="3"/>
      <c r="AS68" s="3"/>
    </row>
    <row r="69" spans="39:45" x14ac:dyDescent="0.3">
      <c r="AM69" s="3"/>
      <c r="AN69" s="3"/>
      <c r="AO69" s="3"/>
      <c r="AP69" s="3"/>
      <c r="AQ69" s="3"/>
      <c r="AR69" s="3"/>
      <c r="AS69" s="3"/>
    </row>
    <row r="70" spans="39:45" x14ac:dyDescent="0.3">
      <c r="AM70" s="3"/>
      <c r="AN70" s="3"/>
      <c r="AO70" s="3"/>
      <c r="AP70" s="3"/>
      <c r="AQ70" s="3"/>
      <c r="AR70" s="3"/>
      <c r="AS70" s="3"/>
    </row>
    <row r="71" spans="39:45" x14ac:dyDescent="0.3">
      <c r="AM71" s="3"/>
      <c r="AN71" s="3"/>
      <c r="AO71" s="3"/>
      <c r="AP71" s="3"/>
      <c r="AQ71" s="3"/>
      <c r="AR71" s="3"/>
      <c r="AS71" s="3"/>
    </row>
    <row r="72" spans="39:45" x14ac:dyDescent="0.3">
      <c r="AM72" s="3"/>
      <c r="AN72" s="3"/>
      <c r="AO72" s="3"/>
      <c r="AP72" s="3"/>
      <c r="AQ72" s="3"/>
      <c r="AR72" s="3"/>
      <c r="AS72" s="3"/>
    </row>
    <row r="73" spans="39:45" x14ac:dyDescent="0.3">
      <c r="AM73" s="3"/>
      <c r="AN73" s="3"/>
      <c r="AO73" s="3"/>
      <c r="AP73" s="3"/>
      <c r="AQ73" s="3"/>
      <c r="AR73" s="3"/>
      <c r="AS73" s="3"/>
    </row>
    <row r="74" spans="39:45" x14ac:dyDescent="0.3">
      <c r="AM74" s="3"/>
      <c r="AN74" s="3"/>
      <c r="AO74" s="3"/>
      <c r="AP74" s="3"/>
      <c r="AQ74" s="3"/>
      <c r="AR74" s="3"/>
      <c r="AS74" s="3"/>
    </row>
    <row r="75" spans="39:45" x14ac:dyDescent="0.3">
      <c r="AM75" s="3"/>
      <c r="AN75" s="3"/>
      <c r="AO75" s="3"/>
      <c r="AP75" s="3"/>
      <c r="AQ75" s="3"/>
      <c r="AR75" s="3"/>
      <c r="AS75" s="3"/>
    </row>
    <row r="76" spans="39:45" x14ac:dyDescent="0.3">
      <c r="AM76" s="3"/>
      <c r="AN76" s="3"/>
      <c r="AO76" s="3"/>
      <c r="AP76" s="3"/>
      <c r="AQ76" s="3"/>
      <c r="AR76" s="3"/>
      <c r="AS76" s="3"/>
    </row>
    <row r="77" spans="39:45" x14ac:dyDescent="0.3">
      <c r="AM77" s="3"/>
      <c r="AN77" s="3"/>
      <c r="AO77" s="3"/>
      <c r="AP77" s="3"/>
      <c r="AQ77" s="3"/>
      <c r="AR77" s="3"/>
      <c r="AS77" s="3"/>
    </row>
    <row r="78" spans="39:45" x14ac:dyDescent="0.3">
      <c r="AM78" s="3"/>
      <c r="AN78" s="3"/>
      <c r="AO78" s="3"/>
      <c r="AP78" s="3"/>
      <c r="AQ78" s="3"/>
      <c r="AR78" s="3"/>
      <c r="AS78" s="3"/>
    </row>
    <row r="79" spans="39:45" x14ac:dyDescent="0.3">
      <c r="AM79" s="3"/>
      <c r="AN79" s="3"/>
      <c r="AO79" s="3"/>
      <c r="AP79" s="3"/>
      <c r="AQ79" s="3"/>
      <c r="AR79" s="3"/>
      <c r="AS79" s="3"/>
    </row>
    <row r="80" spans="39:45" x14ac:dyDescent="0.3">
      <c r="AM80" s="3"/>
      <c r="AN80" s="3"/>
      <c r="AO80" s="3"/>
      <c r="AP80" s="3"/>
      <c r="AQ80" s="3"/>
      <c r="AR80" s="3"/>
      <c r="AS80" s="3"/>
    </row>
    <row r="81" spans="39:45" x14ac:dyDescent="0.3">
      <c r="AM81" s="3"/>
      <c r="AN81" s="3"/>
      <c r="AO81" s="3"/>
      <c r="AP81" s="3"/>
      <c r="AQ81" s="3"/>
      <c r="AR81" s="3"/>
      <c r="AS81" s="3"/>
    </row>
    <row r="82" spans="39:45" x14ac:dyDescent="0.3">
      <c r="AM82" s="3"/>
      <c r="AN82" s="3"/>
      <c r="AO82" s="3"/>
      <c r="AP82" s="3"/>
      <c r="AQ82" s="3"/>
      <c r="AR82" s="3"/>
      <c r="AS82" s="3"/>
    </row>
    <row r="83" spans="39:45" x14ac:dyDescent="0.3">
      <c r="AM83" s="3"/>
      <c r="AN83" s="3"/>
      <c r="AO83" s="3"/>
      <c r="AP83" s="3"/>
      <c r="AQ83" s="3"/>
      <c r="AR83" s="3"/>
      <c r="AS83" s="3"/>
    </row>
    <row r="84" spans="39:45" x14ac:dyDescent="0.3">
      <c r="AM84" s="3"/>
      <c r="AN84" s="3"/>
      <c r="AO84" s="3"/>
      <c r="AP84" s="3"/>
      <c r="AQ84" s="3"/>
      <c r="AR84" s="3"/>
      <c r="AS84" s="3"/>
    </row>
    <row r="85" spans="39:45" x14ac:dyDescent="0.3">
      <c r="AM85" s="3"/>
      <c r="AN85" s="3"/>
      <c r="AO85" s="3"/>
      <c r="AP85" s="3"/>
      <c r="AQ85" s="3"/>
      <c r="AR85" s="3"/>
      <c r="AS85" s="3"/>
    </row>
    <row r="86" spans="39:45" x14ac:dyDescent="0.3">
      <c r="AM86" s="3"/>
      <c r="AN86" s="3"/>
      <c r="AO86" s="3"/>
      <c r="AP86" s="3"/>
      <c r="AQ86" s="3"/>
      <c r="AR86" s="3"/>
      <c r="AS86" s="3"/>
    </row>
    <row r="87" spans="39:45" x14ac:dyDescent="0.3">
      <c r="AM87" s="3"/>
      <c r="AN87" s="3"/>
      <c r="AO87" s="3"/>
      <c r="AP87" s="3"/>
      <c r="AQ87" s="3"/>
      <c r="AR87" s="3"/>
      <c r="AS87" s="3"/>
    </row>
    <row r="88" spans="39:45" x14ac:dyDescent="0.3">
      <c r="AM88" s="3"/>
      <c r="AN88" s="3"/>
      <c r="AO88" s="3"/>
      <c r="AP88" s="3"/>
      <c r="AQ88" s="3"/>
      <c r="AR88" s="3"/>
      <c r="AS88" s="3"/>
    </row>
    <row r="89" spans="39:45" x14ac:dyDescent="0.3">
      <c r="AM89" s="3"/>
      <c r="AN89" s="3"/>
      <c r="AO89" s="3"/>
      <c r="AP89" s="3"/>
      <c r="AQ89" s="3"/>
      <c r="AR89" s="3"/>
      <c r="AS89" s="3"/>
    </row>
    <row r="90" spans="39:45" x14ac:dyDescent="0.3">
      <c r="AM90" s="3"/>
      <c r="AN90" s="3"/>
      <c r="AO90" s="3"/>
      <c r="AP90" s="3"/>
      <c r="AQ90" s="3"/>
      <c r="AR90" s="3"/>
      <c r="AS90" s="3"/>
    </row>
    <row r="91" spans="39:45" x14ac:dyDescent="0.3">
      <c r="AM91" s="3"/>
      <c r="AN91" s="3"/>
      <c r="AO91" s="3"/>
      <c r="AP91" s="3"/>
      <c r="AQ91" s="3"/>
      <c r="AR91" s="3"/>
      <c r="AS91" s="3"/>
    </row>
    <row r="92" spans="39:45" x14ac:dyDescent="0.3">
      <c r="AM92" s="3"/>
      <c r="AN92" s="3"/>
      <c r="AO92" s="3"/>
      <c r="AP92" s="3"/>
      <c r="AQ92" s="3"/>
      <c r="AR92" s="3"/>
      <c r="AS92" s="3"/>
    </row>
    <row r="93" spans="39:45" x14ac:dyDescent="0.3">
      <c r="AM93" s="3"/>
      <c r="AN93" s="3"/>
      <c r="AO93" s="3"/>
      <c r="AP93" s="3"/>
      <c r="AQ93" s="3"/>
      <c r="AR93" s="3"/>
      <c r="AS93" s="3"/>
    </row>
    <row r="94" spans="39:45" x14ac:dyDescent="0.3">
      <c r="AM94" s="3"/>
      <c r="AN94" s="3"/>
      <c r="AO94" s="3"/>
      <c r="AP94" s="3"/>
      <c r="AQ94" s="3"/>
      <c r="AR94" s="3"/>
      <c r="AS94" s="3"/>
    </row>
    <row r="95" spans="39:45" x14ac:dyDescent="0.3">
      <c r="AM95" s="3"/>
      <c r="AN95" s="3"/>
      <c r="AO95" s="3"/>
      <c r="AP95" s="3"/>
      <c r="AQ95" s="3"/>
      <c r="AR95" s="3"/>
      <c r="AS95" s="3"/>
    </row>
    <row r="96" spans="39:45" x14ac:dyDescent="0.3">
      <c r="AM96" s="3"/>
      <c r="AN96" s="3"/>
      <c r="AO96" s="3"/>
      <c r="AP96" s="3"/>
      <c r="AQ96" s="3"/>
      <c r="AR96" s="3"/>
      <c r="AS96" s="3"/>
    </row>
    <row r="97" spans="39:45" x14ac:dyDescent="0.3">
      <c r="AM97" s="3"/>
      <c r="AN97" s="3"/>
      <c r="AO97" s="3"/>
      <c r="AP97" s="3"/>
      <c r="AQ97" s="3"/>
      <c r="AR97" s="3"/>
      <c r="AS97" s="3"/>
    </row>
    <row r="98" spans="39:45" x14ac:dyDescent="0.3">
      <c r="AM98" s="3"/>
      <c r="AN98" s="3"/>
      <c r="AO98" s="3"/>
      <c r="AP98" s="3"/>
      <c r="AQ98" s="3"/>
      <c r="AR98" s="3"/>
      <c r="AS98" s="3"/>
    </row>
    <row r="99" spans="39:45" x14ac:dyDescent="0.3">
      <c r="AM99" s="3"/>
      <c r="AN99" s="3"/>
      <c r="AO99" s="3"/>
      <c r="AP99" s="3"/>
      <c r="AQ99" s="3"/>
      <c r="AR99" s="3"/>
      <c r="AS99" s="3"/>
    </row>
    <row r="100" spans="39:45" x14ac:dyDescent="0.3">
      <c r="AM100" s="3"/>
      <c r="AN100" s="3"/>
      <c r="AO100" s="3"/>
      <c r="AP100" s="3"/>
      <c r="AQ100" s="3"/>
      <c r="AR100" s="3"/>
      <c r="AS100" s="3"/>
    </row>
    <row r="101" spans="39:45" x14ac:dyDescent="0.3">
      <c r="AM101" s="3"/>
      <c r="AN101" s="3"/>
      <c r="AO101" s="3"/>
      <c r="AP101" s="3"/>
      <c r="AQ101" s="3"/>
      <c r="AR101" s="3"/>
      <c r="AS101" s="3"/>
    </row>
    <row r="102" spans="39:45" x14ac:dyDescent="0.3">
      <c r="AM102" s="3"/>
      <c r="AN102" s="3"/>
      <c r="AO102" s="3"/>
      <c r="AP102" s="3"/>
      <c r="AQ102" s="3"/>
      <c r="AR102" s="3"/>
      <c r="AS102" s="3"/>
    </row>
    <row r="103" spans="39:45" x14ac:dyDescent="0.3">
      <c r="AM103" s="3"/>
      <c r="AN103" s="3"/>
      <c r="AO103" s="3"/>
      <c r="AP103" s="3"/>
      <c r="AQ103" s="3"/>
      <c r="AR103" s="3"/>
      <c r="AS103" s="3"/>
    </row>
    <row r="104" spans="39:45" x14ac:dyDescent="0.3">
      <c r="AM104" s="3"/>
      <c r="AN104" s="3"/>
      <c r="AO104" s="3"/>
      <c r="AP104" s="3"/>
      <c r="AQ104" s="3"/>
      <c r="AR104" s="3"/>
      <c r="AS104" s="3"/>
    </row>
    <row r="105" spans="39:45" x14ac:dyDescent="0.3">
      <c r="AM105" s="3"/>
      <c r="AN105" s="3"/>
      <c r="AO105" s="3"/>
      <c r="AP105" s="3"/>
      <c r="AQ105" s="3"/>
      <c r="AR105" s="3"/>
      <c r="AS105" s="3"/>
    </row>
    <row r="106" spans="39:45" x14ac:dyDescent="0.3">
      <c r="AM106" s="3"/>
      <c r="AN106" s="3"/>
      <c r="AO106" s="3"/>
      <c r="AP106" s="3"/>
      <c r="AQ106" s="3"/>
      <c r="AR106" s="3"/>
      <c r="AS106" s="3"/>
    </row>
    <row r="107" spans="39:45" x14ac:dyDescent="0.3">
      <c r="AM107" s="3"/>
      <c r="AN107" s="3"/>
      <c r="AO107" s="3"/>
      <c r="AP107" s="3"/>
      <c r="AQ107" s="3"/>
      <c r="AR107" s="3"/>
      <c r="AS107" s="3"/>
    </row>
    <row r="108" spans="39:45" x14ac:dyDescent="0.3">
      <c r="AM108" s="3"/>
      <c r="AN108" s="3"/>
      <c r="AO108" s="3"/>
      <c r="AP108" s="3"/>
      <c r="AQ108" s="3"/>
      <c r="AR108" s="3"/>
      <c r="AS108" s="3"/>
    </row>
    <row r="109" spans="39:45" x14ac:dyDescent="0.3">
      <c r="AM109" s="3"/>
      <c r="AN109" s="3"/>
      <c r="AO109" s="3"/>
      <c r="AP109" s="3"/>
      <c r="AQ109" s="3"/>
      <c r="AR109" s="3"/>
      <c r="AS109" s="3"/>
    </row>
    <row r="110" spans="39:45" x14ac:dyDescent="0.3">
      <c r="AM110" s="3"/>
      <c r="AN110" s="3"/>
      <c r="AO110" s="3"/>
      <c r="AP110" s="3"/>
      <c r="AQ110" s="3"/>
      <c r="AR110" s="3"/>
      <c r="AS110" s="3"/>
    </row>
    <row r="111" spans="39:45" x14ac:dyDescent="0.3">
      <c r="AM111" s="3"/>
      <c r="AN111" s="3"/>
      <c r="AO111" s="3"/>
      <c r="AP111" s="3"/>
      <c r="AQ111" s="3"/>
      <c r="AR111" s="3"/>
      <c r="AS111" s="3"/>
    </row>
    <row r="112" spans="39:45" x14ac:dyDescent="0.3">
      <c r="AM112" s="3"/>
      <c r="AN112" s="3"/>
      <c r="AO112" s="3"/>
      <c r="AP112" s="3"/>
      <c r="AQ112" s="3"/>
      <c r="AR112" s="3"/>
      <c r="AS112" s="3"/>
    </row>
    <row r="113" spans="39:45" x14ac:dyDescent="0.3">
      <c r="AM113" s="3"/>
      <c r="AN113" s="3"/>
      <c r="AO113" s="3"/>
      <c r="AP113" s="3"/>
      <c r="AQ113" s="3"/>
      <c r="AR113" s="3"/>
      <c r="AS113" s="3"/>
    </row>
    <row r="114" spans="39:45" x14ac:dyDescent="0.3">
      <c r="AM114" s="3"/>
      <c r="AN114" s="3"/>
      <c r="AO114" s="3"/>
      <c r="AP114" s="3"/>
      <c r="AQ114" s="3"/>
      <c r="AR114" s="3"/>
      <c r="AS114" s="3"/>
    </row>
    <row r="115" spans="39:45" x14ac:dyDescent="0.3">
      <c r="AM115" s="3"/>
      <c r="AN115" s="3"/>
      <c r="AO115" s="3"/>
      <c r="AP115" s="3"/>
      <c r="AQ115" s="3"/>
      <c r="AR115" s="3"/>
      <c r="AS115" s="3"/>
    </row>
    <row r="116" spans="39:45" x14ac:dyDescent="0.3">
      <c r="AM116" s="3"/>
      <c r="AN116" s="3"/>
      <c r="AO116" s="3"/>
      <c r="AP116" s="3"/>
      <c r="AQ116" s="3"/>
      <c r="AR116" s="3"/>
      <c r="AS116" s="3"/>
    </row>
    <row r="117" spans="39:45" x14ac:dyDescent="0.3">
      <c r="AM117" s="3"/>
      <c r="AN117" s="3"/>
      <c r="AO117" s="3"/>
      <c r="AP117" s="3"/>
      <c r="AQ117" s="3"/>
      <c r="AR117" s="3"/>
      <c r="AS117" s="3"/>
    </row>
    <row r="118" spans="39:45" x14ac:dyDescent="0.3">
      <c r="AM118" s="3"/>
      <c r="AN118" s="3"/>
      <c r="AO118" s="3"/>
      <c r="AP118" s="3"/>
      <c r="AQ118" s="3"/>
      <c r="AR118" s="3"/>
      <c r="AS118" s="3"/>
    </row>
    <row r="119" spans="39:45" x14ac:dyDescent="0.3">
      <c r="AM119" s="3"/>
      <c r="AN119" s="3"/>
      <c r="AO119" s="3"/>
      <c r="AP119" s="3"/>
      <c r="AQ119" s="3"/>
      <c r="AR119" s="3"/>
      <c r="AS119" s="3"/>
    </row>
    <row r="120" spans="39:45" x14ac:dyDescent="0.3">
      <c r="AM120" s="3"/>
      <c r="AN120" s="3"/>
      <c r="AO120" s="3"/>
      <c r="AP120" s="3"/>
      <c r="AQ120" s="3"/>
      <c r="AR120" s="3"/>
      <c r="AS120" s="3"/>
    </row>
    <row r="121" spans="39:45" x14ac:dyDescent="0.3">
      <c r="AM121" s="3"/>
      <c r="AN121" s="3"/>
      <c r="AO121" s="3"/>
      <c r="AP121" s="3"/>
      <c r="AQ121" s="3"/>
      <c r="AR121" s="3"/>
      <c r="AS121" s="3"/>
    </row>
    <row r="122" spans="39:45" x14ac:dyDescent="0.3">
      <c r="AM122" s="3"/>
      <c r="AN122" s="3"/>
      <c r="AO122" s="3"/>
      <c r="AP122" s="3"/>
      <c r="AQ122" s="3"/>
      <c r="AR122" s="3"/>
      <c r="AS122" s="3"/>
    </row>
    <row r="123" spans="39:45" x14ac:dyDescent="0.3">
      <c r="AM123" s="3"/>
      <c r="AN123" s="3"/>
      <c r="AO123" s="3"/>
      <c r="AP123" s="3"/>
      <c r="AQ123" s="3"/>
      <c r="AR123" s="3"/>
      <c r="AS123" s="3"/>
    </row>
    <row r="124" spans="39:45" x14ac:dyDescent="0.3">
      <c r="AM124" s="3"/>
      <c r="AN124" s="3"/>
      <c r="AO124" s="3"/>
      <c r="AP124" s="3"/>
      <c r="AQ124" s="3"/>
      <c r="AR124" s="3"/>
      <c r="AS124" s="3"/>
    </row>
    <row r="125" spans="39:45" x14ac:dyDescent="0.3">
      <c r="AM125" s="3"/>
      <c r="AN125" s="3"/>
      <c r="AO125" s="3"/>
      <c r="AP125" s="3"/>
      <c r="AQ125" s="3"/>
      <c r="AR125" s="3"/>
      <c r="AS125" s="3"/>
    </row>
    <row r="126" spans="39:45" x14ac:dyDescent="0.3">
      <c r="AM126" s="3"/>
      <c r="AN126" s="3"/>
      <c r="AO126" s="3"/>
      <c r="AP126" s="3"/>
      <c r="AQ126" s="3"/>
      <c r="AR126" s="3"/>
      <c r="AS126" s="3"/>
    </row>
    <row r="127" spans="39:45" x14ac:dyDescent="0.3">
      <c r="AM127" s="3"/>
      <c r="AN127" s="3"/>
      <c r="AO127" s="3"/>
      <c r="AP127" s="3"/>
      <c r="AQ127" s="3"/>
      <c r="AR127" s="3"/>
      <c r="AS127" s="3"/>
    </row>
    <row r="128" spans="39:45" x14ac:dyDescent="0.3">
      <c r="AM128" s="3"/>
      <c r="AN128" s="3"/>
      <c r="AO128" s="3"/>
      <c r="AP128" s="3"/>
      <c r="AQ128" s="3"/>
      <c r="AR128" s="3"/>
      <c r="AS128" s="3"/>
    </row>
    <row r="129" spans="39:45" x14ac:dyDescent="0.3">
      <c r="AM129" s="3"/>
      <c r="AN129" s="3"/>
      <c r="AO129" s="3"/>
      <c r="AP129" s="3"/>
      <c r="AQ129" s="3"/>
      <c r="AR129" s="3"/>
      <c r="AS129" s="3"/>
    </row>
    <row r="130" spans="39:45" x14ac:dyDescent="0.3">
      <c r="AM130" s="3"/>
      <c r="AN130" s="3"/>
      <c r="AO130" s="3"/>
      <c r="AP130" s="3"/>
      <c r="AQ130" s="3"/>
      <c r="AR130" s="3"/>
      <c r="AS130" s="3"/>
    </row>
    <row r="131" spans="39:45" x14ac:dyDescent="0.3">
      <c r="AM131" s="3"/>
      <c r="AN131" s="3"/>
      <c r="AO131" s="3"/>
      <c r="AP131" s="3"/>
      <c r="AQ131" s="3"/>
      <c r="AR131" s="3"/>
      <c r="AS131" s="3"/>
    </row>
    <row r="132" spans="39:45" x14ac:dyDescent="0.3">
      <c r="AM132" s="3"/>
      <c r="AN132" s="3"/>
      <c r="AO132" s="3"/>
      <c r="AP132" s="3"/>
      <c r="AQ132" s="3"/>
      <c r="AR132" s="3"/>
      <c r="AS132" s="3"/>
    </row>
    <row r="133" spans="39:45" x14ac:dyDescent="0.3">
      <c r="AM133" s="3"/>
      <c r="AN133" s="3"/>
      <c r="AO133" s="3"/>
      <c r="AP133" s="3"/>
      <c r="AQ133" s="3"/>
      <c r="AR133" s="3"/>
      <c r="AS133" s="3"/>
    </row>
    <row r="134" spans="39:45" x14ac:dyDescent="0.3">
      <c r="AM134" s="3"/>
      <c r="AN134" s="3"/>
      <c r="AO134" s="3"/>
      <c r="AP134" s="3"/>
      <c r="AQ134" s="3"/>
      <c r="AR134" s="3"/>
      <c r="AS134" s="3"/>
    </row>
    <row r="135" spans="39:45" x14ac:dyDescent="0.3">
      <c r="AM135" s="3"/>
      <c r="AN135" s="3"/>
      <c r="AO135" s="3"/>
      <c r="AP135" s="3"/>
      <c r="AQ135" s="3"/>
      <c r="AR135" s="3"/>
      <c r="AS135" s="3"/>
    </row>
    <row r="136" spans="39:45" x14ac:dyDescent="0.3">
      <c r="AM136" s="3"/>
      <c r="AN136" s="3"/>
      <c r="AO136" s="3"/>
      <c r="AP136" s="3"/>
      <c r="AQ136" s="3"/>
      <c r="AR136" s="3"/>
      <c r="AS136" s="3"/>
    </row>
    <row r="137" spans="39:45" x14ac:dyDescent="0.3">
      <c r="AM137" s="3"/>
      <c r="AN137" s="3"/>
      <c r="AO137" s="3"/>
      <c r="AP137" s="3"/>
      <c r="AQ137" s="3"/>
      <c r="AR137" s="3"/>
      <c r="AS137" s="3"/>
    </row>
    <row r="138" spans="39:45" x14ac:dyDescent="0.3">
      <c r="AM138" s="3"/>
      <c r="AN138" s="3"/>
      <c r="AO138" s="3"/>
      <c r="AP138" s="3"/>
      <c r="AQ138" s="3"/>
      <c r="AR138" s="3"/>
      <c r="AS138" s="3"/>
    </row>
    <row r="139" spans="39:45" x14ac:dyDescent="0.3">
      <c r="AM139" s="3"/>
      <c r="AN139" s="3"/>
      <c r="AO139" s="3"/>
      <c r="AP139" s="3"/>
      <c r="AQ139" s="3"/>
      <c r="AR139" s="3"/>
      <c r="AS139" s="3"/>
    </row>
    <row r="140" spans="39:45" x14ac:dyDescent="0.3">
      <c r="AM140" s="3"/>
      <c r="AN140" s="3"/>
      <c r="AO140" s="3"/>
      <c r="AP140" s="3"/>
      <c r="AQ140" s="3"/>
      <c r="AR140" s="3"/>
      <c r="AS140" s="3"/>
    </row>
    <row r="141" spans="39:45" x14ac:dyDescent="0.3">
      <c r="AM141" s="3"/>
      <c r="AN141" s="3"/>
      <c r="AO141" s="3"/>
      <c r="AP141" s="3"/>
      <c r="AQ141" s="3"/>
      <c r="AR141" s="3"/>
      <c r="AS141" s="3"/>
    </row>
    <row r="142" spans="39:45" x14ac:dyDescent="0.3">
      <c r="AM142" s="3"/>
      <c r="AN142" s="3"/>
      <c r="AO142" s="3"/>
      <c r="AP142" s="3"/>
      <c r="AQ142" s="3"/>
      <c r="AR142" s="3"/>
      <c r="AS142" s="3"/>
    </row>
    <row r="143" spans="39:45" x14ac:dyDescent="0.3">
      <c r="AM143" s="3"/>
      <c r="AN143" s="3"/>
      <c r="AO143" s="3"/>
      <c r="AP143" s="3"/>
      <c r="AQ143" s="3"/>
      <c r="AR143" s="3"/>
      <c r="AS143" s="3"/>
    </row>
    <row r="144" spans="39:45" x14ac:dyDescent="0.3">
      <c r="AM144" s="3"/>
      <c r="AN144" s="3"/>
      <c r="AO144" s="3"/>
      <c r="AP144" s="3"/>
      <c r="AQ144" s="3"/>
      <c r="AR144" s="3"/>
      <c r="AS144" s="3"/>
    </row>
    <row r="145" spans="39:45" x14ac:dyDescent="0.3">
      <c r="AM145" s="3"/>
      <c r="AN145" s="3"/>
      <c r="AO145" s="3"/>
      <c r="AP145" s="3"/>
      <c r="AQ145" s="3"/>
      <c r="AR145" s="3"/>
      <c r="AS145" s="3"/>
    </row>
    <row r="146" spans="39:45" x14ac:dyDescent="0.3">
      <c r="AM146" s="3"/>
      <c r="AN146" s="3"/>
      <c r="AO146" s="3"/>
      <c r="AP146" s="3"/>
      <c r="AQ146" s="3"/>
      <c r="AR146" s="3"/>
      <c r="AS146" s="3"/>
    </row>
    <row r="147" spans="39:45" x14ac:dyDescent="0.3">
      <c r="AM147" s="3"/>
      <c r="AN147" s="3"/>
      <c r="AO147" s="3"/>
      <c r="AP147" s="3"/>
      <c r="AQ147" s="3"/>
      <c r="AR147" s="3"/>
      <c r="AS147" s="3"/>
    </row>
    <row r="148" spans="39:45" x14ac:dyDescent="0.3">
      <c r="AM148" s="3"/>
      <c r="AN148" s="3"/>
      <c r="AO148" s="3"/>
      <c r="AP148" s="3"/>
      <c r="AQ148" s="3"/>
      <c r="AR148" s="3"/>
      <c r="AS148" s="3"/>
    </row>
    <row r="149" spans="39:45" x14ac:dyDescent="0.3">
      <c r="AM149" s="3"/>
      <c r="AN149" s="3"/>
      <c r="AO149" s="3"/>
      <c r="AP149" s="3"/>
      <c r="AQ149" s="3"/>
      <c r="AR149" s="3"/>
      <c r="AS149" s="3"/>
    </row>
    <row r="150" spans="39:45" x14ac:dyDescent="0.3">
      <c r="AM150" s="3"/>
      <c r="AN150" s="3"/>
      <c r="AO150" s="3"/>
      <c r="AP150" s="3"/>
      <c r="AQ150" s="3"/>
      <c r="AR150" s="3"/>
      <c r="AS150" s="3"/>
    </row>
    <row r="151" spans="39:45" x14ac:dyDescent="0.3">
      <c r="AM151" s="3"/>
      <c r="AN151" s="3"/>
      <c r="AO151" s="3"/>
      <c r="AP151" s="3"/>
      <c r="AQ151" s="3"/>
      <c r="AR151" s="3"/>
      <c r="AS151" s="3"/>
    </row>
    <row r="152" spans="39:45" x14ac:dyDescent="0.3">
      <c r="AM152" s="3"/>
      <c r="AN152" s="3"/>
      <c r="AO152" s="3"/>
      <c r="AP152" s="3"/>
      <c r="AQ152" s="3"/>
      <c r="AR152" s="3"/>
      <c r="AS152" s="3"/>
    </row>
    <row r="153" spans="39:45" x14ac:dyDescent="0.3">
      <c r="AM153" s="3"/>
      <c r="AN153" s="3"/>
      <c r="AO153" s="3"/>
      <c r="AP153" s="3"/>
      <c r="AQ153" s="3"/>
      <c r="AR153" s="3"/>
      <c r="AS153" s="3"/>
    </row>
    <row r="154" spans="39:45" x14ac:dyDescent="0.3">
      <c r="AM154" s="3"/>
      <c r="AN154" s="3"/>
      <c r="AO154" s="3"/>
      <c r="AP154" s="3"/>
      <c r="AQ154" s="3"/>
      <c r="AR154" s="3"/>
      <c r="AS154" s="3"/>
    </row>
    <row r="155" spans="39:45" x14ac:dyDescent="0.3">
      <c r="AM155" s="3"/>
      <c r="AN155" s="3"/>
      <c r="AO155" s="3"/>
      <c r="AP155" s="3"/>
      <c r="AQ155" s="3"/>
      <c r="AR155" s="3"/>
      <c r="AS155" s="3"/>
    </row>
    <row r="156" spans="39:45" x14ac:dyDescent="0.3">
      <c r="AM156" s="3"/>
      <c r="AN156" s="3"/>
      <c r="AO156" s="3"/>
      <c r="AP156" s="3"/>
      <c r="AQ156" s="3"/>
      <c r="AR156" s="3"/>
      <c r="AS156" s="3"/>
    </row>
    <row r="157" spans="39:45" x14ac:dyDescent="0.3">
      <c r="AM157" s="3"/>
      <c r="AN157" s="3"/>
      <c r="AO157" s="3"/>
      <c r="AP157" s="3"/>
      <c r="AQ157" s="3"/>
      <c r="AR157" s="3"/>
      <c r="AS157" s="3"/>
    </row>
    <row r="158" spans="39:45" x14ac:dyDescent="0.3">
      <c r="AM158" s="3"/>
      <c r="AN158" s="3"/>
      <c r="AO158" s="3"/>
      <c r="AP158" s="3"/>
      <c r="AQ158" s="3"/>
      <c r="AR158" s="3"/>
      <c r="AS158" s="3"/>
    </row>
    <row r="159" spans="39:45" x14ac:dyDescent="0.3">
      <c r="AM159" s="3"/>
      <c r="AN159" s="3"/>
      <c r="AO159" s="3"/>
      <c r="AP159" s="3"/>
      <c r="AQ159" s="3"/>
      <c r="AR159" s="3"/>
      <c r="AS159" s="3"/>
    </row>
    <row r="160" spans="39:45" x14ac:dyDescent="0.3">
      <c r="AM160" s="3"/>
      <c r="AN160" s="3"/>
      <c r="AO160" s="3"/>
      <c r="AP160" s="3"/>
      <c r="AQ160" s="3"/>
      <c r="AR160" s="3"/>
      <c r="AS160" s="3"/>
    </row>
    <row r="161" spans="39:45" x14ac:dyDescent="0.3">
      <c r="AM161" s="3"/>
      <c r="AN161" s="3"/>
      <c r="AO161" s="3"/>
      <c r="AP161" s="3"/>
      <c r="AQ161" s="3"/>
      <c r="AR161" s="3"/>
      <c r="AS161" s="3"/>
    </row>
    <row r="162" spans="39:45" x14ac:dyDescent="0.3">
      <c r="AM162" s="3"/>
      <c r="AN162" s="3"/>
      <c r="AO162" s="3"/>
      <c r="AP162" s="3"/>
      <c r="AQ162" s="3"/>
      <c r="AR162" s="3"/>
      <c r="AS162" s="3"/>
    </row>
    <row r="163" spans="39:45" x14ac:dyDescent="0.3">
      <c r="AM163" s="3"/>
      <c r="AN163" s="3"/>
      <c r="AO163" s="3"/>
      <c r="AP163" s="3"/>
      <c r="AQ163" s="3"/>
      <c r="AR163" s="3"/>
      <c r="AS163" s="3"/>
    </row>
    <row r="164" spans="39:45" x14ac:dyDescent="0.3">
      <c r="AM164" s="3"/>
      <c r="AN164" s="3"/>
      <c r="AO164" s="3"/>
      <c r="AP164" s="3"/>
      <c r="AQ164" s="3"/>
      <c r="AR164" s="3"/>
      <c r="AS164" s="3"/>
    </row>
    <row r="165" spans="39:45" x14ac:dyDescent="0.3">
      <c r="AM165" s="3"/>
      <c r="AN165" s="3"/>
      <c r="AO165" s="3"/>
      <c r="AP165" s="3"/>
      <c r="AQ165" s="3"/>
      <c r="AR165" s="3"/>
      <c r="AS165" s="3"/>
    </row>
    <row r="166" spans="39:45" x14ac:dyDescent="0.3">
      <c r="AM166" s="3"/>
      <c r="AN166" s="3"/>
      <c r="AO166" s="3"/>
      <c r="AP166" s="3"/>
      <c r="AQ166" s="3"/>
      <c r="AR166" s="3"/>
      <c r="AS166" s="3"/>
    </row>
    <row r="167" spans="39:45" x14ac:dyDescent="0.3">
      <c r="AM167" s="3"/>
      <c r="AN167" s="3"/>
      <c r="AO167" s="3"/>
      <c r="AP167" s="3"/>
      <c r="AQ167" s="3"/>
      <c r="AR167" s="3"/>
      <c r="AS167" s="3"/>
    </row>
    <row r="168" spans="39:45" x14ac:dyDescent="0.3">
      <c r="AM168" s="3"/>
      <c r="AN168" s="3"/>
      <c r="AO168" s="3"/>
      <c r="AP168" s="3"/>
      <c r="AQ168" s="3"/>
      <c r="AR168" s="3"/>
      <c r="AS168" s="3"/>
    </row>
    <row r="169" spans="39:45" x14ac:dyDescent="0.3">
      <c r="AM169" s="3"/>
      <c r="AN169" s="3"/>
      <c r="AO169" s="3"/>
      <c r="AP169" s="3"/>
      <c r="AQ169" s="3"/>
      <c r="AR169" s="3"/>
      <c r="AS169" s="3"/>
    </row>
    <row r="170" spans="39:45" x14ac:dyDescent="0.3">
      <c r="AM170" s="3"/>
      <c r="AN170" s="3"/>
      <c r="AO170" s="3"/>
      <c r="AP170" s="3"/>
      <c r="AQ170" s="3"/>
      <c r="AR170" s="3"/>
      <c r="AS170" s="3"/>
    </row>
    <row r="171" spans="39:45" x14ac:dyDescent="0.3">
      <c r="AM171" s="3"/>
      <c r="AN171" s="3"/>
      <c r="AO171" s="3"/>
      <c r="AP171" s="3"/>
      <c r="AQ171" s="3"/>
      <c r="AR171" s="3"/>
      <c r="AS171" s="3"/>
    </row>
    <row r="172" spans="39:45" x14ac:dyDescent="0.3">
      <c r="AM172" s="3"/>
      <c r="AN172" s="3"/>
      <c r="AO172" s="3"/>
      <c r="AP172" s="3"/>
      <c r="AQ172" s="3"/>
      <c r="AR172" s="3"/>
      <c r="AS172" s="3"/>
    </row>
    <row r="173" spans="39:45" x14ac:dyDescent="0.3">
      <c r="AM173" s="3"/>
      <c r="AN173" s="3"/>
      <c r="AO173" s="3"/>
      <c r="AP173" s="3"/>
      <c r="AQ173" s="3"/>
      <c r="AR173" s="3"/>
      <c r="AS173" s="3"/>
    </row>
    <row r="174" spans="39:45" x14ac:dyDescent="0.3">
      <c r="AM174" s="3"/>
      <c r="AN174" s="3"/>
      <c r="AO174" s="3"/>
      <c r="AP174" s="3"/>
      <c r="AQ174" s="3"/>
      <c r="AR174" s="3"/>
      <c r="AS174" s="3"/>
    </row>
    <row r="175" spans="39:45" x14ac:dyDescent="0.3">
      <c r="AM175" s="3"/>
      <c r="AN175" s="3"/>
      <c r="AO175" s="3"/>
      <c r="AP175" s="3"/>
      <c r="AQ175" s="3"/>
      <c r="AR175" s="3"/>
      <c r="AS175" s="3"/>
    </row>
    <row r="176" spans="39:45" x14ac:dyDescent="0.3">
      <c r="AM176" s="3"/>
      <c r="AN176" s="3"/>
      <c r="AO176" s="3"/>
      <c r="AP176" s="3"/>
      <c r="AQ176" s="3"/>
      <c r="AR176" s="3"/>
      <c r="AS176" s="3"/>
    </row>
    <row r="177" spans="39:45" x14ac:dyDescent="0.3">
      <c r="AM177" s="3"/>
      <c r="AN177" s="3"/>
      <c r="AO177" s="3"/>
      <c r="AP177" s="3"/>
      <c r="AQ177" s="3"/>
      <c r="AR177" s="3"/>
      <c r="AS177" s="3"/>
    </row>
    <row r="178" spans="39:45" x14ac:dyDescent="0.3">
      <c r="AM178" s="3"/>
      <c r="AN178" s="3"/>
      <c r="AO178" s="3"/>
      <c r="AP178" s="3"/>
      <c r="AQ178" s="3"/>
      <c r="AR178" s="3"/>
      <c r="AS178" s="3"/>
    </row>
    <row r="179" spans="39:45" x14ac:dyDescent="0.3">
      <c r="AM179" s="3"/>
      <c r="AN179" s="3"/>
      <c r="AO179" s="3"/>
      <c r="AP179" s="3"/>
      <c r="AQ179" s="3"/>
      <c r="AR179" s="3"/>
      <c r="AS179" s="3"/>
    </row>
    <row r="180" spans="39:45" x14ac:dyDescent="0.3">
      <c r="AM180" s="3"/>
      <c r="AN180" s="3"/>
      <c r="AO180" s="3"/>
      <c r="AP180" s="3"/>
      <c r="AQ180" s="3"/>
      <c r="AR180" s="3"/>
      <c r="AS180" s="3"/>
    </row>
    <row r="181" spans="39:45" x14ac:dyDescent="0.3">
      <c r="AM181" s="3"/>
      <c r="AN181" s="3"/>
      <c r="AO181" s="3"/>
      <c r="AP181" s="3"/>
      <c r="AQ181" s="3"/>
      <c r="AR181" s="3"/>
      <c r="AS181" s="3"/>
    </row>
  </sheetData>
  <mergeCells count="24">
    <mergeCell ref="BB1:BC1"/>
    <mergeCell ref="AU1:BA1"/>
    <mergeCell ref="AI1:AJ1"/>
    <mergeCell ref="AB1:AH1"/>
    <mergeCell ref="A13:C13"/>
    <mergeCell ref="B12:C12"/>
    <mergeCell ref="J13:L13"/>
    <mergeCell ref="K12:L12"/>
    <mergeCell ref="Y1:Z1"/>
    <mergeCell ref="AL1:AQ1"/>
    <mergeCell ref="AR1:AS1"/>
    <mergeCell ref="G1:H1"/>
    <mergeCell ref="A1:F1"/>
    <mergeCell ref="J1:O1"/>
    <mergeCell ref="P1:Q1"/>
    <mergeCell ref="S1:X1"/>
    <mergeCell ref="AV12:AW12"/>
    <mergeCell ref="AU13:AW13"/>
    <mergeCell ref="T12:U12"/>
    <mergeCell ref="S13:U13"/>
    <mergeCell ref="AC12:AD12"/>
    <mergeCell ref="AB13:AD13"/>
    <mergeCell ref="AM12:AN12"/>
    <mergeCell ref="AL13:AN13"/>
  </mergeCells>
  <conditionalFormatting sqref="B24">
    <cfRule type="cellIs" dxfId="25" priority="11" operator="lessThan">
      <formula>0</formula>
    </cfRule>
    <cfRule type="cellIs" dxfId="24" priority="12" operator="greaterThan">
      <formula>0</formula>
    </cfRule>
  </conditionalFormatting>
  <conditionalFormatting sqref="K24">
    <cfRule type="cellIs" dxfId="23" priority="9" operator="lessThan">
      <formula>0</formula>
    </cfRule>
    <cfRule type="cellIs" dxfId="22" priority="10" operator="greaterThan">
      <formula>0</formula>
    </cfRule>
  </conditionalFormatting>
  <conditionalFormatting sqref="T24">
    <cfRule type="cellIs" dxfId="21" priority="7" operator="lessThan">
      <formula>0</formula>
    </cfRule>
    <cfRule type="cellIs" dxfId="20" priority="8" operator="greaterThan">
      <formula>0</formula>
    </cfRule>
  </conditionalFormatting>
  <conditionalFormatting sqref="AC24">
    <cfRule type="cellIs" dxfId="19" priority="5" operator="lessThan">
      <formula>0</formula>
    </cfRule>
    <cfRule type="cellIs" dxfId="18" priority="6" operator="greaterThan">
      <formula>0</formula>
    </cfRule>
  </conditionalFormatting>
  <conditionalFormatting sqref="AM24">
    <cfRule type="cellIs" dxfId="17" priority="3" operator="lessThan">
      <formula>0</formula>
    </cfRule>
    <cfRule type="cellIs" dxfId="16" priority="4" operator="greaterThan">
      <formula>0</formula>
    </cfRule>
  </conditionalFormatting>
  <conditionalFormatting sqref="AV24">
    <cfRule type="cellIs" dxfId="15" priority="1" operator="lessThan">
      <formula>0</formula>
    </cfRule>
    <cfRule type="cellIs" dxfId="14" priority="2" operator="greaterThan">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42685-DE30-4709-9D66-8A6B4AE46CF1}">
  <dimension ref="A1:G9"/>
  <sheetViews>
    <sheetView workbookViewId="0">
      <selection activeCell="G5" sqref="G5"/>
    </sheetView>
  </sheetViews>
  <sheetFormatPr defaultRowHeight="14.4" x14ac:dyDescent="0.3"/>
  <cols>
    <col min="1" max="1" width="19.44140625" style="2" customWidth="1"/>
    <col min="2" max="5" width="12.33203125" style="2" bestFit="1" customWidth="1"/>
    <col min="6" max="6" width="11.33203125" style="2" bestFit="1" customWidth="1"/>
    <col min="7" max="7" width="12.33203125" style="2" bestFit="1" customWidth="1"/>
    <col min="8" max="16384" width="8.88671875" style="2"/>
  </cols>
  <sheetData>
    <row r="1" spans="1:7" ht="33.6" customHeight="1" x14ac:dyDescent="0.3">
      <c r="A1" s="234" t="s">
        <v>519</v>
      </c>
      <c r="B1" s="234"/>
      <c r="C1" s="234"/>
      <c r="D1" s="234"/>
      <c r="E1" s="234"/>
      <c r="F1" s="234"/>
      <c r="G1" s="234"/>
    </row>
    <row r="2" spans="1:7" ht="34.200000000000003" customHeight="1" x14ac:dyDescent="0.3">
      <c r="A2" s="163" t="s">
        <v>478</v>
      </c>
      <c r="B2" s="164" t="e" vm="1">
        <v>#VALUE!</v>
      </c>
      <c r="C2" s="164" t="e" vm="2">
        <v>#VALUE!</v>
      </c>
      <c r="D2" s="164" t="e" vm="3">
        <v>#VALUE!</v>
      </c>
      <c r="E2" s="164" t="e" vm="4">
        <v>#VALUE!</v>
      </c>
      <c r="F2" s="164" t="e" vm="5">
        <v>#VALUE!</v>
      </c>
      <c r="G2" s="164" t="e" vm="6">
        <v>#VALUE!</v>
      </c>
    </row>
    <row r="3" spans="1:7" x14ac:dyDescent="0.3">
      <c r="A3" s="60" t="s">
        <v>511</v>
      </c>
      <c r="B3" s="165">
        <f ca="1">'Valuation-FCFF'!B20</f>
        <v>156002.58815452014</v>
      </c>
      <c r="C3" s="165">
        <f ca="1">'Valuation-FCFF'!K20</f>
        <v>107499.35851862286</v>
      </c>
      <c r="D3" s="165">
        <f ca="1">'Valuation-FCFF'!T20</f>
        <v>353072.75437396666</v>
      </c>
      <c r="E3" s="165">
        <f ca="1">'Valuation-FCFF'!AC20</f>
        <v>757947.52081805619</v>
      </c>
      <c r="F3" s="165">
        <v>0</v>
      </c>
      <c r="G3" s="165">
        <f ca="1">'Valuation-FCFF'!AV20</f>
        <v>282778.45612248126</v>
      </c>
    </row>
    <row r="4" spans="1:7" x14ac:dyDescent="0.3">
      <c r="A4" s="60" t="s">
        <v>533</v>
      </c>
      <c r="B4" s="165">
        <f>NAV!G14</f>
        <v>91943.199999999983</v>
      </c>
      <c r="C4" s="165">
        <f>NAV!L14</f>
        <v>-68120.47000000003</v>
      </c>
      <c r="D4" s="165">
        <f>NAV!Q14</f>
        <v>0</v>
      </c>
      <c r="E4" s="165">
        <f>NAV!V14</f>
        <v>0</v>
      </c>
      <c r="F4" s="165">
        <f>NAV!B14</f>
        <v>13145.669999999998</v>
      </c>
      <c r="G4" s="165">
        <f>NAV!AA14</f>
        <v>0</v>
      </c>
    </row>
    <row r="5" spans="1:7" x14ac:dyDescent="0.3">
      <c r="A5" s="60" t="s">
        <v>520</v>
      </c>
      <c r="B5" s="165">
        <f ca="1">'Company Profile'!B18</f>
        <v>486663.8</v>
      </c>
      <c r="C5" s="165">
        <f ca="1">'Company Profile'!C18</f>
        <v>442841.1</v>
      </c>
      <c r="D5" s="165">
        <f ca="1">'Company Profile'!D18</f>
        <v>149392.20000000001</v>
      </c>
      <c r="E5" s="165">
        <f ca="1">'Company Profile'!E18</f>
        <v>164170</v>
      </c>
      <c r="F5" s="165">
        <f ca="1">'Company Profile'!F18</f>
        <v>32074.75</v>
      </c>
      <c r="G5" s="165">
        <f ca="1">'Company Profile'!G18</f>
        <v>109555.1</v>
      </c>
    </row>
    <row r="6" spans="1:7" x14ac:dyDescent="0.3">
      <c r="A6" s="60" t="s">
        <v>521</v>
      </c>
      <c r="B6" s="165">
        <f ca="1">'Valuation-FCFF'!B22</f>
        <v>4961.873348201324</v>
      </c>
      <c r="C6" s="165">
        <f ca="1">'Valuation-FCFF'!K22</f>
        <v>895.79364889864939</v>
      </c>
      <c r="D6" s="165">
        <f ca="1">'Valuation-FCFF'!T22</f>
        <v>958.82948701234807</v>
      </c>
      <c r="E6" s="165">
        <f ca="1">'Valuation-FCFF'!AC22</f>
        <v>15959.508068175321</v>
      </c>
      <c r="F6" s="165">
        <f ca="1">NAV!B16</f>
        <v>154.65494117647057</v>
      </c>
      <c r="G6" s="165">
        <f ca="1">'Valuation-FCFF'!AV22</f>
        <v>267.92369478862099</v>
      </c>
    </row>
    <row r="7" spans="1:7" x14ac:dyDescent="0.3">
      <c r="A7" s="60" t="s">
        <v>522</v>
      </c>
      <c r="B7" s="165">
        <f ca="1">'Company Profile'!B11</f>
        <v>15583</v>
      </c>
      <c r="C7" s="165">
        <f ca="1">'Company Profile'!C11</f>
        <v>3663.9</v>
      </c>
      <c r="D7" s="165">
        <f ca="1">'Company Profile'!D11</f>
        <v>410.5</v>
      </c>
      <c r="E7" s="165">
        <f ca="1">'Company Profile'!E11</f>
        <v>3490.8</v>
      </c>
      <c r="F7" s="165">
        <f ca="1">'Company Profile'!F11</f>
        <v>379.55</v>
      </c>
      <c r="G7" s="165">
        <f ca="1">'Company Profile'!G11</f>
        <v>102.55</v>
      </c>
    </row>
    <row r="8" spans="1:7" x14ac:dyDescent="0.3">
      <c r="A8" s="60" t="s">
        <v>538</v>
      </c>
      <c r="B8" s="165">
        <f ca="1">NAV!G16</f>
        <v>2924.3778518371028</v>
      </c>
      <c r="C8" s="165">
        <f ca="1">NAV!L16</f>
        <v>-567.64882346176762</v>
      </c>
      <c r="D8" s="165">
        <f ca="1">NAV!Q16</f>
        <v>0</v>
      </c>
      <c r="E8" s="165">
        <f ca="1">NAV!V16</f>
        <v>0</v>
      </c>
      <c r="F8" s="165">
        <f ca="1">NAV!B16</f>
        <v>154.65494117647057</v>
      </c>
      <c r="G8" s="165">
        <f ca="1">NAV!AA16</f>
        <v>0</v>
      </c>
    </row>
    <row r="9" spans="1:7" s="172" customFormat="1" ht="28.8" x14ac:dyDescent="0.3">
      <c r="A9" s="173" t="s">
        <v>537</v>
      </c>
      <c r="B9" s="171">
        <f ca="1">(B6-B7)/B7</f>
        <v>-0.68158420405561682</v>
      </c>
      <c r="C9" s="171">
        <f t="shared" ref="C9:G9" ca="1" si="0">(C6-C7)/C7</f>
        <v>-0.75550816100367113</v>
      </c>
      <c r="D9" s="171">
        <f t="shared" ca="1" si="0"/>
        <v>1.3357600170824557</v>
      </c>
      <c r="E9" s="171">
        <f t="shared" ca="1" si="0"/>
        <v>3.5718769531841756</v>
      </c>
      <c r="F9" s="171">
        <f t="shared" ca="1" si="0"/>
        <v>-0.59253078335800136</v>
      </c>
      <c r="G9" s="171">
        <f t="shared" ca="1" si="0"/>
        <v>1.6126152587871379</v>
      </c>
    </row>
  </sheetData>
  <mergeCells count="1">
    <mergeCell ref="A1:G1"/>
  </mergeCells>
  <conditionalFormatting sqref="B9:G9">
    <cfRule type="cellIs" dxfId="13" priority="1" operator="lessThan">
      <formula>0</formula>
    </cfRule>
    <cfRule type="cellIs" dxfId="12" priority="2" operator="greaterThan">
      <formula>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411D8-C651-43F0-B35E-90683E8D6B6F}">
  <dimension ref="A2:H22"/>
  <sheetViews>
    <sheetView workbookViewId="0">
      <selection activeCell="C11" sqref="C11"/>
    </sheetView>
  </sheetViews>
  <sheetFormatPr defaultRowHeight="14.4" x14ac:dyDescent="0.3"/>
  <cols>
    <col min="1" max="1" width="14.88671875" style="2" bestFit="1" customWidth="1"/>
    <col min="2" max="2" width="10" style="2" bestFit="1" customWidth="1"/>
    <col min="3" max="3" width="9.6640625" style="2" bestFit="1" customWidth="1"/>
    <col min="4" max="5" width="8.88671875" style="2"/>
    <col min="6" max="6" width="10.6640625" style="2" bestFit="1" customWidth="1"/>
    <col min="7" max="7" width="8.88671875" style="2"/>
    <col min="8" max="8" width="7.44140625" style="2" bestFit="1" customWidth="1"/>
    <col min="9" max="16384" width="8.88671875" style="2"/>
  </cols>
  <sheetData>
    <row r="2" spans="1:8" x14ac:dyDescent="0.3">
      <c r="A2" s="60" t="s">
        <v>542</v>
      </c>
      <c r="B2" s="60" t="s">
        <v>543</v>
      </c>
      <c r="C2" s="174">
        <f>('Valuation-FCFF'!H3/'Valuation-FCFF'!D3)^(1/5)-1</f>
        <v>9.0718993018298333E-2</v>
      </c>
    </row>
    <row r="3" spans="1:8" x14ac:dyDescent="0.3">
      <c r="A3" s="60" t="s">
        <v>542</v>
      </c>
      <c r="B3" s="60" t="s">
        <v>544</v>
      </c>
      <c r="C3" s="174">
        <f>('Valuation-FCFF'!Q3/'Valuation-FCFF'!M3)^(1/5)-1</f>
        <v>0.1043992584022515</v>
      </c>
    </row>
    <row r="4" spans="1:8" x14ac:dyDescent="0.3">
      <c r="A4" s="60" t="s">
        <v>542</v>
      </c>
      <c r="B4" s="60" t="s">
        <v>545</v>
      </c>
      <c r="C4" s="174">
        <f>('Valuation-FCFF'!Z3/'Valuation-FCFF'!V3)^(1/5)-1</f>
        <v>7.2402772299922091E-2</v>
      </c>
    </row>
    <row r="5" spans="1:8" x14ac:dyDescent="0.3">
      <c r="A5" s="60" t="s">
        <v>542</v>
      </c>
      <c r="B5" s="60" t="s">
        <v>546</v>
      </c>
      <c r="C5" s="174">
        <f>('Valuation-FCFF'!AJ3/'Valuation-FCFF'!AE3)^(1/5)-1</f>
        <v>0.15737898160503239</v>
      </c>
    </row>
    <row r="6" spans="1:8" x14ac:dyDescent="0.3">
      <c r="A6" s="60" t="s">
        <v>542</v>
      </c>
      <c r="B6" s="60" t="s">
        <v>547</v>
      </c>
      <c r="C6" s="174">
        <f>('Valuation-FCFF'!AS3/'Valuation-FCFF'!AO3)^(1/5)-1</f>
        <v>2.3602254640171738E-2</v>
      </c>
      <c r="F6" s="60" t="s">
        <v>552</v>
      </c>
      <c r="G6" s="177" t="s">
        <v>553</v>
      </c>
      <c r="H6" s="136">
        <f>AVERAGE(-5.8%,9.7%)</f>
        <v>1.9499999999999997E-2</v>
      </c>
    </row>
    <row r="7" spans="1:8" x14ac:dyDescent="0.3">
      <c r="A7" s="60" t="s">
        <v>542</v>
      </c>
      <c r="B7" s="60" t="s">
        <v>548</v>
      </c>
      <c r="C7" s="174">
        <f>('Valuation-FCFF'!BC3/'Valuation-FCFF'!AX3)^(1/5)-1</f>
        <v>0.10158312518386103</v>
      </c>
      <c r="F7" s="60" t="s">
        <v>552</v>
      </c>
      <c r="G7" s="60">
        <v>2025</v>
      </c>
      <c r="H7" s="136">
        <v>7.8E-2</v>
      </c>
    </row>
    <row r="8" spans="1:8" x14ac:dyDescent="0.3">
      <c r="A8" s="235" t="s">
        <v>549</v>
      </c>
      <c r="B8" s="235"/>
      <c r="C8" s="175">
        <f>AVERAGE(C2:C7)</f>
        <v>9.1680897524922852E-2</v>
      </c>
      <c r="F8" s="223" t="s">
        <v>554</v>
      </c>
      <c r="G8" s="223"/>
      <c r="H8" s="136">
        <f>H7-H6</f>
        <v>5.8500000000000003E-2</v>
      </c>
    </row>
    <row r="9" spans="1:8" x14ac:dyDescent="0.3">
      <c r="A9" s="60" t="s">
        <v>550</v>
      </c>
      <c r="B9" s="60" t="str">
        <f>B2</f>
        <v>Suzuki</v>
      </c>
      <c r="C9" s="174">
        <f>AVERAGE('Valuation-FCFF'!D8:H8)/AVERAGE('Valuation-FCFF'!D3:H3)</f>
        <v>4.4798674356883741E-2</v>
      </c>
      <c r="F9" s="61" t="s">
        <v>555</v>
      </c>
      <c r="G9" s="61">
        <v>2025</v>
      </c>
      <c r="H9" s="58">
        <f>C22/H8</f>
        <v>63.562236795303598</v>
      </c>
    </row>
    <row r="10" spans="1:8" x14ac:dyDescent="0.3">
      <c r="A10" s="60" t="s">
        <v>550</v>
      </c>
      <c r="B10" s="60" t="str">
        <f t="shared" ref="B10:B14" si="0">B3</f>
        <v>M&amp;M</v>
      </c>
      <c r="C10" s="174">
        <f>AVERAGE('Valuation-FCFF'!M8:Q8)/AVERAGE('Valuation-FCFF'!M3:Q3)</f>
        <v>5.4785787308897091E-2</v>
      </c>
    </row>
    <row r="11" spans="1:8" x14ac:dyDescent="0.3">
      <c r="A11" s="60" t="s">
        <v>550</v>
      </c>
      <c r="B11" s="60" t="str">
        <f t="shared" si="0"/>
        <v>Tata</v>
      </c>
      <c r="C11" s="174">
        <f>AVERAGE('Valuation-FCFF'!V8:Z8)/AVERAGE('Valuation-FCFF'!V3:Z3)</f>
        <v>7.5384923636292164E-2</v>
      </c>
    </row>
    <row r="12" spans="1:8" x14ac:dyDescent="0.3">
      <c r="A12" s="60" t="s">
        <v>550</v>
      </c>
      <c r="B12" s="60" t="str">
        <f t="shared" si="0"/>
        <v>TVS</v>
      </c>
      <c r="C12" s="174">
        <f>AVERAGE('Valuation-FCFF'!AE8:AJ8)/AVERAGE('Valuation-FCFF'!AE3:AJ3)</f>
        <v>1.8441136627915269E-2</v>
      </c>
    </row>
    <row r="13" spans="1:8" x14ac:dyDescent="0.3">
      <c r="A13" s="60" t="s">
        <v>550</v>
      </c>
      <c r="B13" s="60" t="str">
        <f t="shared" si="0"/>
        <v>Exide</v>
      </c>
      <c r="C13" s="174">
        <f>AVERAGE('Valuation-FCFF'!AO8:AS8)/AVERAGE('Valuation-FCFF'!AO3:AS3)</f>
        <v>0.19232081967333253</v>
      </c>
    </row>
    <row r="14" spans="1:8" x14ac:dyDescent="0.3">
      <c r="A14" s="60" t="s">
        <v>550</v>
      </c>
      <c r="B14" s="60" t="str">
        <f t="shared" si="0"/>
        <v>Motherson</v>
      </c>
      <c r="C14" s="174">
        <f>AVERAGE('Valuation-FCFF'!AX8:BC8)/AVERAGE('Valuation-FCFF'!AX3:BC3)</f>
        <v>4.5946644891984627E-2</v>
      </c>
    </row>
    <row r="15" spans="1:8" x14ac:dyDescent="0.3">
      <c r="A15" s="235" t="s">
        <v>549</v>
      </c>
      <c r="B15" s="235"/>
      <c r="C15" s="175">
        <f>AVERAGE(C9:C14)</f>
        <v>7.1946331082550899E-2</v>
      </c>
    </row>
    <row r="16" spans="1:8" x14ac:dyDescent="0.3">
      <c r="A16" s="60" t="s">
        <v>551</v>
      </c>
      <c r="B16" s="60" t="str">
        <f>B9</f>
        <v>Suzuki</v>
      </c>
      <c r="C16" s="136">
        <f>('Income Statement'!G24-'Income Statement'!B24)/'Income Statement'!B24</f>
        <v>1.45793997463717</v>
      </c>
    </row>
    <row r="17" spans="1:3" x14ac:dyDescent="0.3">
      <c r="A17" s="60" t="s">
        <v>551</v>
      </c>
      <c r="B17" s="60" t="str">
        <f t="shared" ref="B17:B20" si="1">B10</f>
        <v>M&amp;M</v>
      </c>
      <c r="C17" s="136">
        <f>('Income Statement'!O29-'Income Statement'!K29)/ABS('Income Statement'!K29)</f>
        <v>8.3052519522080761</v>
      </c>
    </row>
    <row r="18" spans="1:3" x14ac:dyDescent="0.3">
      <c r="A18" s="60" t="s">
        <v>551</v>
      </c>
      <c r="B18" s="60" t="str">
        <f t="shared" si="1"/>
        <v>Tata</v>
      </c>
      <c r="C18" s="136">
        <f>('Income Statement'!W42-'Income Statement'!U42)/'Income Statement'!U42</f>
        <v>9.4648180023569193</v>
      </c>
    </row>
    <row r="19" spans="1:3" x14ac:dyDescent="0.3">
      <c r="A19" s="60" t="s">
        <v>551</v>
      </c>
      <c r="B19" s="60" t="str">
        <f t="shared" si="1"/>
        <v>TVS</v>
      </c>
      <c r="C19" s="136">
        <f>('Income Statement'!AD27-'Income Statement'!Z27)/'Income Statement'!Z27</f>
        <v>1.6998334987672334</v>
      </c>
    </row>
    <row r="20" spans="1:3" x14ac:dyDescent="0.3">
      <c r="A20" s="60" t="s">
        <v>551</v>
      </c>
      <c r="B20" s="60" t="str">
        <f t="shared" si="1"/>
        <v>Exide</v>
      </c>
      <c r="C20" s="136">
        <f>('Income Statement'!AM26-'Income Statement'!AH26)/'Income Statement'!AH26</f>
        <v>4.9863602979749753E-2</v>
      </c>
    </row>
    <row r="21" spans="1:3" x14ac:dyDescent="0.3">
      <c r="A21" s="60" t="s">
        <v>551</v>
      </c>
      <c r="B21" s="60" t="str">
        <f>B14</f>
        <v>Motherson</v>
      </c>
      <c r="C21" s="136">
        <f>('Income Statement'!AT34-'Income Statement'!AP34)/'Income Statement'!AP34</f>
        <v>1.3326380842024133</v>
      </c>
    </row>
    <row r="22" spans="1:3" x14ac:dyDescent="0.3">
      <c r="A22" s="235" t="s">
        <v>549</v>
      </c>
      <c r="B22" s="235"/>
      <c r="C22" s="176">
        <f>AVERAGE(C16:C21)</f>
        <v>3.7183908525252605</v>
      </c>
    </row>
  </sheetData>
  <mergeCells count="4">
    <mergeCell ref="A8:B8"/>
    <mergeCell ref="A15:B15"/>
    <mergeCell ref="A22:B22"/>
    <mergeCell ref="F8:G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CDE1B-9D4C-487C-AEC6-D28E4225E946}">
  <dimension ref="A1:AC18"/>
  <sheetViews>
    <sheetView topLeftCell="N1" workbookViewId="0">
      <selection activeCell="A19" sqref="A19"/>
    </sheetView>
  </sheetViews>
  <sheetFormatPr defaultRowHeight="14.4" x14ac:dyDescent="0.3"/>
  <cols>
    <col min="1" max="1" width="28.6640625" style="2" customWidth="1"/>
    <col min="2" max="2" width="9.88671875" style="2" bestFit="1" customWidth="1"/>
    <col min="3" max="3" width="19.77734375" style="2" bestFit="1" customWidth="1"/>
    <col min="4" max="5" width="8.88671875" style="2"/>
    <col min="6" max="6" width="26" style="2" bestFit="1" customWidth="1"/>
    <col min="7" max="7" width="10.88671875" style="2" bestFit="1" customWidth="1"/>
    <col min="8" max="8" width="19.77734375" style="2" bestFit="1" customWidth="1"/>
    <col min="9" max="9" width="9.88671875" style="2" bestFit="1" customWidth="1"/>
    <col min="10" max="10" width="8.88671875" style="2"/>
    <col min="11" max="11" width="26" style="2" bestFit="1" customWidth="1"/>
    <col min="12" max="12" width="10.5546875" style="2" bestFit="1" customWidth="1"/>
    <col min="13" max="13" width="19.77734375" style="2" bestFit="1" customWidth="1"/>
    <col min="14" max="14" width="10.88671875" style="2" bestFit="1" customWidth="1"/>
    <col min="15" max="15" width="8.88671875" style="2"/>
    <col min="16" max="16" width="26" style="2" bestFit="1" customWidth="1"/>
    <col min="17" max="17" width="9.88671875" style="2" bestFit="1" customWidth="1"/>
    <col min="18" max="18" width="19.77734375" style="2" bestFit="1" customWidth="1"/>
    <col min="19" max="20" width="8.88671875" style="2"/>
    <col min="21" max="21" width="26" style="2" bestFit="1" customWidth="1"/>
    <col min="22" max="22" width="9.88671875" style="2" bestFit="1" customWidth="1"/>
    <col min="23" max="23" width="19.77734375" style="2" bestFit="1" customWidth="1"/>
    <col min="24" max="25" width="8.88671875" style="2"/>
    <col min="26" max="26" width="26" style="2" bestFit="1" customWidth="1"/>
    <col min="27" max="27" width="9.88671875" style="2" bestFit="1" customWidth="1"/>
    <col min="28" max="28" width="19.77734375" style="2" bestFit="1" customWidth="1"/>
    <col min="29" max="16384" width="8.88671875" style="2"/>
  </cols>
  <sheetData>
    <row r="1" spans="1:29" ht="37.799999999999997" customHeight="1" x14ac:dyDescent="0.3">
      <c r="A1" s="236" t="s">
        <v>536</v>
      </c>
      <c r="B1" s="236"/>
      <c r="C1" s="236"/>
      <c r="D1" s="170" t="e" vm="5">
        <v>#VALUE!</v>
      </c>
      <c r="F1" s="236" t="s">
        <v>536</v>
      </c>
      <c r="G1" s="236"/>
      <c r="H1" s="236"/>
      <c r="I1" s="170" t="e" vm="1">
        <v>#VALUE!</v>
      </c>
      <c r="K1" s="236" t="s">
        <v>536</v>
      </c>
      <c r="L1" s="236"/>
      <c r="M1" s="236"/>
      <c r="N1" s="170" t="e" vm="2">
        <v>#VALUE!</v>
      </c>
      <c r="P1" s="236" t="s">
        <v>536</v>
      </c>
      <c r="Q1" s="236"/>
      <c r="R1" s="236"/>
      <c r="S1" s="170" t="e" vm="3">
        <v>#VALUE!</v>
      </c>
      <c r="U1" s="236" t="s">
        <v>536</v>
      </c>
      <c r="V1" s="236"/>
      <c r="W1" s="236"/>
      <c r="X1" s="170" t="e" vm="4">
        <v>#VALUE!</v>
      </c>
      <c r="Z1" s="236" t="s">
        <v>536</v>
      </c>
      <c r="AA1" s="236"/>
      <c r="AB1" s="236"/>
      <c r="AC1" s="170" t="e" vm="6">
        <v>#VALUE!</v>
      </c>
    </row>
    <row r="2" spans="1:29" x14ac:dyDescent="0.3">
      <c r="A2" s="60" t="s">
        <v>529</v>
      </c>
      <c r="B2" s="60" t="s">
        <v>523</v>
      </c>
      <c r="C2" s="60" t="s">
        <v>44</v>
      </c>
      <c r="D2" s="60" t="s">
        <v>523</v>
      </c>
      <c r="F2" s="60" t="s">
        <v>529</v>
      </c>
      <c r="G2" s="60" t="s">
        <v>523</v>
      </c>
      <c r="H2" s="60" t="s">
        <v>44</v>
      </c>
      <c r="I2" s="60" t="s">
        <v>523</v>
      </c>
      <c r="K2" s="60" t="s">
        <v>529</v>
      </c>
      <c r="L2" s="60" t="s">
        <v>523</v>
      </c>
      <c r="M2" s="60" t="s">
        <v>44</v>
      </c>
      <c r="N2" s="60" t="s">
        <v>523</v>
      </c>
      <c r="P2" s="60" t="s">
        <v>529</v>
      </c>
      <c r="Q2" s="60" t="s">
        <v>523</v>
      </c>
      <c r="R2" s="60" t="s">
        <v>44</v>
      </c>
      <c r="S2" s="60" t="s">
        <v>523</v>
      </c>
      <c r="U2" s="60" t="s">
        <v>529</v>
      </c>
      <c r="V2" s="60" t="s">
        <v>523</v>
      </c>
      <c r="W2" s="60" t="s">
        <v>44</v>
      </c>
      <c r="X2" s="60" t="s">
        <v>523</v>
      </c>
      <c r="Z2" s="60" t="s">
        <v>529</v>
      </c>
      <c r="AA2" s="60" t="s">
        <v>523</v>
      </c>
      <c r="AB2" s="60" t="s">
        <v>44</v>
      </c>
      <c r="AC2" s="60" t="s">
        <v>523</v>
      </c>
    </row>
    <row r="3" spans="1:29" x14ac:dyDescent="0.3">
      <c r="A3" s="60" t="s">
        <v>524</v>
      </c>
      <c r="B3" s="56">
        <f>'Balance Sheet'!AM5-'Income Statement'!AM16</f>
        <v>3271.19</v>
      </c>
      <c r="C3" s="60" t="s">
        <v>530</v>
      </c>
      <c r="D3" s="56">
        <f>'Balance Sheet'!AM45</f>
        <v>943.07</v>
      </c>
      <c r="F3" s="60" t="s">
        <v>524</v>
      </c>
      <c r="G3" s="56">
        <f>'Balance Sheet'!G5-'Income Statement'!G13</f>
        <v>20478.900000000001</v>
      </c>
      <c r="H3" s="60" t="s">
        <v>530</v>
      </c>
      <c r="I3" s="56">
        <f>'Balance Sheet'!G39</f>
        <v>0</v>
      </c>
      <c r="K3" s="60" t="s">
        <v>524</v>
      </c>
      <c r="L3" s="56">
        <f>'Balance Sheet'!O5-'Income Statement'!O13</f>
        <v>19761.169999999998</v>
      </c>
      <c r="M3" s="60" t="s">
        <v>530</v>
      </c>
      <c r="N3" s="56">
        <f>'Balance Sheet'!O43</f>
        <v>79707.19</v>
      </c>
      <c r="P3" s="60" t="s">
        <v>524</v>
      </c>
      <c r="Q3" s="56"/>
      <c r="R3" s="60" t="s">
        <v>530</v>
      </c>
      <c r="S3" s="56"/>
      <c r="U3" s="60" t="s">
        <v>524</v>
      </c>
      <c r="V3" s="56"/>
      <c r="W3" s="60" t="s">
        <v>530</v>
      </c>
      <c r="X3" s="56"/>
      <c r="Z3" s="60" t="s">
        <v>524</v>
      </c>
      <c r="AA3" s="56"/>
      <c r="AB3" s="60" t="s">
        <v>530</v>
      </c>
      <c r="AC3" s="56"/>
    </row>
    <row r="4" spans="1:29" x14ac:dyDescent="0.3">
      <c r="A4" s="60" t="s">
        <v>20</v>
      </c>
      <c r="B4" s="56">
        <f>'Balance Sheet'!AM8</f>
        <v>35.89</v>
      </c>
      <c r="C4" s="60" t="s">
        <v>531</v>
      </c>
      <c r="D4" s="56">
        <f>'Balance Sheet'!AM61</f>
        <v>618.1</v>
      </c>
      <c r="F4" s="60" t="s">
        <v>20</v>
      </c>
      <c r="G4" s="56">
        <f>'Balance Sheet'!G7</f>
        <v>482.8</v>
      </c>
      <c r="H4" s="60" t="s">
        <v>531</v>
      </c>
      <c r="I4" s="56">
        <f>'Balance Sheet'!G47</f>
        <v>0</v>
      </c>
      <c r="K4" s="60" t="s">
        <v>20</v>
      </c>
      <c r="L4" s="56">
        <f>'Balance Sheet'!O7</f>
        <v>6427.64</v>
      </c>
      <c r="M4" s="60" t="s">
        <v>531</v>
      </c>
      <c r="N4" s="56">
        <f>'Balance Sheet'!O52</f>
        <v>41465.760000000002</v>
      </c>
      <c r="P4" s="60" t="s">
        <v>20</v>
      </c>
      <c r="Q4" s="56"/>
      <c r="R4" s="60" t="s">
        <v>531</v>
      </c>
      <c r="S4" s="56"/>
      <c r="U4" s="60" t="s">
        <v>20</v>
      </c>
      <c r="V4" s="56"/>
      <c r="W4" s="60" t="s">
        <v>531</v>
      </c>
      <c r="X4" s="56"/>
      <c r="Z4" s="60" t="s">
        <v>20</v>
      </c>
      <c r="AA4" s="56"/>
      <c r="AB4" s="60" t="s">
        <v>531</v>
      </c>
      <c r="AC4" s="56"/>
    </row>
    <row r="5" spans="1:29" x14ac:dyDescent="0.3">
      <c r="A5" s="60" t="s">
        <v>525</v>
      </c>
      <c r="B5" s="56">
        <f>'Balance Sheet'!AM6</f>
        <v>3426.05</v>
      </c>
      <c r="C5" s="60" t="s">
        <v>48</v>
      </c>
      <c r="D5" s="56">
        <f>'Balance Sheet'!AM46+'Balance Sheet'!AM65</f>
        <v>455.54</v>
      </c>
      <c r="F5" s="60" t="s">
        <v>525</v>
      </c>
      <c r="G5" s="56">
        <f>'Balance Sheet'!G6</f>
        <v>5357.5</v>
      </c>
      <c r="H5" s="60" t="s">
        <v>48</v>
      </c>
      <c r="I5" s="56">
        <f>'Balance Sheet'!G40+'Balance Sheet'!G51</f>
        <v>76.400000000000006</v>
      </c>
      <c r="K5" s="60" t="s">
        <v>525</v>
      </c>
      <c r="L5" s="56">
        <f>'Balance Sheet'!O6</f>
        <v>3652.56</v>
      </c>
      <c r="M5" s="60" t="s">
        <v>48</v>
      </c>
      <c r="N5" s="56">
        <f>'Balance Sheet'!O56</f>
        <v>606.22</v>
      </c>
      <c r="P5" s="60" t="s">
        <v>525</v>
      </c>
      <c r="Q5" s="56"/>
      <c r="R5" s="60" t="s">
        <v>48</v>
      </c>
      <c r="S5" s="56"/>
      <c r="U5" s="60" t="s">
        <v>525</v>
      </c>
      <c r="V5" s="56"/>
      <c r="W5" s="60" t="s">
        <v>48</v>
      </c>
      <c r="X5" s="56"/>
      <c r="Z5" s="60" t="s">
        <v>525</v>
      </c>
      <c r="AA5" s="56"/>
      <c r="AB5" s="60" t="s">
        <v>48</v>
      </c>
      <c r="AC5" s="56"/>
    </row>
    <row r="6" spans="1:29" x14ac:dyDescent="0.3">
      <c r="A6" s="60" t="s">
        <v>24</v>
      </c>
      <c r="B6" s="56">
        <f>'Balance Sheet'!AM13+'Balance Sheet'!AM14+'Balance Sheet'!AM25</f>
        <v>6483.74</v>
      </c>
      <c r="C6" s="60" t="s">
        <v>54</v>
      </c>
      <c r="D6" s="56">
        <f>'Balance Sheet'!AM48+'Balance Sheet'!AM49+'Balance Sheet'!AM63+'Balance Sheet'!AM64</f>
        <v>3356.85</v>
      </c>
      <c r="F6" s="60" t="s">
        <v>24</v>
      </c>
      <c r="G6" s="56">
        <f>'Balance Sheet'!G11+'Balance Sheet'!G19+'Balance Sheet'!G23</f>
        <v>74549.499999999985</v>
      </c>
      <c r="H6" s="60" t="s">
        <v>54</v>
      </c>
      <c r="I6" s="56">
        <f>'Balance Sheet'!G50</f>
        <v>17421.099999999999</v>
      </c>
      <c r="K6" s="60" t="s">
        <v>24</v>
      </c>
      <c r="L6" s="56">
        <f>'Balance Sheet'!O12+'Balance Sheet'!O23</f>
        <v>27131.89</v>
      </c>
      <c r="M6" s="60" t="s">
        <v>54</v>
      </c>
      <c r="N6" s="56">
        <f>'Balance Sheet'!O54+'Balance Sheet'!O55</f>
        <v>30855.300000000003</v>
      </c>
      <c r="P6" s="60" t="s">
        <v>24</v>
      </c>
      <c r="Q6" s="56"/>
      <c r="R6" s="60" t="s">
        <v>54</v>
      </c>
      <c r="S6" s="56"/>
      <c r="U6" s="60" t="s">
        <v>24</v>
      </c>
      <c r="V6" s="56"/>
      <c r="W6" s="60" t="s">
        <v>54</v>
      </c>
      <c r="X6" s="56"/>
      <c r="Z6" s="60" t="s">
        <v>24</v>
      </c>
      <c r="AA6" s="56"/>
      <c r="AB6" s="60" t="s">
        <v>54</v>
      </c>
      <c r="AC6" s="56"/>
    </row>
    <row r="7" spans="1:29" x14ac:dyDescent="0.3">
      <c r="A7" s="60" t="s">
        <v>526</v>
      </c>
      <c r="B7" s="56">
        <f>'Balance Sheet'!AM18</f>
        <v>6.65</v>
      </c>
      <c r="C7" s="60" t="s">
        <v>49</v>
      </c>
      <c r="D7" s="56">
        <f>'Balance Sheet'!AM51+'Balance Sheet'!AM67</f>
        <v>499.89</v>
      </c>
      <c r="F7" s="60" t="s">
        <v>526</v>
      </c>
      <c r="G7" s="56">
        <v>0</v>
      </c>
      <c r="H7" s="60" t="s">
        <v>49</v>
      </c>
      <c r="I7" s="56">
        <f>'Balance Sheet'!G41+'Balance Sheet'!G53</f>
        <v>1568.3</v>
      </c>
      <c r="K7" s="60" t="s">
        <v>526</v>
      </c>
      <c r="L7" s="56">
        <f>'Balance Sheet'!O16</f>
        <v>1573.11</v>
      </c>
      <c r="M7" s="60" t="s">
        <v>49</v>
      </c>
      <c r="N7" s="56">
        <f>'Balance Sheet'!O46+'Balance Sheet'!O58</f>
        <v>3295.8199999999997</v>
      </c>
      <c r="P7" s="60" t="s">
        <v>526</v>
      </c>
      <c r="Q7" s="56"/>
      <c r="R7" s="60" t="s">
        <v>49</v>
      </c>
      <c r="S7" s="56"/>
      <c r="U7" s="60" t="s">
        <v>526</v>
      </c>
      <c r="V7" s="56"/>
      <c r="W7" s="60" t="s">
        <v>49</v>
      </c>
      <c r="X7" s="56"/>
      <c r="Z7" s="60" t="s">
        <v>526</v>
      </c>
      <c r="AA7" s="56"/>
      <c r="AB7" s="60" t="s">
        <v>49</v>
      </c>
      <c r="AC7" s="56"/>
    </row>
    <row r="8" spans="1:29" x14ac:dyDescent="0.3">
      <c r="A8" s="60" t="s">
        <v>74</v>
      </c>
      <c r="B8" s="56">
        <f>'Balance Sheet'!AM28</f>
        <v>180.82</v>
      </c>
      <c r="C8" s="60" t="s">
        <v>532</v>
      </c>
      <c r="D8" s="56">
        <f>'Balance Sheet'!AM54</f>
        <v>12.83</v>
      </c>
      <c r="F8" s="60" t="s">
        <v>74</v>
      </c>
      <c r="G8" s="56">
        <f>'Balance Sheet'!G21</f>
        <v>78</v>
      </c>
      <c r="H8" s="60" t="s">
        <v>532</v>
      </c>
      <c r="I8" s="56">
        <f>'Balance Sheet'!G42</f>
        <v>1291.0999999999999</v>
      </c>
      <c r="K8" s="60" t="s">
        <v>74</v>
      </c>
      <c r="L8" s="56">
        <f>'Balance Sheet'!O25</f>
        <v>4923.8900000000003</v>
      </c>
      <c r="M8" s="60" t="s">
        <v>532</v>
      </c>
      <c r="N8" s="56">
        <f>'Balance Sheet'!O47</f>
        <v>1912.07</v>
      </c>
      <c r="P8" s="60" t="s">
        <v>74</v>
      </c>
      <c r="Q8" s="56"/>
      <c r="R8" s="60" t="s">
        <v>532</v>
      </c>
      <c r="S8" s="56"/>
      <c r="U8" s="60" t="s">
        <v>74</v>
      </c>
      <c r="V8" s="56"/>
      <c r="W8" s="60" t="s">
        <v>532</v>
      </c>
      <c r="X8" s="56"/>
      <c r="Z8" s="60" t="s">
        <v>74</v>
      </c>
      <c r="AA8" s="56"/>
      <c r="AB8" s="60" t="s">
        <v>532</v>
      </c>
      <c r="AC8" s="56"/>
    </row>
    <row r="9" spans="1:29" x14ac:dyDescent="0.3">
      <c r="A9" s="60" t="s">
        <v>29</v>
      </c>
      <c r="B9" s="56">
        <f>'Balance Sheet'!AM22</f>
        <v>4564.8999999999996</v>
      </c>
      <c r="C9" s="60" t="s">
        <v>59</v>
      </c>
      <c r="D9" s="56">
        <f>'Balance Sheet'!AM66</f>
        <v>993.68</v>
      </c>
      <c r="F9" s="60" t="s">
        <v>29</v>
      </c>
      <c r="G9" s="56">
        <f>'Balance Sheet'!G17</f>
        <v>5123</v>
      </c>
      <c r="H9" s="60" t="s">
        <v>59</v>
      </c>
      <c r="I9" s="56">
        <f>'Balance Sheet'!G55</f>
        <v>4117.6000000000004</v>
      </c>
      <c r="K9" s="60" t="s">
        <v>29</v>
      </c>
      <c r="L9" s="56">
        <f>'Balance Sheet'!O21</f>
        <v>20330.93</v>
      </c>
      <c r="M9" s="60" t="s">
        <v>59</v>
      </c>
      <c r="N9" s="56">
        <f>'Balance Sheet'!O60</f>
        <v>9818.6200000000008</v>
      </c>
      <c r="P9" s="60" t="s">
        <v>29</v>
      </c>
      <c r="Q9" s="56"/>
      <c r="R9" s="60" t="s">
        <v>59</v>
      </c>
      <c r="S9" s="56"/>
      <c r="U9" s="60" t="s">
        <v>29</v>
      </c>
      <c r="V9" s="56"/>
      <c r="W9" s="60" t="s">
        <v>59</v>
      </c>
      <c r="X9" s="56"/>
      <c r="Z9" s="60" t="s">
        <v>29</v>
      </c>
      <c r="AA9" s="56"/>
      <c r="AB9" s="60" t="s">
        <v>59</v>
      </c>
      <c r="AC9" s="56"/>
    </row>
    <row r="10" spans="1:29" x14ac:dyDescent="0.3">
      <c r="A10" s="60" t="s">
        <v>30</v>
      </c>
      <c r="B10" s="56">
        <f>'Balance Sheet'!AM15+'Balance Sheet'!AM27</f>
        <v>1686.98</v>
      </c>
      <c r="C10" s="60"/>
      <c r="D10" s="56"/>
      <c r="F10" s="60" t="s">
        <v>30</v>
      </c>
      <c r="G10" s="56">
        <f>'Balance Sheet'!G20</f>
        <v>6537.7</v>
      </c>
      <c r="H10" s="60"/>
      <c r="I10" s="56"/>
      <c r="K10" s="60" t="s">
        <v>30</v>
      </c>
      <c r="L10" s="56">
        <f>'Balance Sheet'!O15+'Balance Sheet'!O24</f>
        <v>8536.2400000000016</v>
      </c>
      <c r="M10" s="60"/>
      <c r="N10" s="56"/>
      <c r="P10" s="60" t="s">
        <v>30</v>
      </c>
      <c r="Q10" s="56"/>
      <c r="R10" s="60"/>
      <c r="S10" s="56"/>
      <c r="U10" s="60" t="s">
        <v>30</v>
      </c>
      <c r="V10" s="56"/>
      <c r="W10" s="60"/>
      <c r="X10" s="56"/>
      <c r="Z10" s="60" t="s">
        <v>30</v>
      </c>
      <c r="AA10" s="56"/>
      <c r="AB10" s="60"/>
      <c r="AC10" s="56"/>
    </row>
    <row r="11" spans="1:29" x14ac:dyDescent="0.3">
      <c r="A11" s="60" t="s">
        <v>527</v>
      </c>
      <c r="B11" s="56">
        <f>'Balance Sheet'!AM32</f>
        <v>369.41</v>
      </c>
      <c r="C11" s="60"/>
      <c r="D11" s="56"/>
      <c r="F11" s="60" t="s">
        <v>527</v>
      </c>
      <c r="G11" s="56">
        <f>'Balance Sheet'!G26</f>
        <v>3810.3</v>
      </c>
      <c r="H11" s="60"/>
      <c r="I11" s="56"/>
      <c r="K11" s="60" t="s">
        <v>527</v>
      </c>
      <c r="L11" s="56">
        <f>'Balance Sheet'!O30</f>
        <v>7203.08</v>
      </c>
      <c r="M11" s="60"/>
      <c r="N11" s="56"/>
      <c r="P11" s="60" t="s">
        <v>527</v>
      </c>
      <c r="Q11" s="56"/>
      <c r="R11" s="60"/>
      <c r="S11" s="56"/>
      <c r="U11" s="60" t="s">
        <v>527</v>
      </c>
      <c r="V11" s="56"/>
      <c r="W11" s="60"/>
      <c r="X11" s="56"/>
      <c r="Z11" s="60" t="s">
        <v>527</v>
      </c>
      <c r="AA11" s="56"/>
      <c r="AB11" s="60"/>
      <c r="AC11" s="56"/>
    </row>
    <row r="12" spans="1:29" x14ac:dyDescent="0.3">
      <c r="A12" s="60" t="s">
        <v>528</v>
      </c>
      <c r="B12" s="56">
        <f>SUM(B3:B11)</f>
        <v>20025.629999999997</v>
      </c>
      <c r="C12" s="60" t="s">
        <v>100</v>
      </c>
      <c r="D12" s="56">
        <f>SUM(D3:D9)</f>
        <v>6879.96</v>
      </c>
      <c r="F12" s="60" t="s">
        <v>528</v>
      </c>
      <c r="G12" s="56">
        <f>SUM(G3:G11)</f>
        <v>116417.69999999998</v>
      </c>
      <c r="H12" s="60" t="s">
        <v>100</v>
      </c>
      <c r="I12" s="56">
        <f>SUM(I3:I9)</f>
        <v>24474.5</v>
      </c>
      <c r="K12" s="60" t="s">
        <v>528</v>
      </c>
      <c r="L12" s="56">
        <f>SUM(L3:L11)</f>
        <v>99540.510000000009</v>
      </c>
      <c r="M12" s="60" t="s">
        <v>100</v>
      </c>
      <c r="N12" s="56">
        <f>SUM(N3:N9)</f>
        <v>167660.98000000004</v>
      </c>
      <c r="P12" s="60" t="s">
        <v>528</v>
      </c>
      <c r="Q12" s="56">
        <f>SUM(Q3:Q11)</f>
        <v>0</v>
      </c>
      <c r="R12" s="60" t="s">
        <v>100</v>
      </c>
      <c r="S12" s="56">
        <f>SUM(S3:S9)</f>
        <v>0</v>
      </c>
      <c r="U12" s="60" t="s">
        <v>528</v>
      </c>
      <c r="V12" s="56">
        <f>SUM(V3:V11)</f>
        <v>0</v>
      </c>
      <c r="W12" s="60" t="s">
        <v>100</v>
      </c>
      <c r="X12" s="56">
        <f>SUM(X3:X9)</f>
        <v>0</v>
      </c>
      <c r="Z12" s="60" t="s">
        <v>528</v>
      </c>
      <c r="AA12" s="56">
        <f>SUM(AA3:AA11)</f>
        <v>0</v>
      </c>
      <c r="AB12" s="60" t="s">
        <v>100</v>
      </c>
      <c r="AC12" s="56">
        <f>SUM(AC3:AC9)</f>
        <v>0</v>
      </c>
    </row>
    <row r="14" spans="1:29" x14ac:dyDescent="0.3">
      <c r="A14" s="60" t="s">
        <v>533</v>
      </c>
      <c r="B14" s="139">
        <f>B12-D12</f>
        <v>13145.669999999998</v>
      </c>
      <c r="F14" s="60" t="s">
        <v>533</v>
      </c>
      <c r="G14" s="56">
        <f>G12-I12</f>
        <v>91943.199999999983</v>
      </c>
      <c r="K14" s="60" t="s">
        <v>533</v>
      </c>
      <c r="L14" s="56">
        <f>L12-N12</f>
        <v>-68120.47000000003</v>
      </c>
      <c r="P14" s="60" t="s">
        <v>533</v>
      </c>
      <c r="Q14" s="56">
        <f>Q12-S12</f>
        <v>0</v>
      </c>
      <c r="U14" s="60" t="s">
        <v>533</v>
      </c>
      <c r="V14" s="56">
        <f>V12-X12</f>
        <v>0</v>
      </c>
      <c r="Z14" s="60" t="s">
        <v>533</v>
      </c>
      <c r="AA14" s="56">
        <f>AA12-AC12</f>
        <v>0</v>
      </c>
    </row>
    <row r="15" spans="1:29" x14ac:dyDescent="0.3">
      <c r="A15" s="60" t="s">
        <v>534</v>
      </c>
      <c r="B15" s="139">
        <f ca="1">'Company Profile'!F16</f>
        <v>85</v>
      </c>
      <c r="F15" s="60" t="s">
        <v>534</v>
      </c>
      <c r="G15" s="56">
        <f ca="1">'Company Profile'!B16</f>
        <v>31.440259999999999</v>
      </c>
      <c r="K15" s="60" t="s">
        <v>534</v>
      </c>
      <c r="L15" s="56">
        <f ca="1">'Company Profile'!C16</f>
        <v>120.0046</v>
      </c>
      <c r="P15" s="60" t="s">
        <v>534</v>
      </c>
      <c r="Q15" s="56">
        <f ca="1">'Company Profile'!D16</f>
        <v>368.23309999999998</v>
      </c>
      <c r="U15" s="60" t="s">
        <v>534</v>
      </c>
      <c r="V15" s="56">
        <f ca="1">'Company Profile'!E16</f>
        <v>47.491909999999997</v>
      </c>
      <c r="Z15" s="60" t="s">
        <v>534</v>
      </c>
      <c r="AA15" s="56">
        <f ca="1">'Company Profile'!G16</f>
        <v>1055.444</v>
      </c>
    </row>
    <row r="16" spans="1:29" x14ac:dyDescent="0.3">
      <c r="A16" s="60" t="s">
        <v>535</v>
      </c>
      <c r="B16" s="56">
        <f ca="1">B14/B15</f>
        <v>154.65494117647057</v>
      </c>
      <c r="F16" s="60" t="s">
        <v>535</v>
      </c>
      <c r="G16" s="56">
        <f ca="1">G14/G15</f>
        <v>2924.3778518371028</v>
      </c>
      <c r="K16" s="60" t="s">
        <v>535</v>
      </c>
      <c r="L16" s="56">
        <f ca="1">L14/L15</f>
        <v>-567.64882346176762</v>
      </c>
      <c r="P16" s="60" t="s">
        <v>535</v>
      </c>
      <c r="Q16" s="56">
        <f ca="1">Q14/Q15</f>
        <v>0</v>
      </c>
      <c r="U16" s="60" t="s">
        <v>535</v>
      </c>
      <c r="V16" s="56">
        <f ca="1">V14/V15</f>
        <v>0</v>
      </c>
      <c r="Z16" s="60" t="s">
        <v>535</v>
      </c>
      <c r="AA16" s="56">
        <f ca="1">AA14/AA15</f>
        <v>0</v>
      </c>
    </row>
    <row r="17" spans="1:27" x14ac:dyDescent="0.3">
      <c r="A17" s="60" t="s">
        <v>522</v>
      </c>
      <c r="B17" s="60">
        <f ca="1">'Company Profile'!F11</f>
        <v>379.55</v>
      </c>
      <c r="F17" s="60" t="s">
        <v>522</v>
      </c>
      <c r="G17" s="56">
        <f ca="1">'Valuation-FCFF'!B23</f>
        <v>15583</v>
      </c>
      <c r="K17" s="60" t="s">
        <v>522</v>
      </c>
      <c r="L17" s="56">
        <f ca="1">'Valuation-FCFF'!K23</f>
        <v>3663.9</v>
      </c>
      <c r="P17" s="60" t="s">
        <v>522</v>
      </c>
      <c r="Q17" s="56"/>
      <c r="U17" s="60" t="s">
        <v>522</v>
      </c>
      <c r="V17" s="56"/>
      <c r="Z17" s="60" t="s">
        <v>522</v>
      </c>
      <c r="AA17" s="56"/>
    </row>
    <row r="18" spans="1:27" x14ac:dyDescent="0.3">
      <c r="A18" s="60" t="s">
        <v>515</v>
      </c>
      <c r="B18" s="136">
        <f ca="1">(B16-B17)/B17</f>
        <v>-0.59253078335800136</v>
      </c>
      <c r="F18" s="60" t="s">
        <v>515</v>
      </c>
      <c r="G18" s="136">
        <f ca="1">(G16-G17)/G17</f>
        <v>-0.81233537497034569</v>
      </c>
      <c r="K18" s="60" t="s">
        <v>515</v>
      </c>
      <c r="L18" s="136">
        <f ca="1">(L16-L17)/L17</f>
        <v>-1.1549302173808695</v>
      </c>
      <c r="P18" s="60" t="s">
        <v>515</v>
      </c>
      <c r="Q18" s="56"/>
      <c r="U18" s="60" t="s">
        <v>515</v>
      </c>
      <c r="V18" s="56"/>
      <c r="Z18" s="60" t="s">
        <v>515</v>
      </c>
      <c r="AA18" s="56"/>
    </row>
  </sheetData>
  <mergeCells count="6">
    <mergeCell ref="Z1:AB1"/>
    <mergeCell ref="A1:C1"/>
    <mergeCell ref="F1:H1"/>
    <mergeCell ref="K1:M1"/>
    <mergeCell ref="P1:R1"/>
    <mergeCell ref="U1:W1"/>
  </mergeCells>
  <conditionalFormatting sqref="B18">
    <cfRule type="cellIs" dxfId="11" priority="11" operator="lessThan">
      <formula>0</formula>
    </cfRule>
    <cfRule type="cellIs" dxfId="10" priority="12" operator="greaterThan">
      <formula>0</formula>
    </cfRule>
  </conditionalFormatting>
  <conditionalFormatting sqref="G18">
    <cfRule type="cellIs" dxfId="9" priority="9" operator="lessThan">
      <formula>0</formula>
    </cfRule>
    <cfRule type="cellIs" dxfId="8" priority="10" operator="greaterThan">
      <formula>0</formula>
    </cfRule>
  </conditionalFormatting>
  <conditionalFormatting sqref="L18">
    <cfRule type="cellIs" dxfId="7" priority="7" operator="lessThan">
      <formula>0</formula>
    </cfRule>
    <cfRule type="cellIs" dxfId="6" priority="8" operator="greaterThan">
      <formula>0</formula>
    </cfRule>
  </conditionalFormatting>
  <conditionalFormatting sqref="Q18">
    <cfRule type="cellIs" dxfId="5" priority="5" operator="lessThan">
      <formula>0</formula>
    </cfRule>
    <cfRule type="cellIs" dxfId="4" priority="6" operator="greaterThan">
      <formula>0</formula>
    </cfRule>
  </conditionalFormatting>
  <conditionalFormatting sqref="V18">
    <cfRule type="cellIs" dxfId="3" priority="3" operator="lessThan">
      <formula>0</formula>
    </cfRule>
    <cfRule type="cellIs" dxfId="2" priority="4" operator="greaterThan">
      <formula>0</formula>
    </cfRule>
  </conditionalFormatting>
  <conditionalFormatting sqref="AA18">
    <cfRule type="cellIs" dxfId="1" priority="1" operator="lessThan">
      <formula>0</formula>
    </cfRule>
    <cfRule type="cellIs" dxfId="0" priority="2" operator="greaterThan">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0F50E-2A4F-4387-882B-6A84E9D7F4A1}">
  <dimension ref="A1:P29"/>
  <sheetViews>
    <sheetView topLeftCell="K1" workbookViewId="0">
      <selection activeCell="R3" sqref="R3"/>
    </sheetView>
  </sheetViews>
  <sheetFormatPr defaultRowHeight="14.4" x14ac:dyDescent="0.3"/>
  <cols>
    <col min="1" max="1" width="8.88671875" style="2"/>
    <col min="2" max="2" width="13.109375" style="2" bestFit="1" customWidth="1"/>
    <col min="3" max="3" width="10" style="2" bestFit="1" customWidth="1"/>
    <col min="4" max="4" width="9.88671875" style="166" bestFit="1" customWidth="1"/>
    <col min="5" max="6" width="8.88671875" style="2"/>
    <col min="7" max="7" width="10" style="2" bestFit="1" customWidth="1"/>
    <col min="8" max="9" width="10.44140625" style="2" customWidth="1"/>
    <col min="10" max="10" width="11.88671875" style="2" customWidth="1"/>
    <col min="11" max="12" width="10.44140625" style="2" customWidth="1"/>
    <col min="13" max="13" width="11.6640625" style="2" bestFit="1" customWidth="1"/>
    <col min="14" max="16" width="10.44140625" style="2" customWidth="1"/>
    <col min="17" max="16384" width="8.88671875" style="2"/>
  </cols>
  <sheetData>
    <row r="1" spans="1:16" s="59" customFormat="1" ht="43.2" x14ac:dyDescent="0.3">
      <c r="A1" s="57" t="s">
        <v>495</v>
      </c>
      <c r="B1" s="57" t="s">
        <v>556</v>
      </c>
      <c r="C1" s="57" t="s">
        <v>557</v>
      </c>
      <c r="D1" s="57" t="s">
        <v>523</v>
      </c>
      <c r="G1" s="178" t="s">
        <v>557</v>
      </c>
      <c r="H1" s="178" t="s">
        <v>563</v>
      </c>
      <c r="I1" s="178" t="s">
        <v>564</v>
      </c>
      <c r="J1" s="178" t="s">
        <v>565</v>
      </c>
      <c r="K1" s="178" t="s">
        <v>566</v>
      </c>
      <c r="L1" s="64" t="s">
        <v>562</v>
      </c>
      <c r="M1" s="64" t="s">
        <v>567</v>
      </c>
      <c r="N1" s="178" t="s">
        <v>568</v>
      </c>
      <c r="O1" s="178" t="s">
        <v>569</v>
      </c>
      <c r="P1" s="178" t="s">
        <v>570</v>
      </c>
    </row>
    <row r="2" spans="1:16" x14ac:dyDescent="0.3">
      <c r="A2" s="60" t="s">
        <v>558</v>
      </c>
      <c r="B2" s="60" t="s">
        <v>559</v>
      </c>
      <c r="C2" s="60" t="s">
        <v>543</v>
      </c>
      <c r="D2" s="56">
        <f>ABS(AVERAGE('Cash Flow Statement'!B37:G37))</f>
        <v>4954.1883333333326</v>
      </c>
      <c r="G2" s="60" t="s">
        <v>543</v>
      </c>
      <c r="H2" s="139">
        <f>(('Income Statement'!G19+'Income Statement'!G12)-('Income Statement'!B19+'Income Statement'!B12))</f>
        <v>12139.299999999988</v>
      </c>
      <c r="I2" s="139">
        <f>(('Balance Sheet'!G28-'Balance Sheet'!G56)-('Balance Sheet'!B28-'Balance Sheet'!B56))</f>
        <v>46577.200000000026</v>
      </c>
      <c r="J2" s="136">
        <f>H2/I2</f>
        <v>0.26062751732607331</v>
      </c>
      <c r="K2" s="139">
        <f>'Valuation-FCFF'!H4-'Valuation-FCFF'!D4</f>
        <v>8438.7359472204298</v>
      </c>
      <c r="L2" s="139">
        <f>D9</f>
        <v>9109.7266334791984</v>
      </c>
      <c r="M2" s="139">
        <f>AVERAGE('Valuation-FCFF'!D7:H7)</f>
        <v>2990.5059374318189</v>
      </c>
      <c r="N2" s="139">
        <f>IF(L2-M2&lt;=0,L2,MAX(L2-M2,0.1*L2))</f>
        <v>6119.2206960473795</v>
      </c>
      <c r="O2" s="136">
        <f>K2/N2</f>
        <v>1.3790540276920078</v>
      </c>
      <c r="P2" s="138">
        <f>MIN(MAX(O2,0.1),0.2)</f>
        <v>0.2</v>
      </c>
    </row>
    <row r="3" spans="1:16" x14ac:dyDescent="0.3">
      <c r="A3" s="60" t="s">
        <v>558</v>
      </c>
      <c r="B3" s="60" t="s">
        <v>559</v>
      </c>
      <c r="C3" s="60" t="s">
        <v>544</v>
      </c>
      <c r="D3" s="56">
        <f>ABS(AVERAGE('Cash Flow Statement'!J27:O27))</f>
        <v>7594.6366666666681</v>
      </c>
      <c r="G3" s="60" t="s">
        <v>544</v>
      </c>
      <c r="H3" s="139">
        <f>(('Income Statement'!O20+'Income Statement'!O12)-('Income Statement'!J20+'Income Statement'!J12))</f>
        <v>17453.429999999986</v>
      </c>
      <c r="I3" s="139">
        <f>(('Balance Sheet'!O32-'Balance Sheet'!O61)-('Balance Sheet'!J32-'Balance Sheet'!J61))</f>
        <v>74267.12000000001</v>
      </c>
      <c r="J3" s="136">
        <f t="shared" ref="J3:J7" si="0">H3/I3</f>
        <v>0.2350088437521205</v>
      </c>
      <c r="K3" s="139">
        <f>'Valuation-FCFF'!Q4-'Valuation-FCFF'!M4</f>
        <v>25322.33345771056</v>
      </c>
      <c r="L3" s="139">
        <f t="shared" ref="L3:L7" si="1">D10</f>
        <v>12816.606243663842</v>
      </c>
      <c r="M3" s="139">
        <f>AVERAGE('Valuation-FCFF'!M7:Q7)</f>
        <v>8236.9192398278065</v>
      </c>
      <c r="N3" s="139">
        <f t="shared" ref="N3:N7" si="2">IF(L3-M3&lt;=0,L3,MAX(L3-M3,0.1*L3))</f>
        <v>4579.6870038360357</v>
      </c>
      <c r="O3" s="136">
        <f t="shared" ref="O3:O7" si="3">K3/N3</f>
        <v>5.529271637231993</v>
      </c>
      <c r="P3" s="138">
        <f t="shared" ref="P3:P7" si="4">MIN(MAX(O3,0.1),0.2)</f>
        <v>0.2</v>
      </c>
    </row>
    <row r="4" spans="1:16" x14ac:dyDescent="0.3">
      <c r="A4" s="60" t="s">
        <v>558</v>
      </c>
      <c r="B4" s="60" t="s">
        <v>559</v>
      </c>
      <c r="C4" s="60" t="s">
        <v>545</v>
      </c>
      <c r="D4" s="56">
        <f>ABS(AVERAGE('Cash Flow Statement'!R43:W43))</f>
        <v>11965.141666666668</v>
      </c>
      <c r="G4" s="60" t="s">
        <v>545</v>
      </c>
      <c r="H4" s="139">
        <f>(('Income Statement'!W23+'Income Statement'!W16)-('Income Statement'!R23+'Income Statement'!R16))</f>
        <v>39591.209999999977</v>
      </c>
      <c r="I4" s="139">
        <f>(('Balance Sheet'!W35-'Balance Sheet'!W65)-('Balance Sheet'!R35-'Balance Sheet'!R65))</f>
        <v>30291.310000000027</v>
      </c>
      <c r="J4" s="136">
        <f t="shared" si="0"/>
        <v>1.3070154443634145</v>
      </c>
      <c r="K4" s="139">
        <f>'Valuation-FCFF'!Z4-'Valuation-FCFF'!V4</f>
        <v>7636.9624727173723</v>
      </c>
      <c r="L4" s="139">
        <f t="shared" si="1"/>
        <v>43126.131809126775</v>
      </c>
      <c r="M4" s="139">
        <f>AVERAGE('Valuation-FCFF'!V7:Z7)</f>
        <v>24435.152802972538</v>
      </c>
      <c r="N4" s="139">
        <f t="shared" si="2"/>
        <v>18690.979006154237</v>
      </c>
      <c r="O4" s="136">
        <f t="shared" si="3"/>
        <v>0.4085908218185258</v>
      </c>
      <c r="P4" s="138">
        <f t="shared" si="4"/>
        <v>0.2</v>
      </c>
    </row>
    <row r="5" spans="1:16" x14ac:dyDescent="0.3">
      <c r="A5" s="60" t="s">
        <v>558</v>
      </c>
      <c r="B5" s="60" t="s">
        <v>559</v>
      </c>
      <c r="C5" s="60" t="s">
        <v>546</v>
      </c>
      <c r="D5" s="56">
        <f>ABS(AVERAGE('Cash Flow Statement'!Z30:AD30))</f>
        <v>1083.894</v>
      </c>
      <c r="G5" s="60" t="s">
        <v>546</v>
      </c>
      <c r="H5" s="139">
        <f>(('Income Statement'!AD16+'Income Statement'!AD12)-('Income Statement'!Z16+'Income Statement'!Z12))</f>
        <v>2905.2299999999959</v>
      </c>
      <c r="I5" s="139">
        <f>(('Balance Sheet'!AD33-'Balance Sheet'!AD61)-('Balance Sheet'!Z33-'Balance Sheet'!Z61))</f>
        <v>11808.669999999995</v>
      </c>
      <c r="J5" s="136">
        <f t="shared" si="0"/>
        <v>0.24602516625496329</v>
      </c>
      <c r="K5" s="139">
        <f>'Valuation-FCFF'!AJ4-'Valuation-FCFF'!AE4</f>
        <v>9323.5475232928311</v>
      </c>
      <c r="L5" s="139">
        <f t="shared" si="1"/>
        <v>1241.8446135932675</v>
      </c>
      <c r="M5" s="139">
        <f>AVERAGE('Valuation-FCFF'!AE7:AJ7)</f>
        <v>1471.6721876346865</v>
      </c>
      <c r="N5" s="139">
        <f t="shared" si="2"/>
        <v>1241.8446135932675</v>
      </c>
      <c r="O5" s="136">
        <f t="shared" si="3"/>
        <v>7.5078213660847801</v>
      </c>
      <c r="P5" s="138">
        <f t="shared" si="4"/>
        <v>0.2</v>
      </c>
    </row>
    <row r="6" spans="1:16" x14ac:dyDescent="0.3">
      <c r="A6" s="60" t="s">
        <v>558</v>
      </c>
      <c r="B6" s="60" t="s">
        <v>559</v>
      </c>
      <c r="C6" s="60" t="s">
        <v>547</v>
      </c>
      <c r="D6" s="56">
        <f>ABS(AVERAGE('Cash Flow Statement'!AH25:AM25))</f>
        <v>1099.3700000000001</v>
      </c>
      <c r="G6" s="60" t="s">
        <v>547</v>
      </c>
      <c r="H6" s="139">
        <f>(('Income Statement'!AM14-'Income Statement'!AM16)-('Income Statement'!AH14-'Income Statement'!AH16))</f>
        <v>238.1299999999992</v>
      </c>
      <c r="I6" s="139">
        <f>(('Balance Sheet'!AM34-'Balance Sheet'!AM72)-('Balance Sheet'!AH34-'Balance Sheet'!AH72))</f>
        <v>-5600.1799999999967</v>
      </c>
      <c r="J6" s="136">
        <f t="shared" si="0"/>
        <v>-4.2521847512044138E-2</v>
      </c>
      <c r="K6" s="139">
        <f>'Valuation-FCFF'!AS4-'Valuation-FCFF'!AO4</f>
        <v>193.24983969435652</v>
      </c>
      <c r="L6" s="139">
        <f t="shared" si="1"/>
        <v>3621.3520035215697</v>
      </c>
      <c r="M6" s="56">
        <f>AVERAGE('Valuation-FCFF'!AO7:AS7)</f>
        <v>689.80851473384655</v>
      </c>
      <c r="N6" s="139">
        <f t="shared" si="2"/>
        <v>2931.5434887877232</v>
      </c>
      <c r="O6" s="136">
        <f t="shared" si="3"/>
        <v>6.5920850375742107E-2</v>
      </c>
      <c r="P6" s="138">
        <f t="shared" si="4"/>
        <v>0.1</v>
      </c>
    </row>
    <row r="7" spans="1:16" x14ac:dyDescent="0.3">
      <c r="A7" s="60" t="s">
        <v>558</v>
      </c>
      <c r="B7" s="60" t="s">
        <v>559</v>
      </c>
      <c r="C7" s="60" t="s">
        <v>548</v>
      </c>
      <c r="D7" s="56">
        <f>ABS(AVERAGE('Cash Flow Statement'!AP28:AT28))</f>
        <v>2619.7400000000002</v>
      </c>
      <c r="G7" s="60" t="s">
        <v>548</v>
      </c>
      <c r="H7" s="139">
        <f>(('Income Statement'!AT18+'Income Statement'!AT15)-('Income Statement'!AP18+'Income Statement'!AP15))</f>
        <v>3506.1000000000186</v>
      </c>
      <c r="I7" s="139">
        <f>(('Balance Sheet'!AT34-'Balance Sheet'!AT67)-('Balance Sheet'!AP34-'Balance Sheet'!AP67))</f>
        <v>17376.3</v>
      </c>
      <c r="J7" s="136">
        <f t="shared" si="0"/>
        <v>0.20177483123564963</v>
      </c>
      <c r="K7" s="139">
        <f>'Valuation-FCFF'!BC4-'Valuation-FCFF'!AX4</f>
        <v>11162.962557628336</v>
      </c>
      <c r="L7" s="139">
        <f t="shared" si="1"/>
        <v>6389.5884712893921</v>
      </c>
      <c r="M7" s="139">
        <f>AVERAGE('Valuation-FCFF'!AX7:BC7)</f>
        <v>4855.4380111055279</v>
      </c>
      <c r="N7" s="139">
        <f t="shared" si="2"/>
        <v>1534.1504601838642</v>
      </c>
      <c r="O7" s="136">
        <f t="shared" si="3"/>
        <v>7.276315359766266</v>
      </c>
      <c r="P7" s="138">
        <f t="shared" si="4"/>
        <v>0.2</v>
      </c>
    </row>
    <row r="8" spans="1:16" x14ac:dyDescent="0.3">
      <c r="A8" s="61" t="s">
        <v>558</v>
      </c>
      <c r="B8" s="61" t="s">
        <v>559</v>
      </c>
      <c r="C8" s="61" t="s">
        <v>549</v>
      </c>
      <c r="D8" s="58">
        <f>AVERAGE(D2:D7)</f>
        <v>4886.1617777777783</v>
      </c>
      <c r="G8" s="61" t="s">
        <v>549</v>
      </c>
      <c r="H8" s="61"/>
      <c r="I8" s="61"/>
      <c r="J8" s="176">
        <f>AVERAGE(J2:J7)</f>
        <v>0.36798832590336278</v>
      </c>
      <c r="K8" s="176"/>
      <c r="L8" s="176"/>
      <c r="M8" s="176"/>
      <c r="N8" s="176"/>
      <c r="O8" s="176">
        <f t="shared" ref="O8:P8" si="5">AVERAGE(O2:O7)</f>
        <v>3.694495677161552</v>
      </c>
      <c r="P8" s="176">
        <f t="shared" si="5"/>
        <v>0.18333333333333335</v>
      </c>
    </row>
    <row r="9" spans="1:16" x14ac:dyDescent="0.3">
      <c r="A9" s="60" t="s">
        <v>560</v>
      </c>
      <c r="B9" s="60" t="s">
        <v>559</v>
      </c>
      <c r="C9" s="60" t="s">
        <v>543</v>
      </c>
      <c r="D9" s="56">
        <f>AVERAGE('Valuation-FCFF'!D8:H8)</f>
        <v>9109.7266334791984</v>
      </c>
    </row>
    <row r="10" spans="1:16" x14ac:dyDescent="0.3">
      <c r="A10" s="60" t="s">
        <v>560</v>
      </c>
      <c r="B10" s="60" t="s">
        <v>559</v>
      </c>
      <c r="C10" s="60" t="s">
        <v>544</v>
      </c>
      <c r="D10" s="56">
        <f>AVERAGE('Valuation-FCFF'!M8:Q8)</f>
        <v>12816.606243663842</v>
      </c>
    </row>
    <row r="11" spans="1:16" x14ac:dyDescent="0.3">
      <c r="A11" s="60" t="s">
        <v>560</v>
      </c>
      <c r="B11" s="60" t="s">
        <v>559</v>
      </c>
      <c r="C11" s="60" t="s">
        <v>545</v>
      </c>
      <c r="D11" s="56">
        <f>AVERAGE('Valuation-FCFF'!V8:Z8)</f>
        <v>43126.131809126775</v>
      </c>
    </row>
    <row r="12" spans="1:16" x14ac:dyDescent="0.3">
      <c r="A12" s="60" t="s">
        <v>560</v>
      </c>
      <c r="B12" s="60" t="s">
        <v>559</v>
      </c>
      <c r="C12" s="60" t="s">
        <v>546</v>
      </c>
      <c r="D12" s="56">
        <f>AVERAGE('Valuation-FCFF'!AE8:AJ8)</f>
        <v>1241.8446135932675</v>
      </c>
    </row>
    <row r="13" spans="1:16" x14ac:dyDescent="0.3">
      <c r="A13" s="60" t="s">
        <v>560</v>
      </c>
      <c r="B13" s="60" t="s">
        <v>559</v>
      </c>
      <c r="C13" s="60" t="s">
        <v>547</v>
      </c>
      <c r="D13" s="56">
        <f>AVERAGE('Valuation-FCFF'!AO8:AS8)</f>
        <v>3621.3520035215697</v>
      </c>
    </row>
    <row r="14" spans="1:16" x14ac:dyDescent="0.3">
      <c r="A14" s="60" t="s">
        <v>560</v>
      </c>
      <c r="B14" s="60" t="s">
        <v>559</v>
      </c>
      <c r="C14" s="60" t="s">
        <v>548</v>
      </c>
      <c r="D14" s="56">
        <f>AVERAGE('Valuation-FCFF'!AX8:BC8)</f>
        <v>6389.5884712893921</v>
      </c>
    </row>
    <row r="15" spans="1:16" x14ac:dyDescent="0.3">
      <c r="A15" s="61" t="s">
        <v>560</v>
      </c>
      <c r="B15" s="61" t="s">
        <v>559</v>
      </c>
      <c r="C15" s="61" t="s">
        <v>549</v>
      </c>
      <c r="D15" s="58">
        <f>AVERAGE(D9:D14)</f>
        <v>12717.541629112338</v>
      </c>
    </row>
    <row r="16" spans="1:16" x14ac:dyDescent="0.3">
      <c r="A16" s="60" t="s">
        <v>560</v>
      </c>
      <c r="B16" s="60" t="s">
        <v>561</v>
      </c>
      <c r="C16" s="60" t="s">
        <v>543</v>
      </c>
      <c r="D16" s="174">
        <f>('Valuation-FCFF'!H8/'Valuation-FCFF'!D8)^(1/5)-1</f>
        <v>9.0718993018298333E-2</v>
      </c>
    </row>
    <row r="17" spans="1:4" x14ac:dyDescent="0.3">
      <c r="A17" s="60" t="s">
        <v>560</v>
      </c>
      <c r="B17" s="60" t="s">
        <v>561</v>
      </c>
      <c r="C17" s="60" t="s">
        <v>544</v>
      </c>
      <c r="D17" s="174">
        <f>('Valuation-FCFF'!Q8/'Valuation-FCFF'!M8)^(1/5)-1</f>
        <v>5.6200749859162125E-2</v>
      </c>
    </row>
    <row r="18" spans="1:4" x14ac:dyDescent="0.3">
      <c r="A18" s="60" t="s">
        <v>560</v>
      </c>
      <c r="B18" s="60" t="s">
        <v>561</v>
      </c>
      <c r="C18" s="60" t="s">
        <v>545</v>
      </c>
      <c r="D18" s="174">
        <f>('Valuation-FCFF'!Z8/'Valuation-FCFF'!V8)^(1/5)-1</f>
        <v>3.3547151804176112E-2</v>
      </c>
    </row>
    <row r="19" spans="1:4" x14ac:dyDescent="0.3">
      <c r="A19" s="60" t="s">
        <v>560</v>
      </c>
      <c r="B19" s="60" t="s">
        <v>561</v>
      </c>
      <c r="C19" s="60" t="s">
        <v>546</v>
      </c>
      <c r="D19" s="174">
        <f>('Valuation-FCFF'!AJ8/'Valuation-FCFF'!AE8)^(1/6)-1</f>
        <v>1.9297572417017683E-2</v>
      </c>
    </row>
    <row r="20" spans="1:4" x14ac:dyDescent="0.3">
      <c r="A20" s="60" t="s">
        <v>560</v>
      </c>
      <c r="B20" s="60" t="s">
        <v>561</v>
      </c>
      <c r="C20" s="60" t="s">
        <v>547</v>
      </c>
      <c r="D20" s="174">
        <f>('Valuation-FCFF'!AS8/'Valuation-FCFF'!AO8)^(1/5)-1</f>
        <v>0.1679857497701589</v>
      </c>
    </row>
    <row r="21" spans="1:4" x14ac:dyDescent="0.3">
      <c r="A21" s="60" t="s">
        <v>560</v>
      </c>
      <c r="B21" s="60" t="s">
        <v>561</v>
      </c>
      <c r="C21" s="60" t="s">
        <v>548</v>
      </c>
      <c r="D21" s="174">
        <f>('Valuation-FCFF'!BC8/'Valuation-FCFF'!AX8)^(1/6)-1</f>
        <v>0.104356820387834</v>
      </c>
    </row>
    <row r="22" spans="1:4" x14ac:dyDescent="0.3">
      <c r="A22" s="61" t="s">
        <v>560</v>
      </c>
      <c r="B22" s="61" t="s">
        <v>561</v>
      </c>
      <c r="C22" s="61" t="s">
        <v>549</v>
      </c>
      <c r="D22" s="175">
        <f>AVERAGE(D16:D21)</f>
        <v>7.8684506209441188E-2</v>
      </c>
    </row>
    <row r="23" spans="1:4" x14ac:dyDescent="0.3">
      <c r="A23" s="60" t="str">
        <f>A16</f>
        <v>2026-30</v>
      </c>
      <c r="B23" s="60" t="s">
        <v>571</v>
      </c>
      <c r="C23" s="60" t="str">
        <f>C16</f>
        <v>Suzuki</v>
      </c>
      <c r="D23" s="174">
        <f>('Valuation-FCFF'!H6/'Valuation-FCFF'!B6)^(1/6)-1</f>
        <v>3.6019431823190118E-2</v>
      </c>
    </row>
    <row r="24" spans="1:4" x14ac:dyDescent="0.3">
      <c r="A24" s="60" t="str">
        <f t="shared" ref="A24:A28" si="6">A17</f>
        <v>2026-30</v>
      </c>
      <c r="B24" s="60" t="s">
        <v>571</v>
      </c>
      <c r="C24" s="60" t="str">
        <f t="shared" ref="C24:C29" si="7">C17</f>
        <v>M&amp;M</v>
      </c>
      <c r="D24" s="174">
        <f>('Valuation-FCFF'!Q6/'Valuation-FCFF'!K6)^(1/6)-1</f>
        <v>0.13273584245334469</v>
      </c>
    </row>
    <row r="25" spans="1:4" x14ac:dyDescent="0.3">
      <c r="A25" s="60" t="str">
        <f t="shared" si="6"/>
        <v>2026-30</v>
      </c>
      <c r="B25" s="60" t="s">
        <v>571</v>
      </c>
      <c r="C25" s="60" t="str">
        <f t="shared" si="7"/>
        <v>Tata</v>
      </c>
      <c r="D25" s="174">
        <f>('Valuation-FCFF'!Z6/'Valuation-FCFF'!T6)^(1/6)-1</f>
        <v>3.6359888210846458E-2</v>
      </c>
    </row>
    <row r="26" spans="1:4" x14ac:dyDescent="0.3">
      <c r="A26" s="60" t="str">
        <f t="shared" si="6"/>
        <v>2026-30</v>
      </c>
      <c r="B26" s="60" t="s">
        <v>571</v>
      </c>
      <c r="C26" s="60" t="str">
        <f t="shared" si="7"/>
        <v>TVS</v>
      </c>
      <c r="D26" s="174">
        <f>('Valuation-FCFF'!AJ6/'Valuation-FCFF'!AC6)^(1/6)-1</f>
        <v>0.21450724938267518</v>
      </c>
    </row>
    <row r="27" spans="1:4" x14ac:dyDescent="0.3">
      <c r="A27" s="60" t="str">
        <f t="shared" si="6"/>
        <v>2026-30</v>
      </c>
      <c r="B27" s="60" t="s">
        <v>571</v>
      </c>
      <c r="C27" s="60" t="str">
        <f t="shared" si="7"/>
        <v>Exide</v>
      </c>
      <c r="D27" s="174">
        <f>('Valuation-FCFF'!AS6/'Valuation-FCFF'!AM6)^(1/6)-1</f>
        <v>2.7815239219965093E-2</v>
      </c>
    </row>
    <row r="28" spans="1:4" x14ac:dyDescent="0.3">
      <c r="A28" s="60" t="str">
        <f t="shared" si="6"/>
        <v>2026-30</v>
      </c>
      <c r="B28" s="60" t="s">
        <v>571</v>
      </c>
      <c r="C28" s="60" t="str">
        <f t="shared" si="7"/>
        <v>Motherson</v>
      </c>
      <c r="D28" s="174">
        <f>('Valuation-FCFF'!BC6/'Valuation-FCFF'!AV6)^(1/7)-1</f>
        <v>0.17991504405455339</v>
      </c>
    </row>
    <row r="29" spans="1:4" x14ac:dyDescent="0.3">
      <c r="A29" s="61" t="str">
        <f>A22</f>
        <v>2026-30</v>
      </c>
      <c r="B29" s="61" t="s">
        <v>571</v>
      </c>
      <c r="C29" s="61" t="str">
        <f t="shared" si="7"/>
        <v>Average</v>
      </c>
      <c r="D29" s="175">
        <f>AVERAGE(D23:D28)</f>
        <v>0.10455878252409583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Company Profile</vt:lpstr>
      <vt:lpstr>Balance Sheet</vt:lpstr>
      <vt:lpstr>Income Statement</vt:lpstr>
      <vt:lpstr>Cash Flow Statement</vt:lpstr>
      <vt:lpstr>Financial Ratios</vt:lpstr>
      <vt:lpstr>Key Assumptions-WACC</vt:lpstr>
      <vt:lpstr>Valuation-FCFF</vt:lpstr>
      <vt:lpstr>Valuation-Summary</vt:lpstr>
      <vt:lpstr>5b</vt:lpstr>
      <vt:lpstr>NAV</vt:lpstr>
      <vt:lpstr>5c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 Gupta</dc:creator>
  <cp:lastModifiedBy>Akshat Gupta</cp:lastModifiedBy>
  <dcterms:created xsi:type="dcterms:W3CDTF">2015-06-05T18:17:20Z</dcterms:created>
  <dcterms:modified xsi:type="dcterms:W3CDTF">2025-11-10T17:47:42Z</dcterms:modified>
</cp:coreProperties>
</file>
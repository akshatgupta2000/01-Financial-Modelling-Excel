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B24001F5-C5C1-4198-84E0-DB6FD2A43907}" xr6:coauthVersionLast="47" xr6:coauthVersionMax="47" xr10:uidLastSave="{00000000-0000-0000-0000-000000000000}"/>
  <bookViews>
    <workbookView xWindow="13728" yWindow="0" windowWidth="9408" windowHeight="12336" firstSheet="4" activeTab="4" xr2:uid="{00000000-000D-0000-FFFF-FFFF00000000}"/>
  </bookViews>
  <sheets>
    <sheet name="Company Info" sheetId="1" r:id="rId1"/>
    <sheet name="Balance Sheet" sheetId="2" r:id="rId2"/>
    <sheet name="Income Statement" sheetId="3" r:id="rId3"/>
    <sheet name="Cash Flow Statement" sheetId="4" r:id="rId4"/>
    <sheet name="Ratio Analysis" sheetId="5" r:id="rId5"/>
    <sheet name="WACC &amp; Key Assumptions" sheetId="6" r:id="rId6"/>
    <sheet name="DCF" sheetId="8" r:id="rId7"/>
    <sheet name="Relative Valuation"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2" i="5" l="1"/>
  <c r="AJ32" i="5"/>
  <c r="AK32" i="5"/>
  <c r="AL32" i="5"/>
  <c r="AM32" i="5"/>
  <c r="AH32" i="5"/>
  <c r="AA32" i="5"/>
  <c r="AB32" i="5"/>
  <c r="AC32" i="5"/>
  <c r="AD32" i="5"/>
  <c r="AE32" i="5"/>
  <c r="Z32" i="5"/>
  <c r="S32" i="5"/>
  <c r="T32" i="5"/>
  <c r="U32" i="5"/>
  <c r="V32" i="5"/>
  <c r="W32" i="5"/>
  <c r="R32" i="5"/>
  <c r="K32" i="5"/>
  <c r="L32" i="5"/>
  <c r="M32" i="5"/>
  <c r="N32" i="5"/>
  <c r="O32" i="5"/>
  <c r="J32" i="5"/>
  <c r="C32" i="5"/>
  <c r="D32" i="5"/>
  <c r="E32" i="5"/>
  <c r="F32" i="5"/>
  <c r="G32" i="5"/>
  <c r="B32" i="5"/>
  <c r="O24" i="6"/>
  <c r="O23" i="6"/>
  <c r="O22" i="6"/>
  <c r="O21" i="6"/>
  <c r="O20" i="6"/>
  <c r="O19" i="6"/>
  <c r="N20" i="6"/>
  <c r="N21" i="6"/>
  <c r="N22" i="6"/>
  <c r="N23" i="6"/>
  <c r="N24" i="6"/>
  <c r="N19" i="6"/>
  <c r="Z7" i="6" l="1"/>
  <c r="Z3" i="6"/>
  <c r="Z4" i="6"/>
  <c r="Z5" i="6"/>
  <c r="Z6" i="6"/>
  <c r="Z2" i="6"/>
  <c r="Y7" i="6"/>
  <c r="Y3" i="6"/>
  <c r="Y4" i="6"/>
  <c r="Y5" i="6"/>
  <c r="Y6" i="6"/>
  <c r="Y2" i="6"/>
  <c r="X3" i="6"/>
  <c r="X4" i="6"/>
  <c r="X5" i="6"/>
  <c r="X6" i="6"/>
  <c r="X2" i="6"/>
  <c r="W6" i="6"/>
  <c r="W5" i="6"/>
  <c r="W4" i="6"/>
  <c r="W3" i="6"/>
  <c r="W2" i="6"/>
  <c r="V6" i="6"/>
  <c r="V5" i="6"/>
  <c r="V4" i="6"/>
  <c r="V3" i="6"/>
  <c r="V2" i="6"/>
  <c r="U6" i="6"/>
  <c r="U5" i="6"/>
  <c r="U4" i="6"/>
  <c r="U3" i="6"/>
  <c r="U2" i="6"/>
  <c r="T7" i="6"/>
  <c r="T3" i="6"/>
  <c r="T4" i="6"/>
  <c r="T5" i="6"/>
  <c r="T6" i="6"/>
  <c r="T2" i="6"/>
  <c r="S6" i="6"/>
  <c r="S5" i="6"/>
  <c r="S4" i="6"/>
  <c r="S3" i="6"/>
  <c r="S2" i="6"/>
  <c r="R6" i="6"/>
  <c r="R5" i="6"/>
  <c r="R4" i="6"/>
  <c r="R3" i="6"/>
  <c r="R2" i="6"/>
  <c r="Q3" i="6"/>
  <c r="Q4" i="6"/>
  <c r="Q5" i="6"/>
  <c r="Q6" i="6"/>
  <c r="Q7" i="6"/>
  <c r="Q2" i="6"/>
  <c r="O17" i="6" l="1"/>
  <c r="O16" i="6"/>
  <c r="O15" i="6"/>
  <c r="N14" i="6"/>
  <c r="N15" i="6"/>
  <c r="N16" i="6"/>
  <c r="N17" i="6"/>
  <c r="N13" i="6"/>
  <c r="K14" i="6"/>
  <c r="K13" i="6"/>
  <c r="K12" i="6"/>
  <c r="K11" i="6"/>
  <c r="K10" i="6"/>
  <c r="O10" i="6"/>
  <c r="O8" i="6"/>
  <c r="AJ31" i="5"/>
  <c r="AK31" i="5"/>
  <c r="AL31" i="5"/>
  <c r="AM31" i="5"/>
  <c r="AI31" i="5"/>
  <c r="AH31" i="5"/>
  <c r="AB31" i="5"/>
  <c r="AC31" i="5"/>
  <c r="AD31" i="5"/>
  <c r="AE31" i="5"/>
  <c r="AA31" i="5"/>
  <c r="Z31" i="5"/>
  <c r="T31" i="5"/>
  <c r="U31" i="5"/>
  <c r="V31" i="5"/>
  <c r="W31" i="5"/>
  <c r="S31" i="5"/>
  <c r="R31" i="5"/>
  <c r="L31" i="5"/>
  <c r="M31" i="5"/>
  <c r="N31" i="5"/>
  <c r="O31" i="5"/>
  <c r="K31" i="5"/>
  <c r="J31" i="5"/>
  <c r="D31" i="5"/>
  <c r="E31" i="5"/>
  <c r="F31" i="5"/>
  <c r="G31" i="5"/>
  <c r="C31" i="5"/>
  <c r="B31" i="5"/>
  <c r="AL20" i="8"/>
  <c r="AC20" i="8"/>
  <c r="B20" i="8"/>
  <c r="AL4" i="8"/>
  <c r="AL10" i="8"/>
  <c r="AL9" i="8"/>
  <c r="AL8" i="8"/>
  <c r="AL6" i="8"/>
  <c r="AL7" i="8" s="1"/>
  <c r="AL5" i="8"/>
  <c r="AM10" i="8"/>
  <c r="AN10" i="8" s="1"/>
  <c r="AO10" i="8" s="1"/>
  <c r="AP10" i="8" s="1"/>
  <c r="AQ10" i="8" s="1"/>
  <c r="AR10" i="8" s="1"/>
  <c r="AM9" i="8"/>
  <c r="AM8" i="8"/>
  <c r="AM5" i="8"/>
  <c r="AM4" i="8"/>
  <c r="AN4" i="8" s="1"/>
  <c r="AC9" i="8"/>
  <c r="AC8" i="8"/>
  <c r="AC6" i="8"/>
  <c r="AC5" i="8"/>
  <c r="AC4" i="8"/>
  <c r="AE4" i="8" s="1"/>
  <c r="AC10" i="8"/>
  <c r="AC7" i="8"/>
  <c r="AD10" i="8"/>
  <c r="AE10" i="8" s="1"/>
  <c r="AF10" i="8" s="1"/>
  <c r="AG10" i="8" s="1"/>
  <c r="AH10" i="8" s="1"/>
  <c r="AI10" i="8" s="1"/>
  <c r="AD9" i="8"/>
  <c r="AD8" i="8"/>
  <c r="AD5" i="8"/>
  <c r="AD4" i="8"/>
  <c r="J8" i="9"/>
  <c r="D32" i="9" s="1"/>
  <c r="J7" i="9"/>
  <c r="J6" i="9"/>
  <c r="D25" i="9" s="1"/>
  <c r="J5" i="9"/>
  <c r="J25" i="9" s="1"/>
  <c r="J4" i="9"/>
  <c r="J32" i="9" s="1"/>
  <c r="H8" i="9"/>
  <c r="D31" i="9" s="1"/>
  <c r="H7" i="9"/>
  <c r="H6" i="9"/>
  <c r="D24" i="9" s="1"/>
  <c r="H5" i="9"/>
  <c r="J24" i="9" s="1"/>
  <c r="H4" i="9"/>
  <c r="J31" i="9" s="1"/>
  <c r="F5" i="9" a="1"/>
  <c r="F5" i="9" s="1"/>
  <c r="F6" i="9" a="1"/>
  <c r="F6" i="9" s="1"/>
  <c r="F7" i="9" a="1"/>
  <c r="F7" i="9" s="1"/>
  <c r="F8" i="9" a="1"/>
  <c r="F8" i="9" s="1"/>
  <c r="F4" i="9" a="1"/>
  <c r="F4" i="9" s="1"/>
  <c r="B22" i="8" s="1"/>
  <c r="E8" i="9"/>
  <c r="D30" i="9" s="1"/>
  <c r="E7" i="9"/>
  <c r="E6" i="9"/>
  <c r="D23" i="9" s="1"/>
  <c r="E5" i="9"/>
  <c r="J23" i="9" s="1"/>
  <c r="E4" i="9"/>
  <c r="J30" i="9" s="1"/>
  <c r="D5" i="9" a="1"/>
  <c r="D5" i="9" s="1"/>
  <c r="Q23" i="9" s="1"/>
  <c r="D6" i="9" a="1"/>
  <c r="D6" i="9" s="1"/>
  <c r="P23" i="9" s="1"/>
  <c r="D7" i="9" a="1"/>
  <c r="D7" i="9" s="1"/>
  <c r="AC24" i="8" s="1"/>
  <c r="D8" i="9" a="1"/>
  <c r="D8" i="9" s="1"/>
  <c r="S23" i="9" s="1"/>
  <c r="D4" i="9" a="1"/>
  <c r="D4" i="9" s="1"/>
  <c r="B24" i="8" s="1"/>
  <c r="C8" i="9"/>
  <c r="D29" i="9" s="1"/>
  <c r="C7" i="9"/>
  <c r="C6" i="9"/>
  <c r="D22" i="9" s="1"/>
  <c r="C5" i="9"/>
  <c r="J22" i="9" s="1"/>
  <c r="C4" i="9"/>
  <c r="J29" i="9" s="1"/>
  <c r="T10" i="8"/>
  <c r="T9" i="8"/>
  <c r="T8" i="8"/>
  <c r="T6" i="8"/>
  <c r="T5" i="8"/>
  <c r="T7" i="8" s="1"/>
  <c r="T4" i="8"/>
  <c r="V10" i="8"/>
  <c r="W10" i="8" s="1"/>
  <c r="X10" i="8" s="1"/>
  <c r="Y10" i="8" s="1"/>
  <c r="Z10" i="8" s="1"/>
  <c r="U10" i="8"/>
  <c r="U9" i="8"/>
  <c r="U8" i="8"/>
  <c r="U6" i="8"/>
  <c r="U5" i="8"/>
  <c r="U4" i="8"/>
  <c r="K4" i="8"/>
  <c r="K9" i="8"/>
  <c r="K8" i="8"/>
  <c r="K6" i="8"/>
  <c r="K5" i="8"/>
  <c r="K10" i="8"/>
  <c r="M10" i="8" s="1"/>
  <c r="N10" i="8" s="1"/>
  <c r="O10" i="8" s="1"/>
  <c r="P10" i="8" s="1"/>
  <c r="Q10" i="8" s="1"/>
  <c r="L10" i="8"/>
  <c r="L9" i="8"/>
  <c r="L8" i="8"/>
  <c r="L5" i="8"/>
  <c r="L4" i="8"/>
  <c r="M4" i="8" s="1"/>
  <c r="B9" i="8"/>
  <c r="B8" i="8"/>
  <c r="B6" i="8"/>
  <c r="B7" i="8" s="1"/>
  <c r="B5" i="8"/>
  <c r="B4" i="8"/>
  <c r="D4" i="8" s="1"/>
  <c r="D8" i="8" s="1"/>
  <c r="C10" i="8"/>
  <c r="B10" i="8"/>
  <c r="D10" i="8" s="1"/>
  <c r="E10" i="8" s="1"/>
  <c r="F10" i="8" s="1"/>
  <c r="G10" i="8" s="1"/>
  <c r="H10" i="8" s="1"/>
  <c r="AI70" i="2"/>
  <c r="AJ70" i="2"/>
  <c r="AK70" i="2"/>
  <c r="AL70" i="2"/>
  <c r="AM70" i="2"/>
  <c r="AH70" i="2"/>
  <c r="AA70" i="2"/>
  <c r="AB70" i="2"/>
  <c r="AC70" i="2"/>
  <c r="AD70" i="2"/>
  <c r="AE70" i="2"/>
  <c r="Z70" i="2"/>
  <c r="S70" i="2"/>
  <c r="T70" i="2"/>
  <c r="U70" i="2"/>
  <c r="V70" i="2"/>
  <c r="W70" i="2"/>
  <c r="R70" i="2"/>
  <c r="K70" i="2"/>
  <c r="L70" i="2"/>
  <c r="M70" i="2"/>
  <c r="N70" i="2"/>
  <c r="O70" i="2"/>
  <c r="J70" i="2"/>
  <c r="C70" i="2"/>
  <c r="D70" i="2"/>
  <c r="E70" i="2"/>
  <c r="F70" i="2"/>
  <c r="G70" i="2"/>
  <c r="B70" i="2"/>
  <c r="C9" i="8"/>
  <c r="C8" i="8"/>
  <c r="C5" i="8"/>
  <c r="C4" i="8"/>
  <c r="F20" i="6"/>
  <c r="E20" i="6"/>
  <c r="F19" i="6"/>
  <c r="E19" i="6"/>
  <c r="F18" i="6"/>
  <c r="E18" i="6"/>
  <c r="D20" i="6"/>
  <c r="D19" i="6"/>
  <c r="D18" i="6"/>
  <c r="F17" i="6"/>
  <c r="E17" i="6"/>
  <c r="D17" i="6"/>
  <c r="C20" i="6"/>
  <c r="C19" i="6"/>
  <c r="C18" i="6"/>
  <c r="B20" i="6"/>
  <c r="B19" i="6"/>
  <c r="C17" i="6"/>
  <c r="B17" i="6"/>
  <c r="B18" i="6"/>
  <c r="F12" i="6"/>
  <c r="E12" i="6"/>
  <c r="D12" i="6"/>
  <c r="C12" i="6"/>
  <c r="B12" i="6"/>
  <c r="F8" i="6"/>
  <c r="F10" i="6" s="1"/>
  <c r="E8" i="6"/>
  <c r="E10" i="6" s="1"/>
  <c r="D8" i="6"/>
  <c r="D10" i="6" s="1"/>
  <c r="C10" i="6"/>
  <c r="B10" i="6"/>
  <c r="C8" i="6"/>
  <c r="B8" i="6"/>
  <c r="AI26" i="5"/>
  <c r="AJ26" i="5"/>
  <c r="AK26" i="5"/>
  <c r="AL26" i="5"/>
  <c r="AM26" i="5"/>
  <c r="AH26" i="5"/>
  <c r="AI25" i="5"/>
  <c r="AJ25" i="5"/>
  <c r="AK25" i="5"/>
  <c r="AL25" i="5"/>
  <c r="AM25" i="5"/>
  <c r="AH25" i="5"/>
  <c r="AJ19" i="5"/>
  <c r="AK19" i="5"/>
  <c r="AL19" i="5"/>
  <c r="AM19" i="5"/>
  <c r="AI19" i="5"/>
  <c r="AH19" i="5"/>
  <c r="AJ18" i="5"/>
  <c r="AK18" i="5"/>
  <c r="AL18" i="5"/>
  <c r="AM18" i="5"/>
  <c r="AI18" i="5"/>
  <c r="AH18" i="5"/>
  <c r="AJ17" i="5"/>
  <c r="AK17" i="5"/>
  <c r="AL17" i="5"/>
  <c r="AM17" i="5"/>
  <c r="AI17" i="5"/>
  <c r="AH17" i="5"/>
  <c r="AI15" i="5"/>
  <c r="AJ15" i="5"/>
  <c r="AK15" i="5"/>
  <c r="AL15" i="5"/>
  <c r="AM15" i="5"/>
  <c r="AH15" i="5"/>
  <c r="AI14" i="5"/>
  <c r="AJ14" i="5"/>
  <c r="AK14" i="5"/>
  <c r="AL14" i="5"/>
  <c r="AM14" i="5"/>
  <c r="AH14" i="5"/>
  <c r="AI12" i="5"/>
  <c r="AJ12" i="5"/>
  <c r="AK12" i="5"/>
  <c r="AL12" i="5"/>
  <c r="AM12" i="5"/>
  <c r="AH12" i="5"/>
  <c r="AI11" i="5"/>
  <c r="AJ11" i="5"/>
  <c r="AK11" i="5"/>
  <c r="AL11" i="5"/>
  <c r="AM11" i="5"/>
  <c r="AH11" i="5"/>
  <c r="AI9" i="5"/>
  <c r="AJ9" i="5"/>
  <c r="AK9" i="5"/>
  <c r="AL9" i="5"/>
  <c r="AM9" i="5"/>
  <c r="AH9" i="5"/>
  <c r="AJ8" i="5"/>
  <c r="AK8" i="5"/>
  <c r="AL8" i="5"/>
  <c r="AM8" i="5"/>
  <c r="AI8" i="5"/>
  <c r="AH8" i="5"/>
  <c r="AI7" i="5"/>
  <c r="AJ7" i="5"/>
  <c r="AK7" i="5"/>
  <c r="AL7" i="5"/>
  <c r="AM7" i="5"/>
  <c r="AH7" i="5"/>
  <c r="AI6" i="5"/>
  <c r="AJ6" i="5"/>
  <c r="AK6" i="5"/>
  <c r="AL6" i="5"/>
  <c r="AM6" i="5"/>
  <c r="AH6" i="5"/>
  <c r="AI5" i="5"/>
  <c r="AJ5" i="5"/>
  <c r="AK5" i="5"/>
  <c r="AL5" i="5"/>
  <c r="AM5" i="5"/>
  <c r="AH5" i="5"/>
  <c r="AA26" i="5"/>
  <c r="AB26" i="5"/>
  <c r="AC26" i="5"/>
  <c r="AD26" i="5"/>
  <c r="AE26" i="5"/>
  <c r="Z26" i="5"/>
  <c r="AA25" i="5"/>
  <c r="AB25" i="5"/>
  <c r="AC25" i="5"/>
  <c r="AD25" i="5"/>
  <c r="AE25" i="5"/>
  <c r="Z25" i="5"/>
  <c r="AB19" i="5"/>
  <c r="AC19" i="5"/>
  <c r="AD19" i="5"/>
  <c r="AE19" i="5"/>
  <c r="AA19" i="5"/>
  <c r="Z19" i="5"/>
  <c r="AB18" i="5"/>
  <c r="AC18" i="5"/>
  <c r="AD18" i="5"/>
  <c r="AE18" i="5"/>
  <c r="AA18" i="5"/>
  <c r="Z18" i="5"/>
  <c r="AB17" i="5"/>
  <c r="AC17" i="5"/>
  <c r="AD17" i="5"/>
  <c r="AE17" i="5"/>
  <c r="AA17" i="5"/>
  <c r="Z17" i="5"/>
  <c r="AA15" i="5"/>
  <c r="AB15" i="5"/>
  <c r="AC15" i="5"/>
  <c r="AD15" i="5"/>
  <c r="AE15" i="5"/>
  <c r="Z15" i="5"/>
  <c r="AA14" i="5"/>
  <c r="AB14" i="5"/>
  <c r="AC14" i="5"/>
  <c r="AD14" i="5"/>
  <c r="AE14" i="5"/>
  <c r="Z14" i="5"/>
  <c r="AA12" i="5"/>
  <c r="AB12" i="5"/>
  <c r="AC12" i="5"/>
  <c r="AD12" i="5"/>
  <c r="AE12" i="5"/>
  <c r="Z12" i="5"/>
  <c r="AA11" i="5"/>
  <c r="AB11" i="5"/>
  <c r="AC11" i="5"/>
  <c r="AD11" i="5"/>
  <c r="AE11" i="5"/>
  <c r="Z11" i="5"/>
  <c r="AA9" i="5"/>
  <c r="AB9" i="5"/>
  <c r="AC9" i="5"/>
  <c r="AD9" i="5"/>
  <c r="AE9" i="5"/>
  <c r="Z9" i="5"/>
  <c r="AB8" i="5"/>
  <c r="AC8" i="5"/>
  <c r="AD8" i="5"/>
  <c r="AE8" i="5"/>
  <c r="AA8" i="5"/>
  <c r="Z8" i="5"/>
  <c r="AA7" i="5"/>
  <c r="AB7" i="5"/>
  <c r="AC7" i="5"/>
  <c r="AD7" i="5"/>
  <c r="AE7" i="5"/>
  <c r="Z7" i="5"/>
  <c r="AA6" i="5"/>
  <c r="AB6" i="5"/>
  <c r="AC6" i="5"/>
  <c r="AD6" i="5"/>
  <c r="AE6" i="5"/>
  <c r="Z6" i="5"/>
  <c r="AA5" i="5"/>
  <c r="AB5" i="5"/>
  <c r="AC5" i="5"/>
  <c r="AD5" i="5"/>
  <c r="AE5" i="5"/>
  <c r="Z5" i="5"/>
  <c r="S26" i="5"/>
  <c r="T26" i="5"/>
  <c r="U26" i="5"/>
  <c r="V26" i="5"/>
  <c r="W26" i="5"/>
  <c r="R26" i="5"/>
  <c r="S25" i="5"/>
  <c r="T25" i="5"/>
  <c r="U25" i="5"/>
  <c r="V25" i="5"/>
  <c r="W25" i="5"/>
  <c r="R25" i="5"/>
  <c r="T19" i="5"/>
  <c r="U19" i="5"/>
  <c r="V19" i="5"/>
  <c r="W19" i="5"/>
  <c r="S19" i="5"/>
  <c r="R19" i="5"/>
  <c r="T18" i="5"/>
  <c r="U18" i="5"/>
  <c r="V18" i="5"/>
  <c r="W18" i="5"/>
  <c r="S18" i="5"/>
  <c r="R18" i="5"/>
  <c r="S17" i="5"/>
  <c r="T17" i="5"/>
  <c r="U17" i="5"/>
  <c r="V17" i="5"/>
  <c r="W17" i="5"/>
  <c r="R17" i="5"/>
  <c r="S15" i="5"/>
  <c r="T15" i="5"/>
  <c r="U15" i="5"/>
  <c r="V15" i="5"/>
  <c r="W15" i="5"/>
  <c r="R15" i="5"/>
  <c r="S14" i="5"/>
  <c r="T14" i="5"/>
  <c r="U14" i="5"/>
  <c r="V14" i="5"/>
  <c r="W14" i="5"/>
  <c r="R14" i="5"/>
  <c r="S12" i="5"/>
  <c r="T12" i="5"/>
  <c r="U12" i="5"/>
  <c r="V12" i="5"/>
  <c r="W12" i="5"/>
  <c r="R12" i="5"/>
  <c r="S11" i="5"/>
  <c r="T11" i="5"/>
  <c r="U11" i="5"/>
  <c r="V11" i="5"/>
  <c r="W11" i="5"/>
  <c r="R11" i="5"/>
  <c r="S9" i="5"/>
  <c r="T9" i="5"/>
  <c r="U9" i="5"/>
  <c r="V9" i="5"/>
  <c r="W9" i="5"/>
  <c r="R9" i="5"/>
  <c r="T8" i="5"/>
  <c r="U8" i="5"/>
  <c r="V8" i="5"/>
  <c r="W8" i="5"/>
  <c r="S8" i="5"/>
  <c r="R8" i="5"/>
  <c r="S7" i="5"/>
  <c r="T7" i="5"/>
  <c r="U7" i="5"/>
  <c r="V7" i="5"/>
  <c r="W7" i="5"/>
  <c r="R7" i="5"/>
  <c r="S6" i="5"/>
  <c r="T6" i="5"/>
  <c r="U6" i="5"/>
  <c r="V6" i="5"/>
  <c r="W6" i="5"/>
  <c r="R6" i="5"/>
  <c r="S5" i="5"/>
  <c r="T5" i="5"/>
  <c r="U5" i="5"/>
  <c r="V5" i="5"/>
  <c r="W5" i="5"/>
  <c r="R5" i="5"/>
  <c r="K26" i="5"/>
  <c r="L26" i="5"/>
  <c r="M26" i="5"/>
  <c r="N26" i="5"/>
  <c r="O26" i="5"/>
  <c r="J26" i="5"/>
  <c r="K25" i="5"/>
  <c r="L25" i="5"/>
  <c r="M25" i="5"/>
  <c r="N25" i="5"/>
  <c r="O25" i="5"/>
  <c r="J25" i="5"/>
  <c r="L19" i="5"/>
  <c r="M19" i="5"/>
  <c r="N19" i="5"/>
  <c r="O19" i="5"/>
  <c r="K19" i="5"/>
  <c r="J19" i="5"/>
  <c r="L18" i="5"/>
  <c r="M18" i="5"/>
  <c r="N18" i="5"/>
  <c r="O18" i="5"/>
  <c r="K18" i="5"/>
  <c r="J18" i="5"/>
  <c r="L17" i="5"/>
  <c r="M17" i="5"/>
  <c r="N17" i="5"/>
  <c r="O17" i="5"/>
  <c r="K17" i="5"/>
  <c r="J17" i="5"/>
  <c r="K15" i="5"/>
  <c r="L15" i="5"/>
  <c r="M15" i="5"/>
  <c r="N15" i="5"/>
  <c r="O15" i="5"/>
  <c r="J15" i="5"/>
  <c r="K14" i="5"/>
  <c r="L14" i="5"/>
  <c r="M14" i="5"/>
  <c r="N14" i="5"/>
  <c r="O14" i="5"/>
  <c r="J14" i="5"/>
  <c r="K12" i="5"/>
  <c r="L12" i="5"/>
  <c r="M12" i="5"/>
  <c r="N12" i="5"/>
  <c r="O12" i="5"/>
  <c r="J12" i="5"/>
  <c r="K11" i="5"/>
  <c r="L11" i="5"/>
  <c r="M11" i="5"/>
  <c r="N11" i="5"/>
  <c r="O11" i="5"/>
  <c r="J11" i="5"/>
  <c r="K9" i="5"/>
  <c r="L9" i="5"/>
  <c r="M9" i="5"/>
  <c r="N9" i="5"/>
  <c r="O9" i="5"/>
  <c r="J9" i="5"/>
  <c r="L8" i="5"/>
  <c r="M8" i="5"/>
  <c r="N8" i="5"/>
  <c r="O8" i="5"/>
  <c r="K8" i="5"/>
  <c r="J8" i="5"/>
  <c r="K7" i="5"/>
  <c r="L7" i="5"/>
  <c r="M7" i="5"/>
  <c r="N7" i="5"/>
  <c r="O7" i="5"/>
  <c r="J7" i="5"/>
  <c r="K6" i="5"/>
  <c r="L6" i="5"/>
  <c r="M6" i="5"/>
  <c r="N6" i="5"/>
  <c r="O6" i="5"/>
  <c r="J6" i="5"/>
  <c r="K5" i="5"/>
  <c r="L5" i="5"/>
  <c r="M5" i="5"/>
  <c r="N5" i="5"/>
  <c r="O5" i="5"/>
  <c r="J5" i="5"/>
  <c r="C26" i="5"/>
  <c r="D26" i="5"/>
  <c r="E26" i="5"/>
  <c r="F26" i="5"/>
  <c r="G26" i="5"/>
  <c r="B26" i="5"/>
  <c r="C25" i="5"/>
  <c r="D25" i="5"/>
  <c r="E25" i="5"/>
  <c r="F25" i="5"/>
  <c r="G25" i="5"/>
  <c r="B25" i="5"/>
  <c r="D19" i="5"/>
  <c r="E19" i="5"/>
  <c r="F19" i="5"/>
  <c r="G19" i="5"/>
  <c r="C19" i="5"/>
  <c r="B19" i="5"/>
  <c r="D18" i="5"/>
  <c r="E18" i="5"/>
  <c r="F18" i="5"/>
  <c r="G18" i="5"/>
  <c r="C18" i="5"/>
  <c r="B18" i="5"/>
  <c r="D17" i="5"/>
  <c r="E17" i="5"/>
  <c r="F17" i="5"/>
  <c r="G17" i="5"/>
  <c r="C17" i="5"/>
  <c r="B17" i="5"/>
  <c r="C15" i="5"/>
  <c r="D15" i="5"/>
  <c r="E15" i="5"/>
  <c r="F15" i="5"/>
  <c r="G15" i="5"/>
  <c r="B15" i="5"/>
  <c r="C14" i="5"/>
  <c r="D14" i="5"/>
  <c r="E14" i="5"/>
  <c r="F14" i="5"/>
  <c r="G14" i="5"/>
  <c r="B14" i="5"/>
  <c r="C12" i="5"/>
  <c r="D12" i="5"/>
  <c r="E12" i="5"/>
  <c r="F12" i="5"/>
  <c r="G12" i="5"/>
  <c r="B12" i="5"/>
  <c r="C11" i="5"/>
  <c r="D11" i="5"/>
  <c r="E11" i="5"/>
  <c r="F11" i="5"/>
  <c r="G11" i="5"/>
  <c r="B11" i="5"/>
  <c r="C9" i="5"/>
  <c r="D9" i="5"/>
  <c r="E9" i="5"/>
  <c r="F9" i="5"/>
  <c r="G9" i="5"/>
  <c r="B9" i="5"/>
  <c r="D8" i="5"/>
  <c r="E8" i="5"/>
  <c r="F8" i="5"/>
  <c r="G8" i="5"/>
  <c r="C8" i="5"/>
  <c r="B8" i="5"/>
  <c r="C7" i="5"/>
  <c r="D7" i="5"/>
  <c r="E7" i="5"/>
  <c r="F7" i="5"/>
  <c r="G7" i="5"/>
  <c r="B7" i="5"/>
  <c r="C6" i="5"/>
  <c r="D6" i="5"/>
  <c r="E6" i="5"/>
  <c r="F6" i="5"/>
  <c r="G6" i="5"/>
  <c r="B6" i="5"/>
  <c r="C5" i="5"/>
  <c r="D5" i="5"/>
  <c r="E5" i="5"/>
  <c r="F5" i="5"/>
  <c r="G5" i="5"/>
  <c r="B5" i="5"/>
  <c r="AM54" i="4"/>
  <c r="AM50" i="4"/>
  <c r="AM52" i="4" s="1"/>
  <c r="AM9" i="4"/>
  <c r="AL15" i="4"/>
  <c r="AL13" i="4"/>
  <c r="AK13" i="4"/>
  <c r="AJ50" i="4"/>
  <c r="AJ52" i="4" s="1"/>
  <c r="AI50" i="4"/>
  <c r="AJ15" i="4"/>
  <c r="AI15" i="4"/>
  <c r="AI54" i="4"/>
  <c r="AH16" i="4"/>
  <c r="AH33" i="4" s="1"/>
  <c r="AH35" i="4" s="1"/>
  <c r="AE64" i="4"/>
  <c r="AD64" i="4"/>
  <c r="AD70" i="4" s="1"/>
  <c r="AA34" i="4"/>
  <c r="Z34" i="4"/>
  <c r="AA32" i="4"/>
  <c r="Z32" i="4"/>
  <c r="AA25" i="4"/>
  <c r="Z25" i="4"/>
  <c r="V46" i="4"/>
  <c r="W45" i="4"/>
  <c r="W30" i="4"/>
  <c r="V30" i="4"/>
  <c r="M62" i="4"/>
  <c r="N58" i="4"/>
  <c r="O58" i="4"/>
  <c r="K58" i="4"/>
  <c r="L58" i="4"/>
  <c r="M58" i="4"/>
  <c r="J58" i="4"/>
  <c r="M55" i="4"/>
  <c r="L55" i="4"/>
  <c r="M20" i="4"/>
  <c r="L20" i="4"/>
  <c r="AI52" i="4"/>
  <c r="AK52" i="4"/>
  <c r="AL52" i="4"/>
  <c r="AH52" i="4"/>
  <c r="AI45" i="4"/>
  <c r="AJ45" i="4"/>
  <c r="AK45" i="4"/>
  <c r="AL45" i="4"/>
  <c r="AM45" i="4"/>
  <c r="AH45" i="4"/>
  <c r="AM16" i="4"/>
  <c r="AM33" i="4" s="1"/>
  <c r="AM35" i="4" s="1"/>
  <c r="AI16" i="4"/>
  <c r="AI33" i="4" s="1"/>
  <c r="AI35" i="4" s="1"/>
  <c r="AJ16" i="4"/>
  <c r="AJ33" i="4" s="1"/>
  <c r="AJ35" i="4" s="1"/>
  <c r="AK16" i="4"/>
  <c r="AK33" i="4" s="1"/>
  <c r="AK35" i="4" s="1"/>
  <c r="AL16" i="4"/>
  <c r="AL33" i="4" s="1"/>
  <c r="AL35" i="4" s="1"/>
  <c r="AA70" i="4"/>
  <c r="AB70" i="4"/>
  <c r="AC70" i="4"/>
  <c r="AE70" i="4"/>
  <c r="Z70" i="4"/>
  <c r="AA57" i="4"/>
  <c r="AB57" i="4"/>
  <c r="AC57" i="4"/>
  <c r="AD57" i="4"/>
  <c r="AE57" i="4"/>
  <c r="Z57" i="4"/>
  <c r="AE27" i="4"/>
  <c r="AE32" i="4" s="1"/>
  <c r="AE34" i="4" s="1"/>
  <c r="AE36" i="4" s="1"/>
  <c r="AA8" i="4"/>
  <c r="AA27" i="4" s="1"/>
  <c r="AB8" i="4"/>
  <c r="AB27" i="4" s="1"/>
  <c r="AB32" i="4" s="1"/>
  <c r="AC8" i="4"/>
  <c r="AC27" i="4" s="1"/>
  <c r="AC32" i="4" s="1"/>
  <c r="AC34" i="4" s="1"/>
  <c r="AC36" i="4" s="1"/>
  <c r="AD8" i="4"/>
  <c r="AD27" i="4" s="1"/>
  <c r="AD32" i="4" s="1"/>
  <c r="AD34" i="4" s="1"/>
  <c r="AE8" i="4"/>
  <c r="Z8" i="4"/>
  <c r="Z27" i="4" s="1"/>
  <c r="S49" i="4"/>
  <c r="T49" i="4"/>
  <c r="U49" i="4"/>
  <c r="V49" i="4"/>
  <c r="W49" i="4"/>
  <c r="R49" i="4"/>
  <c r="S41" i="4"/>
  <c r="T41" i="4"/>
  <c r="U41" i="4"/>
  <c r="V41" i="4"/>
  <c r="W41" i="4"/>
  <c r="R41" i="4"/>
  <c r="S18" i="4"/>
  <c r="S31" i="4" s="1"/>
  <c r="S33" i="4" s="1"/>
  <c r="T18" i="4"/>
  <c r="T31" i="4" s="1"/>
  <c r="T33" i="4" s="1"/>
  <c r="U18" i="4"/>
  <c r="U31" i="4" s="1"/>
  <c r="U33" i="4" s="1"/>
  <c r="V18" i="4"/>
  <c r="W18" i="4"/>
  <c r="W31" i="4" s="1"/>
  <c r="W33" i="4" s="1"/>
  <c r="R18" i="4"/>
  <c r="R31" i="4" s="1"/>
  <c r="R33" i="4" s="1"/>
  <c r="K56" i="4"/>
  <c r="L56" i="4"/>
  <c r="M56" i="4"/>
  <c r="N56" i="4"/>
  <c r="O56" i="4"/>
  <c r="J56" i="4"/>
  <c r="K44" i="4"/>
  <c r="L44" i="4"/>
  <c r="M44" i="4"/>
  <c r="N44" i="4"/>
  <c r="O44" i="4"/>
  <c r="J44" i="4"/>
  <c r="K22" i="4"/>
  <c r="K27" i="4" s="1"/>
  <c r="K29" i="4" s="1"/>
  <c r="L22" i="4"/>
  <c r="L27" i="4" s="1"/>
  <c r="L29" i="4" s="1"/>
  <c r="M22" i="4"/>
  <c r="M27" i="4" s="1"/>
  <c r="M29" i="4" s="1"/>
  <c r="N22" i="4"/>
  <c r="N27" i="4" s="1"/>
  <c r="N29" i="4" s="1"/>
  <c r="O22" i="4"/>
  <c r="O27" i="4" s="1"/>
  <c r="O29" i="4" s="1"/>
  <c r="J22" i="4"/>
  <c r="J27" i="4" s="1"/>
  <c r="J29" i="4" s="1"/>
  <c r="D77" i="4"/>
  <c r="E55" i="4"/>
  <c r="D55" i="4"/>
  <c r="C73" i="4"/>
  <c r="D73" i="4"/>
  <c r="E73" i="4"/>
  <c r="F73" i="4"/>
  <c r="G73" i="4"/>
  <c r="B73" i="4"/>
  <c r="C58" i="4"/>
  <c r="D58" i="4"/>
  <c r="E58" i="4"/>
  <c r="F58" i="4"/>
  <c r="G58" i="4"/>
  <c r="B58" i="4"/>
  <c r="C27" i="4"/>
  <c r="C37" i="4" s="1"/>
  <c r="C39" i="4" s="1"/>
  <c r="D27" i="4"/>
  <c r="D37" i="4" s="1"/>
  <c r="D39" i="4" s="1"/>
  <c r="E27" i="4"/>
  <c r="E37" i="4" s="1"/>
  <c r="E39" i="4" s="1"/>
  <c r="F27" i="4"/>
  <c r="F37" i="4" s="1"/>
  <c r="F39" i="4" s="1"/>
  <c r="G27" i="4"/>
  <c r="G37" i="4" s="1"/>
  <c r="G39" i="4" s="1"/>
  <c r="B27" i="4"/>
  <c r="B37" i="4" s="1"/>
  <c r="B39" i="4" s="1"/>
  <c r="AK24" i="3"/>
  <c r="AL24" i="3"/>
  <c r="AM24" i="3"/>
  <c r="AJ24" i="3"/>
  <c r="AI24" i="3"/>
  <c r="AH24" i="3"/>
  <c r="AL16" i="3"/>
  <c r="AL19" i="3" s="1"/>
  <c r="AI15" i="3"/>
  <c r="AJ15" i="3"/>
  <c r="AK15" i="3"/>
  <c r="AL15" i="3"/>
  <c r="AM15" i="3"/>
  <c r="AH15" i="3"/>
  <c r="AI7" i="3"/>
  <c r="AJ7" i="3"/>
  <c r="AK7" i="3"/>
  <c r="AL7" i="3"/>
  <c r="AM7" i="3"/>
  <c r="AH7" i="3"/>
  <c r="AC29" i="3"/>
  <c r="AB29" i="3"/>
  <c r="AA41" i="3"/>
  <c r="AB41" i="3"/>
  <c r="AC41" i="3"/>
  <c r="AD41" i="3"/>
  <c r="AE41" i="3"/>
  <c r="Z41" i="3"/>
  <c r="AA34" i="3"/>
  <c r="AB34" i="3"/>
  <c r="AC34" i="3"/>
  <c r="AD34" i="3"/>
  <c r="AE34" i="3"/>
  <c r="Z34" i="3"/>
  <c r="AA23" i="3"/>
  <c r="AB23" i="3"/>
  <c r="AC23" i="3"/>
  <c r="AD23" i="3"/>
  <c r="AE23" i="3"/>
  <c r="AE24" i="3" s="1"/>
  <c r="AE29" i="3" s="1"/>
  <c r="Z23" i="3"/>
  <c r="AA8" i="3"/>
  <c r="AB8" i="3"/>
  <c r="AC8" i="3"/>
  <c r="AC24" i="3" s="1"/>
  <c r="AD8" i="3"/>
  <c r="AE8" i="3"/>
  <c r="Z8" i="3"/>
  <c r="S19" i="3"/>
  <c r="T19" i="3"/>
  <c r="U19" i="3"/>
  <c r="R19" i="3"/>
  <c r="R24" i="3" s="1"/>
  <c r="S23" i="3"/>
  <c r="T23" i="3"/>
  <c r="U23" i="3"/>
  <c r="V23" i="3"/>
  <c r="W23" i="3"/>
  <c r="R23" i="3"/>
  <c r="S16" i="3"/>
  <c r="T16" i="3"/>
  <c r="U16" i="3"/>
  <c r="V16" i="3"/>
  <c r="W16" i="3"/>
  <c r="W17" i="3" s="1"/>
  <c r="W19" i="3" s="1"/>
  <c r="R16" i="3"/>
  <c r="S7" i="3"/>
  <c r="T7" i="3"/>
  <c r="U7" i="3"/>
  <c r="V7" i="3"/>
  <c r="W7" i="3"/>
  <c r="R7" i="3"/>
  <c r="K26" i="3"/>
  <c r="L26" i="3"/>
  <c r="M26" i="3"/>
  <c r="N26" i="3"/>
  <c r="O26" i="3"/>
  <c r="J26" i="3"/>
  <c r="K17" i="3"/>
  <c r="L17" i="3"/>
  <c r="M17" i="3"/>
  <c r="N17" i="3"/>
  <c r="O17" i="3"/>
  <c r="J17" i="3"/>
  <c r="K7" i="3"/>
  <c r="L7" i="3"/>
  <c r="M7" i="3"/>
  <c r="N7" i="3"/>
  <c r="O7" i="3"/>
  <c r="J7" i="3"/>
  <c r="C29" i="3"/>
  <c r="D29" i="3"/>
  <c r="E29" i="3"/>
  <c r="F29" i="3"/>
  <c r="G29" i="3"/>
  <c r="B29" i="3"/>
  <c r="C19" i="3"/>
  <c r="D19" i="3"/>
  <c r="B19" i="3"/>
  <c r="C15" i="3"/>
  <c r="D15" i="3"/>
  <c r="E15" i="3"/>
  <c r="E19" i="3" s="1"/>
  <c r="F15" i="3"/>
  <c r="F19" i="3" s="1"/>
  <c r="G15" i="3"/>
  <c r="G19" i="3" s="1"/>
  <c r="B15" i="3"/>
  <c r="C8" i="3"/>
  <c r="D8" i="3"/>
  <c r="E8" i="3"/>
  <c r="F8" i="3"/>
  <c r="G8" i="3"/>
  <c r="B8" i="3"/>
  <c r="AL35" i="2"/>
  <c r="AL36" i="2" s="1"/>
  <c r="AK55" i="2"/>
  <c r="AI44" i="2"/>
  <c r="AJ44" i="2"/>
  <c r="AK44" i="2"/>
  <c r="AL44" i="2"/>
  <c r="AM44" i="2"/>
  <c r="AH44" i="2"/>
  <c r="AI50" i="2"/>
  <c r="AI55" i="2" s="1"/>
  <c r="AJ50" i="2"/>
  <c r="AJ55" i="2" s="1"/>
  <c r="AK50" i="2"/>
  <c r="AL50" i="2"/>
  <c r="AL55" i="2" s="1"/>
  <c r="AM50" i="2"/>
  <c r="AM55" i="2" s="1"/>
  <c r="AH50" i="2"/>
  <c r="AH55" i="2" s="1"/>
  <c r="AI36" i="2"/>
  <c r="AJ36" i="2"/>
  <c r="AK36" i="2"/>
  <c r="AM36" i="2"/>
  <c r="AH36" i="2"/>
  <c r="AI30" i="2"/>
  <c r="AJ30" i="2"/>
  <c r="AK30" i="2"/>
  <c r="AL30" i="2"/>
  <c r="AM30" i="2"/>
  <c r="AH30" i="2"/>
  <c r="AI18" i="2"/>
  <c r="AJ18" i="2"/>
  <c r="AK18" i="2"/>
  <c r="AL18" i="2"/>
  <c r="AM18" i="2"/>
  <c r="AH18" i="2"/>
  <c r="AE26" i="2"/>
  <c r="AD26" i="2"/>
  <c r="AE14" i="2"/>
  <c r="AD14" i="2"/>
  <c r="AD19" i="2" s="1"/>
  <c r="AE13" i="2"/>
  <c r="AD13" i="2"/>
  <c r="AE8" i="2"/>
  <c r="AD8" i="2"/>
  <c r="AA37" i="2"/>
  <c r="AB37" i="2"/>
  <c r="AC37" i="2"/>
  <c r="AD37" i="2"/>
  <c r="AE37" i="2"/>
  <c r="Z37" i="2"/>
  <c r="AC13" i="2"/>
  <c r="AC19" i="2" s="1"/>
  <c r="AC26" i="2"/>
  <c r="AB26" i="2"/>
  <c r="AC14" i="2"/>
  <c r="AB14" i="2"/>
  <c r="AB13" i="2"/>
  <c r="AA53" i="2"/>
  <c r="AB53" i="2"/>
  <c r="AB59" i="2" s="1"/>
  <c r="AC53" i="2"/>
  <c r="AC59" i="2" s="1"/>
  <c r="AD53" i="2"/>
  <c r="AD59" i="2" s="1"/>
  <c r="AE53" i="2"/>
  <c r="AE59" i="2" s="1"/>
  <c r="Z53" i="2"/>
  <c r="AA59" i="2"/>
  <c r="Z59" i="2"/>
  <c r="AA46" i="2"/>
  <c r="AB46" i="2"/>
  <c r="AC46" i="2"/>
  <c r="AD46" i="2"/>
  <c r="AE46" i="2"/>
  <c r="Z46" i="2"/>
  <c r="AA30" i="2"/>
  <c r="AB30" i="2"/>
  <c r="AC30" i="2"/>
  <c r="AD30" i="2"/>
  <c r="AE30" i="2"/>
  <c r="Z30" i="2"/>
  <c r="AA19" i="2"/>
  <c r="AB19" i="2"/>
  <c r="AE19" i="2"/>
  <c r="Z19" i="2"/>
  <c r="W57" i="2"/>
  <c r="V57" i="2"/>
  <c r="U57" i="2"/>
  <c r="S50" i="2"/>
  <c r="S57" i="2" s="1"/>
  <c r="T50" i="2"/>
  <c r="T57" i="2" s="1"/>
  <c r="U50" i="2"/>
  <c r="V50" i="2"/>
  <c r="W50" i="2"/>
  <c r="R50" i="2"/>
  <c r="R57" i="2" s="1"/>
  <c r="S44" i="2"/>
  <c r="T44" i="2"/>
  <c r="U44" i="2"/>
  <c r="V44" i="2"/>
  <c r="W44" i="2"/>
  <c r="R44" i="2"/>
  <c r="S36" i="2"/>
  <c r="T36" i="2"/>
  <c r="U36" i="2"/>
  <c r="V36" i="2"/>
  <c r="W36" i="2"/>
  <c r="R36" i="2"/>
  <c r="S30" i="2"/>
  <c r="T30" i="2"/>
  <c r="U30" i="2"/>
  <c r="V30" i="2"/>
  <c r="W30" i="2"/>
  <c r="R30" i="2"/>
  <c r="S18" i="2"/>
  <c r="T18" i="2"/>
  <c r="U18" i="2"/>
  <c r="V18" i="2"/>
  <c r="W18" i="2"/>
  <c r="R18" i="2"/>
  <c r="K63" i="2"/>
  <c r="L63" i="2"/>
  <c r="M63" i="2"/>
  <c r="N63" i="2"/>
  <c r="O63" i="2"/>
  <c r="J63" i="2"/>
  <c r="K52" i="2"/>
  <c r="L52" i="2"/>
  <c r="M52" i="2"/>
  <c r="N52" i="2"/>
  <c r="J52" i="2"/>
  <c r="K33" i="2"/>
  <c r="L33" i="2"/>
  <c r="M33" i="2"/>
  <c r="J33" i="2"/>
  <c r="K58" i="2"/>
  <c r="L58" i="2"/>
  <c r="M58" i="2"/>
  <c r="N58" i="2"/>
  <c r="O58" i="2"/>
  <c r="J58" i="2"/>
  <c r="K47" i="2"/>
  <c r="L47" i="2"/>
  <c r="M47" i="2"/>
  <c r="N47" i="2"/>
  <c r="O47" i="2"/>
  <c r="O52" i="2" s="1"/>
  <c r="J47" i="2"/>
  <c r="M40" i="2"/>
  <c r="N40" i="2"/>
  <c r="K38" i="2"/>
  <c r="K40" i="2" s="1"/>
  <c r="L38" i="2"/>
  <c r="L40" i="2" s="1"/>
  <c r="M38" i="2"/>
  <c r="N38" i="2"/>
  <c r="O38" i="2"/>
  <c r="O40" i="2" s="1"/>
  <c r="J38" i="2"/>
  <c r="J40" i="2" s="1"/>
  <c r="K31" i="2"/>
  <c r="L31" i="2"/>
  <c r="M31" i="2"/>
  <c r="N31" i="2"/>
  <c r="O31" i="2"/>
  <c r="J31" i="2"/>
  <c r="K20" i="2"/>
  <c r="L20" i="2"/>
  <c r="M20" i="2"/>
  <c r="N20" i="2"/>
  <c r="O20" i="2"/>
  <c r="J20" i="2"/>
  <c r="C64" i="2"/>
  <c r="D64" i="2"/>
  <c r="E64" i="2"/>
  <c r="B64" i="2"/>
  <c r="C58" i="2"/>
  <c r="D58" i="2"/>
  <c r="E58" i="2"/>
  <c r="F58" i="2"/>
  <c r="F64" i="2" s="1"/>
  <c r="G58" i="2"/>
  <c r="G64" i="2" s="1"/>
  <c r="B58" i="2"/>
  <c r="C52" i="2"/>
  <c r="D52" i="2"/>
  <c r="E52" i="2"/>
  <c r="F52" i="2"/>
  <c r="G52" i="2"/>
  <c r="B52" i="2"/>
  <c r="D43" i="2"/>
  <c r="C41" i="2"/>
  <c r="C43" i="2" s="1"/>
  <c r="D41" i="2"/>
  <c r="E41" i="2"/>
  <c r="E43" i="2" s="1"/>
  <c r="F41" i="2"/>
  <c r="F43" i="2" s="1"/>
  <c r="G41" i="2"/>
  <c r="G43" i="2" s="1"/>
  <c r="B41" i="2"/>
  <c r="B43" i="2" s="1"/>
  <c r="C34" i="2"/>
  <c r="D34" i="2"/>
  <c r="E34" i="2"/>
  <c r="F34" i="2"/>
  <c r="G34" i="2"/>
  <c r="B34" i="2"/>
  <c r="C22" i="2"/>
  <c r="C36" i="2" s="1"/>
  <c r="D22" i="2"/>
  <c r="D36" i="2" s="1"/>
  <c r="E22" i="2"/>
  <c r="F22" i="2"/>
  <c r="G22" i="2"/>
  <c r="B22" i="2"/>
  <c r="B36" i="2" s="1"/>
  <c r="C15" i="1" a="1"/>
  <c r="C15" i="1" s="1"/>
  <c r="D15" i="1" a="1"/>
  <c r="D15" i="1" s="1"/>
  <c r="E15" i="1" a="1"/>
  <c r="E15" i="1" s="1"/>
  <c r="F15" i="1" a="1"/>
  <c r="F15" i="1" s="1"/>
  <c r="C16" i="1" a="1"/>
  <c r="C16" i="1" s="1"/>
  <c r="D16" i="1" a="1"/>
  <c r="D16" i="1" s="1"/>
  <c r="E16" i="1" a="1"/>
  <c r="E16" i="1" s="1"/>
  <c r="F16" i="1" a="1"/>
  <c r="F16" i="1" s="1"/>
  <c r="B16" i="1" a="1"/>
  <c r="B16" i="1" s="1"/>
  <c r="B15" i="1" a="1"/>
  <c r="B15" i="1" s="1"/>
  <c r="C13" i="1" a="1"/>
  <c r="C13" i="1" s="1"/>
  <c r="C14" i="1" s="1"/>
  <c r="B5" i="9" s="1"/>
  <c r="D13" i="1" a="1"/>
  <c r="D13" i="1" s="1"/>
  <c r="D14" i="1" s="1"/>
  <c r="B6" i="9" s="1"/>
  <c r="E13" i="1" a="1"/>
  <c r="E13" i="1" s="1"/>
  <c r="E14" i="1" s="1"/>
  <c r="B7" i="9" s="1"/>
  <c r="F13" i="1" a="1"/>
  <c r="F13" i="1" s="1"/>
  <c r="F14" i="1" s="1"/>
  <c r="B8" i="9" s="1"/>
  <c r="B13" i="1" a="1"/>
  <c r="B13" i="1" s="1"/>
  <c r="B14" i="1" s="1"/>
  <c r="B4" i="9" s="1"/>
  <c r="C12" i="1" a="1"/>
  <c r="C12" i="1" s="1"/>
  <c r="D12" i="1" a="1"/>
  <c r="D12" i="1" s="1"/>
  <c r="E12" i="1" a="1"/>
  <c r="E12" i="1" s="1"/>
  <c r="F12" i="1" a="1"/>
  <c r="F12" i="1" s="1"/>
  <c r="B12" i="1" a="1"/>
  <c r="B12" i="1" s="1"/>
  <c r="C10" i="1" a="1"/>
  <c r="C10" i="1" s="1"/>
  <c r="C11" i="1" s="1"/>
  <c r="K22" i="5" s="1"/>
  <c r="D10" i="1" a="1"/>
  <c r="D10" i="1" s="1"/>
  <c r="D11" i="1" s="1"/>
  <c r="S21" i="5" s="1"/>
  <c r="E10" i="1" a="1"/>
  <c r="E10" i="1" s="1"/>
  <c r="E11" i="1" s="1"/>
  <c r="AA21" i="5" s="1"/>
  <c r="F10" i="1" a="1"/>
  <c r="F10" i="1" s="1"/>
  <c r="F11" i="1" s="1"/>
  <c r="AI29" i="5" s="1"/>
  <c r="AI30" i="5" s="1"/>
  <c r="AI23" i="5" s="1"/>
  <c r="B10" i="1" a="1"/>
  <c r="B10" i="1" s="1"/>
  <c r="B11" i="1" s="1"/>
  <c r="G22" i="5" s="1"/>
  <c r="C9" i="1" a="1"/>
  <c r="C9" i="1" s="1"/>
  <c r="C5" i="6" s="1"/>
  <c r="C7" i="6" s="1"/>
  <c r="D9" i="1" a="1"/>
  <c r="D9" i="1" s="1"/>
  <c r="D5" i="6" s="1"/>
  <c r="D7" i="6" s="1"/>
  <c r="E9" i="1" a="1"/>
  <c r="E9" i="1" s="1"/>
  <c r="E5" i="6" s="1"/>
  <c r="E7" i="6" s="1"/>
  <c r="F9" i="1" a="1"/>
  <c r="F9" i="1" s="1"/>
  <c r="F5" i="6" s="1"/>
  <c r="F7" i="6" s="1"/>
  <c r="B9" i="1" a="1"/>
  <c r="B9" i="1" s="1"/>
  <c r="B5" i="6" s="1"/>
  <c r="C8" i="1" a="1"/>
  <c r="C8" i="1" s="1"/>
  <c r="D8" i="1" a="1"/>
  <c r="D8" i="1" s="1"/>
  <c r="E8" i="1" a="1"/>
  <c r="E8" i="1" s="1"/>
  <c r="F8" i="1" a="1"/>
  <c r="F8" i="1" s="1"/>
  <c r="B8" i="1" a="1"/>
  <c r="B8" i="1" s="1"/>
  <c r="C7" i="1" a="1"/>
  <c r="C7" i="1" s="1"/>
  <c r="D7" i="1" a="1"/>
  <c r="D7" i="1" s="1"/>
  <c r="E7" i="1" a="1"/>
  <c r="E7" i="1" s="1"/>
  <c r="F7" i="1" a="1"/>
  <c r="F7" i="1" s="1"/>
  <c r="B7" i="1" a="1"/>
  <c r="B7" i="1" s="1"/>
  <c r="C6" i="1" a="1"/>
  <c r="C6" i="1" s="1"/>
  <c r="D6" i="1" a="1"/>
  <c r="D6" i="1" s="1"/>
  <c r="E6" i="1" a="1"/>
  <c r="E6" i="1" s="1"/>
  <c r="F6" i="1" a="1"/>
  <c r="F6" i="1" s="1"/>
  <c r="B6" i="1" a="1"/>
  <c r="B6" i="1" s="1"/>
  <c r="C5" i="1" a="1"/>
  <c r="C5" i="1" s="1"/>
  <c r="D5" i="1" a="1"/>
  <c r="D5" i="1" s="1"/>
  <c r="E5" i="1" a="1"/>
  <c r="E5" i="1" s="1"/>
  <c r="F5" i="1" a="1"/>
  <c r="F5" i="1" s="1"/>
  <c r="B5" i="1" a="1"/>
  <c r="B5" i="1" s="1"/>
  <c r="B7" i="6" l="1"/>
  <c r="O18" i="6"/>
  <c r="V4" i="8"/>
  <c r="M9" i="8"/>
  <c r="K15" i="6"/>
  <c r="O11" i="6" s="1"/>
  <c r="R23" i="9"/>
  <c r="G8" i="9"/>
  <c r="M8" i="9" s="1"/>
  <c r="G6" i="9"/>
  <c r="M6" i="9" s="1"/>
  <c r="G7" i="9"/>
  <c r="M7" i="9" s="1"/>
  <c r="I5" i="9"/>
  <c r="N5" i="9" s="1"/>
  <c r="D32" i="3"/>
  <c r="R26" i="3"/>
  <c r="AD44" i="3"/>
  <c r="AJ27" i="3"/>
  <c r="C32" i="3"/>
  <c r="W26" i="3"/>
  <c r="AC44" i="3"/>
  <c r="AI27" i="3"/>
  <c r="J29" i="3"/>
  <c r="V26" i="3"/>
  <c r="AB44" i="3"/>
  <c r="O29" i="3"/>
  <c r="U26" i="3"/>
  <c r="AA44" i="3"/>
  <c r="B32" i="3"/>
  <c r="N29" i="3"/>
  <c r="T26" i="3"/>
  <c r="AH27" i="3"/>
  <c r="G32" i="3"/>
  <c r="M29" i="3"/>
  <c r="S26" i="3"/>
  <c r="AM27" i="3"/>
  <c r="F32" i="3"/>
  <c r="L29" i="3"/>
  <c r="Z44" i="3"/>
  <c r="AL27" i="3"/>
  <c r="E32" i="3"/>
  <c r="K29" i="3"/>
  <c r="AE44" i="3"/>
  <c r="AK27" i="3"/>
  <c r="AL22" i="8"/>
  <c r="AL24" i="8"/>
  <c r="AC22" i="8"/>
  <c r="AF4" i="8"/>
  <c r="AF5" i="8" s="1"/>
  <c r="AE8" i="8"/>
  <c r="AE5" i="8"/>
  <c r="AE6" i="8" s="1"/>
  <c r="W4" i="8"/>
  <c r="W5" i="8" s="1"/>
  <c r="V8" i="8"/>
  <c r="V5" i="8"/>
  <c r="V6" i="8" s="1"/>
  <c r="V7" i="8" s="1"/>
  <c r="AN8" i="8"/>
  <c r="AN5" i="8"/>
  <c r="AN6" i="8" s="1"/>
  <c r="AN7" i="8" s="1"/>
  <c r="L5" i="9"/>
  <c r="K4" i="9"/>
  <c r="O4" i="9" s="1"/>
  <c r="AO4" i="8"/>
  <c r="AL11" i="8"/>
  <c r="AO8" i="8"/>
  <c r="AN9" i="8"/>
  <c r="AC11" i="8"/>
  <c r="AF9" i="8"/>
  <c r="AF8" i="8"/>
  <c r="AE7" i="8"/>
  <c r="AE9" i="8"/>
  <c r="I6" i="9"/>
  <c r="N6" i="9" s="1"/>
  <c r="K5" i="9"/>
  <c r="O5" i="9" s="1"/>
  <c r="K7" i="9"/>
  <c r="O7" i="9" s="1"/>
  <c r="I4" i="9"/>
  <c r="N4" i="9" s="1"/>
  <c r="K6" i="9"/>
  <c r="O6" i="9" s="1"/>
  <c r="I7" i="9"/>
  <c r="N7" i="9" s="1"/>
  <c r="I8" i="9"/>
  <c r="N8" i="9" s="1"/>
  <c r="K8" i="9"/>
  <c r="O8" i="9" s="1"/>
  <c r="L8" i="9"/>
  <c r="L4" i="9"/>
  <c r="G5" i="9"/>
  <c r="M5" i="9" s="1"/>
  <c r="L7" i="9"/>
  <c r="L6" i="9"/>
  <c r="G4" i="9"/>
  <c r="M4" i="9" s="1"/>
  <c r="T11" i="8"/>
  <c r="V9" i="8"/>
  <c r="M8" i="8"/>
  <c r="N4" i="8"/>
  <c r="N9" i="8" s="1"/>
  <c r="K7" i="8"/>
  <c r="K11" i="8" s="1"/>
  <c r="M5" i="8"/>
  <c r="M6" i="8" s="1"/>
  <c r="M7" i="8" s="1"/>
  <c r="B11" i="8"/>
  <c r="D5" i="8"/>
  <c r="D6" i="8" s="1"/>
  <c r="D7" i="8" s="1"/>
  <c r="D9" i="8"/>
  <c r="E4" i="8"/>
  <c r="AH21" i="5"/>
  <c r="AK21" i="5"/>
  <c r="AJ21" i="5"/>
  <c r="AM22" i="5"/>
  <c r="AJ22" i="5"/>
  <c r="AI22" i="5"/>
  <c r="AL29" i="5"/>
  <c r="AL30" i="5" s="1"/>
  <c r="AL23" i="5" s="1"/>
  <c r="AK29" i="5"/>
  <c r="AK30" i="5" s="1"/>
  <c r="AK23" i="5" s="1"/>
  <c r="AM21" i="5"/>
  <c r="AH29" i="5"/>
  <c r="AH30" i="5" s="1"/>
  <c r="AH23" i="5" s="1"/>
  <c r="AL21" i="5"/>
  <c r="AM29" i="5"/>
  <c r="AM30" i="5" s="1"/>
  <c r="AM23" i="5" s="1"/>
  <c r="AI21" i="5"/>
  <c r="AL22" i="5"/>
  <c r="AJ29" i="5"/>
  <c r="AJ30" i="5" s="1"/>
  <c r="AJ23" i="5" s="1"/>
  <c r="AH22" i="5"/>
  <c r="AK22" i="5"/>
  <c r="Z29" i="5"/>
  <c r="Z30" i="5" s="1"/>
  <c r="Z23" i="5" s="1"/>
  <c r="AE29" i="5"/>
  <c r="AE30" i="5" s="1"/>
  <c r="AE23" i="5" s="1"/>
  <c r="AD29" i="5"/>
  <c r="AD30" i="5" s="1"/>
  <c r="AD23" i="5" s="1"/>
  <c r="AC29" i="5"/>
  <c r="AC30" i="5" s="1"/>
  <c r="AC23" i="5" s="1"/>
  <c r="AB29" i="5"/>
  <c r="AB30" i="5" s="1"/>
  <c r="AB23" i="5" s="1"/>
  <c r="AA29" i="5"/>
  <c r="AA30" i="5" s="1"/>
  <c r="AA23" i="5" s="1"/>
  <c r="R29" i="5"/>
  <c r="R30" i="5" s="1"/>
  <c r="R23" i="5" s="1"/>
  <c r="AC22" i="5"/>
  <c r="V29" i="5"/>
  <c r="V30" i="5" s="1"/>
  <c r="V23" i="5" s="1"/>
  <c r="AA22" i="5"/>
  <c r="W29" i="5"/>
  <c r="W30" i="5" s="1"/>
  <c r="W23" i="5" s="1"/>
  <c r="AB22" i="5"/>
  <c r="U29" i="5"/>
  <c r="U30" i="5" s="1"/>
  <c r="U23" i="5" s="1"/>
  <c r="AE21" i="5"/>
  <c r="T29" i="5"/>
  <c r="T30" i="5" s="1"/>
  <c r="T23" i="5" s="1"/>
  <c r="AD21" i="5"/>
  <c r="L21" i="5"/>
  <c r="S29" i="5"/>
  <c r="S30" i="5" s="1"/>
  <c r="S23" i="5" s="1"/>
  <c r="AC21" i="5"/>
  <c r="Z21" i="5"/>
  <c r="AE22" i="5"/>
  <c r="AB21" i="5"/>
  <c r="Z22" i="5"/>
  <c r="AD22" i="5"/>
  <c r="N29" i="5"/>
  <c r="N30" i="5" s="1"/>
  <c r="N23" i="5" s="1"/>
  <c r="U22" i="5"/>
  <c r="M29" i="5"/>
  <c r="M30" i="5" s="1"/>
  <c r="M23" i="5" s="1"/>
  <c r="K21" i="5"/>
  <c r="T22" i="5"/>
  <c r="L29" i="5"/>
  <c r="L30" i="5" s="1"/>
  <c r="L23" i="5" s="1"/>
  <c r="J22" i="5"/>
  <c r="S22" i="5"/>
  <c r="K29" i="5"/>
  <c r="K30" i="5" s="1"/>
  <c r="K23" i="5" s="1"/>
  <c r="O22" i="5"/>
  <c r="W21" i="5"/>
  <c r="J21" i="5"/>
  <c r="N22" i="5"/>
  <c r="V21" i="5"/>
  <c r="O21" i="5"/>
  <c r="M22" i="5"/>
  <c r="U21" i="5"/>
  <c r="J29" i="5"/>
  <c r="J30" i="5" s="1"/>
  <c r="J23" i="5" s="1"/>
  <c r="N21" i="5"/>
  <c r="L22" i="5"/>
  <c r="R21" i="5"/>
  <c r="W22" i="5"/>
  <c r="T21" i="5"/>
  <c r="O29" i="5"/>
  <c r="O30" i="5" s="1"/>
  <c r="O23" i="5" s="1"/>
  <c r="M21" i="5"/>
  <c r="R22" i="5"/>
  <c r="V22" i="5"/>
  <c r="G29" i="5"/>
  <c r="G30" i="5" s="1"/>
  <c r="G23" i="5" s="1"/>
  <c r="B29" i="5"/>
  <c r="B30" i="5" s="1"/>
  <c r="B23" i="5" s="1"/>
  <c r="F29" i="5"/>
  <c r="F30" i="5" s="1"/>
  <c r="F23" i="5" s="1"/>
  <c r="E29" i="5"/>
  <c r="E30" i="5" s="1"/>
  <c r="E23" i="5" s="1"/>
  <c r="D29" i="5"/>
  <c r="D30" i="5" s="1"/>
  <c r="D23" i="5" s="1"/>
  <c r="C29" i="5"/>
  <c r="C30" i="5" s="1"/>
  <c r="C23" i="5" s="1"/>
  <c r="G21" i="5"/>
  <c r="B21" i="5"/>
  <c r="F22" i="5"/>
  <c r="E22" i="5"/>
  <c r="F21" i="5"/>
  <c r="D22" i="5"/>
  <c r="E21" i="5"/>
  <c r="C22" i="5"/>
  <c r="D21" i="5"/>
  <c r="C21" i="5"/>
  <c r="B22" i="5"/>
  <c r="B11" i="6"/>
  <c r="B13" i="6" s="1"/>
  <c r="B15" i="6" s="1"/>
  <c r="F11" i="6"/>
  <c r="E11" i="6"/>
  <c r="D11" i="6"/>
  <c r="C11" i="6"/>
  <c r="AM53" i="4"/>
  <c r="AL53" i="4"/>
  <c r="AK53" i="4"/>
  <c r="AJ53" i="4"/>
  <c r="AI53" i="4"/>
  <c r="AI56" i="4" s="1"/>
  <c r="AJ54" i="4" s="1"/>
  <c r="AH53" i="4"/>
  <c r="AH56" i="4" s="1"/>
  <c r="AE71" i="4"/>
  <c r="AC71" i="4"/>
  <c r="AB34" i="4"/>
  <c r="AB36" i="4" s="1"/>
  <c r="AB71" i="4" s="1"/>
  <c r="AA36" i="4"/>
  <c r="AA71" i="4" s="1"/>
  <c r="Z36" i="4"/>
  <c r="Z71" i="4" s="1"/>
  <c r="Z74" i="4" s="1"/>
  <c r="AA72" i="4" s="1"/>
  <c r="AD36" i="4"/>
  <c r="AD71" i="4" s="1"/>
  <c r="W50" i="4"/>
  <c r="V31" i="4"/>
  <c r="V33" i="4" s="1"/>
  <c r="V50" i="4" s="1"/>
  <c r="U50" i="4"/>
  <c r="T50" i="4"/>
  <c r="S50" i="4"/>
  <c r="R50" i="4"/>
  <c r="R54" i="4" s="1"/>
  <c r="S51" i="4" s="1"/>
  <c r="J62" i="4"/>
  <c r="K61" i="4" s="1"/>
  <c r="G74" i="4"/>
  <c r="F74" i="4"/>
  <c r="E74" i="4"/>
  <c r="D74" i="4"/>
  <c r="C74" i="4"/>
  <c r="B74" i="4"/>
  <c r="B78" i="4" s="1"/>
  <c r="C75" i="4" s="1"/>
  <c r="AM16" i="3"/>
  <c r="AM19" i="3" s="1"/>
  <c r="AM25" i="3" s="1"/>
  <c r="AL25" i="3"/>
  <c r="AK16" i="3"/>
  <c r="AK19" i="3" s="1"/>
  <c r="AK25" i="3" s="1"/>
  <c r="AJ16" i="3"/>
  <c r="AJ19" i="3" s="1"/>
  <c r="AJ25" i="3" s="1"/>
  <c r="AH16" i="3"/>
  <c r="AH19" i="3" s="1"/>
  <c r="AH25" i="3" s="1"/>
  <c r="AI16" i="3"/>
  <c r="AI19" i="3" s="1"/>
  <c r="AI25" i="3" s="1"/>
  <c r="AD24" i="3"/>
  <c r="AD29" i="3" s="1"/>
  <c r="AD35" i="3" s="1"/>
  <c r="AD37" i="3" s="1"/>
  <c r="AD42" i="3" s="1"/>
  <c r="AC35" i="3"/>
  <c r="AC37" i="3" s="1"/>
  <c r="AC42" i="3" s="1"/>
  <c r="AE35" i="3"/>
  <c r="AE37" i="3" s="1"/>
  <c r="AE42" i="3" s="1"/>
  <c r="AB24" i="3"/>
  <c r="AB35" i="3" s="1"/>
  <c r="AB37" i="3" s="1"/>
  <c r="AB42" i="3" s="1"/>
  <c r="AA24" i="3"/>
  <c r="AA29" i="3" s="1"/>
  <c r="AA35" i="3" s="1"/>
  <c r="AA37" i="3" s="1"/>
  <c r="AA42" i="3" s="1"/>
  <c r="Z24" i="3"/>
  <c r="Z29" i="3" s="1"/>
  <c r="Z35" i="3" s="1"/>
  <c r="Z37" i="3" s="1"/>
  <c r="Z42" i="3" s="1"/>
  <c r="V17" i="3"/>
  <c r="V19" i="3" s="1"/>
  <c r="W24" i="3"/>
  <c r="U17" i="3"/>
  <c r="U24" i="3" s="1"/>
  <c r="T17" i="3"/>
  <c r="T24" i="3" s="1"/>
  <c r="S17" i="3"/>
  <c r="S24" i="3" s="1"/>
  <c r="R17" i="3"/>
  <c r="N18" i="3"/>
  <c r="N20" i="3" s="1"/>
  <c r="N22" i="3" s="1"/>
  <c r="N27" i="3" s="1"/>
  <c r="O18" i="3"/>
  <c r="O20" i="3" s="1"/>
  <c r="O22" i="3" s="1"/>
  <c r="O27" i="3" s="1"/>
  <c r="M18" i="3"/>
  <c r="M20" i="3" s="1"/>
  <c r="M22" i="3" s="1"/>
  <c r="M27" i="3" s="1"/>
  <c r="L18" i="3"/>
  <c r="L20" i="3" s="1"/>
  <c r="L22" i="3" s="1"/>
  <c r="L27" i="3" s="1"/>
  <c r="K18" i="3"/>
  <c r="K20" i="3" s="1"/>
  <c r="K22" i="3" s="1"/>
  <c r="K27" i="3" s="1"/>
  <c r="J18" i="3"/>
  <c r="J20" i="3" s="1"/>
  <c r="J22" i="3" s="1"/>
  <c r="J27" i="3" s="1"/>
  <c r="G20" i="3"/>
  <c r="G22" i="3" s="1"/>
  <c r="G24" i="3" s="1"/>
  <c r="G30" i="3" s="1"/>
  <c r="F20" i="3"/>
  <c r="F22" i="3" s="1"/>
  <c r="F24" i="3" s="1"/>
  <c r="F30" i="3" s="1"/>
  <c r="E20" i="3"/>
  <c r="E22" i="3" s="1"/>
  <c r="E24" i="3" s="1"/>
  <c r="E30" i="3" s="1"/>
  <c r="D20" i="3"/>
  <c r="D22" i="3" s="1"/>
  <c r="D24" i="3" s="1"/>
  <c r="D30" i="3" s="1"/>
  <c r="C20" i="3"/>
  <c r="C22" i="3" s="1"/>
  <c r="C24" i="3" s="1"/>
  <c r="C30" i="3" s="1"/>
  <c r="B20" i="3"/>
  <c r="B22" i="3" s="1"/>
  <c r="B24" i="3" s="1"/>
  <c r="B30" i="3" s="1"/>
  <c r="AM56" i="2"/>
  <c r="AM31" i="2"/>
  <c r="AK56" i="2"/>
  <c r="AL56" i="2"/>
  <c r="AL31" i="2"/>
  <c r="AK31" i="2"/>
  <c r="AJ56" i="2"/>
  <c r="AI56" i="2"/>
  <c r="AJ31" i="2"/>
  <c r="AI31" i="2"/>
  <c r="AH56" i="2"/>
  <c r="AH31" i="2"/>
  <c r="AD60" i="2"/>
  <c r="AE60" i="2"/>
  <c r="AE31" i="2"/>
  <c r="AD31" i="2"/>
  <c r="AC60" i="2"/>
  <c r="AB60" i="2"/>
  <c r="AB31" i="2"/>
  <c r="AC31" i="2"/>
  <c r="AA60" i="2"/>
  <c r="Z60" i="2"/>
  <c r="Z31" i="2"/>
  <c r="AA31" i="2"/>
  <c r="K65" i="2"/>
  <c r="W58" i="2"/>
  <c r="V58" i="2"/>
  <c r="W31" i="2"/>
  <c r="V31" i="2"/>
  <c r="J65" i="2"/>
  <c r="U58" i="2"/>
  <c r="T58" i="2"/>
  <c r="U31" i="2"/>
  <c r="T31" i="2"/>
  <c r="S58" i="2"/>
  <c r="R58" i="2"/>
  <c r="R31" i="2"/>
  <c r="S31" i="2"/>
  <c r="N65" i="2"/>
  <c r="O33" i="2"/>
  <c r="N33" i="2"/>
  <c r="O65" i="2"/>
  <c r="L65" i="2"/>
  <c r="M65" i="2"/>
  <c r="F66" i="2"/>
  <c r="F67" i="2" s="1"/>
  <c r="G66" i="2"/>
  <c r="G67" i="2" s="1"/>
  <c r="G36" i="2"/>
  <c r="F36" i="2"/>
  <c r="D66" i="2"/>
  <c r="D67" i="2" s="1"/>
  <c r="E66" i="2"/>
  <c r="E67" i="2" s="1"/>
  <c r="E36" i="2"/>
  <c r="B66" i="2"/>
  <c r="B67" i="2" s="1"/>
  <c r="C66" i="2"/>
  <c r="C67" i="2" s="1"/>
  <c r="AN11" i="8" l="1"/>
  <c r="X4" i="8"/>
  <c r="AE11" i="8"/>
  <c r="AG4" i="8"/>
  <c r="AG5" i="8" s="1"/>
  <c r="W8" i="8"/>
  <c r="O17" i="9"/>
  <c r="B25" i="9" s="1"/>
  <c r="B32" i="9" s="1"/>
  <c r="E32" i="9" s="1"/>
  <c r="F32" i="9" s="1"/>
  <c r="G32" i="9" s="1"/>
  <c r="N17" i="9"/>
  <c r="B24" i="9" s="1"/>
  <c r="B31" i="9" s="1"/>
  <c r="E31" i="9" s="1"/>
  <c r="F31" i="9" s="1"/>
  <c r="G31" i="9" s="1"/>
  <c r="L17" i="9"/>
  <c r="B22" i="9" s="1"/>
  <c r="B29" i="9" s="1"/>
  <c r="E29" i="9" s="1"/>
  <c r="F29" i="9" s="1"/>
  <c r="M17" i="9"/>
  <c r="B23" i="9" s="1"/>
  <c r="B30" i="9" s="1"/>
  <c r="E30" i="9" s="1"/>
  <c r="F30" i="9" s="1"/>
  <c r="G30" i="9" s="1"/>
  <c r="V11" i="8"/>
  <c r="D11" i="8"/>
  <c r="W9" i="8"/>
  <c r="M11" i="8"/>
  <c r="AO5" i="8"/>
  <c r="AO6" i="8" s="1"/>
  <c r="AO7" i="8" s="1"/>
  <c r="AP4" i="8"/>
  <c r="AO9" i="8"/>
  <c r="AF6" i="8"/>
  <c r="AF7" i="8" s="1"/>
  <c r="AF11" i="8" s="1"/>
  <c r="Y4" i="8"/>
  <c r="X9" i="8"/>
  <c r="X5" i="8"/>
  <c r="X8" i="8"/>
  <c r="W6" i="8"/>
  <c r="W7" i="8" s="1"/>
  <c r="N8" i="8"/>
  <c r="N5" i="8"/>
  <c r="N6" i="8" s="1"/>
  <c r="N7" i="8" s="1"/>
  <c r="N11" i="8" s="1"/>
  <c r="O4" i="8"/>
  <c r="E9" i="8"/>
  <c r="F4" i="8"/>
  <c r="E5" i="8"/>
  <c r="E8" i="8"/>
  <c r="B14" i="6"/>
  <c r="B16" i="6" s="1"/>
  <c r="F13" i="6"/>
  <c r="F15" i="6" s="1"/>
  <c r="E13" i="6"/>
  <c r="E15" i="6" s="1"/>
  <c r="C13" i="6"/>
  <c r="C15" i="6" s="1"/>
  <c r="D13" i="6"/>
  <c r="D15" i="6" s="1"/>
  <c r="AJ56" i="4"/>
  <c r="AK54" i="4" s="1"/>
  <c r="AK56" i="4" s="1"/>
  <c r="AL54" i="4" s="1"/>
  <c r="AL56" i="4" s="1"/>
  <c r="AM56" i="4" s="1"/>
  <c r="AA74" i="4"/>
  <c r="AB72" i="4" s="1"/>
  <c r="AB74" i="4" s="1"/>
  <c r="AC72" i="4" s="1"/>
  <c r="AC74" i="4" s="1"/>
  <c r="AD72" i="4" s="1"/>
  <c r="AD74" i="4" s="1"/>
  <c r="AE72" i="4" s="1"/>
  <c r="AE74" i="4" s="1"/>
  <c r="S54" i="4"/>
  <c r="T51" i="4" s="1"/>
  <c r="T54" i="4" s="1"/>
  <c r="U51" i="4" s="1"/>
  <c r="U54" i="4" s="1"/>
  <c r="V51" i="4" s="1"/>
  <c r="V54" i="4" s="1"/>
  <c r="W51" i="4" s="1"/>
  <c r="W54" i="4" s="1"/>
  <c r="K62" i="4"/>
  <c r="L61" i="4" s="1"/>
  <c r="L62" i="4" s="1"/>
  <c r="M61" i="4" s="1"/>
  <c r="N61" i="4" s="1"/>
  <c r="N62" i="4" s="1"/>
  <c r="O61" i="4" s="1"/>
  <c r="O62" i="4" s="1"/>
  <c r="C78" i="4"/>
  <c r="D75" i="4" s="1"/>
  <c r="D78" i="4" s="1"/>
  <c r="E75" i="4" s="1"/>
  <c r="E78" i="4" s="1"/>
  <c r="F75" i="4" s="1"/>
  <c r="F78" i="4" s="1"/>
  <c r="G75" i="4" s="1"/>
  <c r="G78" i="4" s="1"/>
  <c r="V24" i="3"/>
  <c r="AG8" i="8" l="1"/>
  <c r="AH4" i="8"/>
  <c r="AI4" i="8" s="1"/>
  <c r="K7" i="6" s="1"/>
  <c r="W11" i="8"/>
  <c r="AG9" i="8"/>
  <c r="G29" i="9"/>
  <c r="S22" i="9"/>
  <c r="S24" i="9" s="1"/>
  <c r="E24" i="9"/>
  <c r="F24" i="9" s="1"/>
  <c r="G24" i="9" s="1"/>
  <c r="H24" i="9"/>
  <c r="E23" i="9"/>
  <c r="F23" i="9" s="1"/>
  <c r="G23" i="9" s="1"/>
  <c r="H23" i="9"/>
  <c r="E25" i="9"/>
  <c r="F25" i="9" s="1"/>
  <c r="G25" i="9" s="1"/>
  <c r="H25" i="9"/>
  <c r="E22" i="9"/>
  <c r="F22" i="9" s="1"/>
  <c r="H22" i="9"/>
  <c r="AQ4" i="8"/>
  <c r="AP5" i="8"/>
  <c r="AP8" i="8"/>
  <c r="AP9" i="8"/>
  <c r="AO11" i="8"/>
  <c r="AG6" i="8"/>
  <c r="AG7" i="8" s="1"/>
  <c r="X6" i="8"/>
  <c r="X7" i="8" s="1"/>
  <c r="X11" i="8" s="1"/>
  <c r="Y9" i="8"/>
  <c r="Y8" i="8"/>
  <c r="Z4" i="8"/>
  <c r="K6" i="6" s="1"/>
  <c r="Y5" i="8"/>
  <c r="P4" i="8"/>
  <c r="O5" i="8"/>
  <c r="O6" i="8" s="1"/>
  <c r="O7" i="8" s="1"/>
  <c r="O9" i="8"/>
  <c r="O8" i="8"/>
  <c r="F12" i="8"/>
  <c r="E12" i="8"/>
  <c r="D12" i="8"/>
  <c r="D13" i="8" s="1"/>
  <c r="H12" i="8"/>
  <c r="G12" i="8"/>
  <c r="E6" i="8"/>
  <c r="E7" i="8" s="1"/>
  <c r="E11" i="8" s="1"/>
  <c r="G4" i="8"/>
  <c r="F8" i="8"/>
  <c r="F9" i="8"/>
  <c r="F5" i="8"/>
  <c r="C14" i="6"/>
  <c r="C16" i="6" s="1"/>
  <c r="F14" i="6"/>
  <c r="F16" i="6" s="1"/>
  <c r="E14" i="6"/>
  <c r="E16" i="6" s="1"/>
  <c r="D14" i="6"/>
  <c r="D16" i="6" s="1"/>
  <c r="AH9" i="8" l="1"/>
  <c r="AH5" i="8"/>
  <c r="AH6" i="8" s="1"/>
  <c r="AH7" i="8" s="1"/>
  <c r="AH11" i="8" s="1"/>
  <c r="AH8" i="8"/>
  <c r="AG11" i="8"/>
  <c r="G22" i="9"/>
  <c r="P22" i="9"/>
  <c r="P24" i="9" s="1"/>
  <c r="K22" i="9"/>
  <c r="L22" i="9" s="1"/>
  <c r="H29" i="9"/>
  <c r="K29" i="9" s="1"/>
  <c r="L29" i="9" s="1"/>
  <c r="K25" i="9"/>
  <c r="L25" i="9" s="1"/>
  <c r="M25" i="9" s="1"/>
  <c r="H32" i="9"/>
  <c r="K32" i="9" s="1"/>
  <c r="L32" i="9" s="1"/>
  <c r="M32" i="9" s="1"/>
  <c r="K23" i="9"/>
  <c r="L23" i="9" s="1"/>
  <c r="M23" i="9" s="1"/>
  <c r="H30" i="9"/>
  <c r="K30" i="9" s="1"/>
  <c r="L30" i="9" s="1"/>
  <c r="M30" i="9" s="1"/>
  <c r="K24" i="9"/>
  <c r="L24" i="9" s="1"/>
  <c r="M24" i="9" s="1"/>
  <c r="H31" i="9"/>
  <c r="K31" i="9" s="1"/>
  <c r="L31" i="9" s="1"/>
  <c r="M31" i="9" s="1"/>
  <c r="AP6" i="8"/>
  <c r="AP7" i="8" s="1"/>
  <c r="AP11" i="8" s="1"/>
  <c r="AQ5" i="8"/>
  <c r="AR4" i="8"/>
  <c r="K8" i="6" s="1"/>
  <c r="AQ9" i="8"/>
  <c r="AQ8" i="8"/>
  <c r="AO12" i="8"/>
  <c r="AO13" i="8" s="1"/>
  <c r="AR12" i="8"/>
  <c r="AN12" i="8"/>
  <c r="AN13" i="8" s="1"/>
  <c r="AQ12" i="8"/>
  <c r="AP12" i="8"/>
  <c r="AI9" i="8"/>
  <c r="K19" i="6" s="1"/>
  <c r="AI8" i="8"/>
  <c r="AI5" i="8"/>
  <c r="AI12" i="8"/>
  <c r="AH12" i="8"/>
  <c r="AG12" i="8"/>
  <c r="AG13" i="8" s="1"/>
  <c r="AF12" i="8"/>
  <c r="AF13" i="8" s="1"/>
  <c r="AE12" i="8"/>
  <c r="AE13" i="8" s="1"/>
  <c r="Y6" i="8"/>
  <c r="Y7" i="8" s="1"/>
  <c r="Y11" i="8" s="1"/>
  <c r="Z5" i="8"/>
  <c r="Z9" i="8"/>
  <c r="K18" i="6" s="1"/>
  <c r="Z8" i="8"/>
  <c r="Z12" i="8"/>
  <c r="Y12" i="8"/>
  <c r="X12" i="8"/>
  <c r="X13" i="8" s="1"/>
  <c r="W12" i="8"/>
  <c r="W13" i="8" s="1"/>
  <c r="V12" i="8"/>
  <c r="V13" i="8" s="1"/>
  <c r="E13" i="8"/>
  <c r="O11" i="8"/>
  <c r="Q4" i="8"/>
  <c r="K5" i="6" s="1"/>
  <c r="P9" i="8"/>
  <c r="P8" i="8"/>
  <c r="P5" i="8"/>
  <c r="P6" i="8" s="1"/>
  <c r="P7" i="8" s="1"/>
  <c r="N12" i="8"/>
  <c r="N13" i="8" s="1"/>
  <c r="M12" i="8"/>
  <c r="M13" i="8" s="1"/>
  <c r="Q12" i="8"/>
  <c r="O12" i="8"/>
  <c r="O13" i="8" s="1"/>
  <c r="P12" i="8"/>
  <c r="F6" i="8"/>
  <c r="F7" i="8" s="1"/>
  <c r="F11" i="8" s="1"/>
  <c r="F13" i="8" s="1"/>
  <c r="H4" i="8"/>
  <c r="K4" i="6" s="1"/>
  <c r="K9" i="6" s="1"/>
  <c r="G8" i="8"/>
  <c r="G5" i="8"/>
  <c r="G9" i="8"/>
  <c r="M29" i="9" l="1"/>
  <c r="R22" i="9"/>
  <c r="R24" i="9" s="1"/>
  <c r="M22" i="9"/>
  <c r="Q22" i="9"/>
  <c r="Q24" i="9" s="1"/>
  <c r="P11" i="8"/>
  <c r="AR9" i="8"/>
  <c r="K20" i="6" s="1"/>
  <c r="AR5" i="8"/>
  <c r="AR6" i="8" s="1"/>
  <c r="AR7" i="8" s="1"/>
  <c r="AR8" i="8"/>
  <c r="AP13" i="8"/>
  <c r="AQ6" i="8"/>
  <c r="AQ7" i="8" s="1"/>
  <c r="AQ11" i="8" s="1"/>
  <c r="AQ13" i="8" s="1"/>
  <c r="AH13" i="8"/>
  <c r="AI6" i="8"/>
  <c r="AI7" i="8" s="1"/>
  <c r="AI11" i="8" s="1"/>
  <c r="Y13" i="8"/>
  <c r="Z6" i="8"/>
  <c r="Z7" i="8" s="1"/>
  <c r="Z11" i="8" s="1"/>
  <c r="Z13" i="8" s="1"/>
  <c r="P13" i="8"/>
  <c r="Q9" i="8"/>
  <c r="O14" i="6" s="1"/>
  <c r="Q8" i="8"/>
  <c r="Q5" i="8"/>
  <c r="Q6" i="8" s="1"/>
  <c r="Q7" i="8" s="1"/>
  <c r="Q11" i="8" s="1"/>
  <c r="Q13" i="8" s="1"/>
  <c r="H5" i="8"/>
  <c r="H8" i="8"/>
  <c r="H9" i="8"/>
  <c r="G6" i="8"/>
  <c r="G7" i="8"/>
  <c r="G11" i="8" s="1"/>
  <c r="G13" i="8" s="1"/>
  <c r="AI13" i="8" l="1"/>
  <c r="AC18" i="8" s="1"/>
  <c r="AC16" i="8"/>
  <c r="AC17" i="8" s="1"/>
  <c r="O13" i="6"/>
  <c r="K16" i="6"/>
  <c r="K21" i="6" s="1"/>
  <c r="K17" i="6"/>
  <c r="AR11" i="8"/>
  <c r="H6" i="8"/>
  <c r="H7" i="8" s="1"/>
  <c r="H11" i="8" s="1"/>
  <c r="AC19" i="8" l="1"/>
  <c r="AC21" i="8" s="1"/>
  <c r="AC23" i="8" s="1"/>
  <c r="AC25" i="8" s="1"/>
  <c r="AR13" i="8"/>
  <c r="AL18" i="8" s="1"/>
  <c r="AL16" i="8"/>
  <c r="AL17" i="8" s="1"/>
  <c r="H13" i="8"/>
  <c r="B18" i="8" s="1"/>
  <c r="B16" i="8"/>
  <c r="B17" i="8" s="1"/>
  <c r="AL19" i="8" l="1"/>
  <c r="AL21" i="8" s="1"/>
  <c r="AL23" i="8" s="1"/>
  <c r="AL25" i="8" s="1"/>
  <c r="B19" i="8"/>
  <c r="B21" i="8" s="1"/>
  <c r="B23" i="8" s="1"/>
  <c r="B25"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<sst xmlns="http://schemas.openxmlformats.org/spreadsheetml/2006/main" count="1321" uniqueCount="551">
  <si>
    <t>Company</t>
  </si>
  <si>
    <t>Name</t>
  </si>
  <si>
    <t>Industry</t>
  </si>
  <si>
    <t>Ticker Symbol</t>
  </si>
  <si>
    <t>Year of establishment</t>
  </si>
  <si>
    <t>Employees</t>
  </si>
  <si>
    <t>Beta</t>
  </si>
  <si>
    <t>Shares Outstanding</t>
  </si>
  <si>
    <t>Current Market Price</t>
  </si>
  <si>
    <t>Market cap</t>
  </si>
  <si>
    <t>Change (%)</t>
  </si>
  <si>
    <t>Change (Rs)</t>
  </si>
  <si>
    <t>Consolidated Balance Sheet</t>
  </si>
  <si>
    <t>Particulars</t>
  </si>
  <si>
    <t>ASSETS</t>
  </si>
  <si>
    <t>Non-current assets</t>
  </si>
  <si>
    <t>PPE</t>
  </si>
  <si>
    <t>Right-of-use assets</t>
  </si>
  <si>
    <t>Capital work-in-progress</t>
  </si>
  <si>
    <t>Goodwill</t>
  </si>
  <si>
    <t>Other intangible assets</t>
  </si>
  <si>
    <t>Investments accounted using equity method</t>
  </si>
  <si>
    <t>Investments</t>
  </si>
  <si>
    <t>Loans</t>
  </si>
  <si>
    <t>Loans to Joint venture entities</t>
  </si>
  <si>
    <t>Other financial assets</t>
  </si>
  <si>
    <t>Bank deposits having maturity over 12 months</t>
  </si>
  <si>
    <t>Deferred tax assets (net)</t>
  </si>
  <si>
    <t>Other non-current assets</t>
  </si>
  <si>
    <t>Current Assets</t>
  </si>
  <si>
    <t>Inventories</t>
  </si>
  <si>
    <t>Trade receivables</t>
  </si>
  <si>
    <t>Customers bills discounted</t>
  </si>
  <si>
    <t>Cash and cash equivalents</t>
  </si>
  <si>
    <t>Bank balances other than above</t>
  </si>
  <si>
    <t>Other current assets</t>
  </si>
  <si>
    <t>Total non-current assets</t>
  </si>
  <si>
    <t>Total current assets</t>
  </si>
  <si>
    <t>Assets held for sale</t>
  </si>
  <si>
    <t>Total Assets</t>
  </si>
  <si>
    <t>EQUITY AND LIABILITIES</t>
  </si>
  <si>
    <t>Equity</t>
  </si>
  <si>
    <t>Equity share capital</t>
  </si>
  <si>
    <t>Other Equity</t>
  </si>
  <si>
    <t>Total equity attributable to the owners</t>
  </si>
  <si>
    <t>Non-controlling interests</t>
  </si>
  <si>
    <t>Total Equity</t>
  </si>
  <si>
    <t>Liabilities</t>
  </si>
  <si>
    <t>Non-current liabilities</t>
  </si>
  <si>
    <t>Borrowings</t>
  </si>
  <si>
    <t>Other Financial Liabilities</t>
  </si>
  <si>
    <t>Provisions</t>
  </si>
  <si>
    <t>Deferred tax liabilities (net)</t>
  </si>
  <si>
    <t>Other non-current liabilities</t>
  </si>
  <si>
    <t>Total non-current liabilities</t>
  </si>
  <si>
    <t>Current Liabilities</t>
  </si>
  <si>
    <t xml:space="preserve">Total outstanding dues of micro and small enterprises </t>
  </si>
  <si>
    <t>Total outstanding dues of creditors other than above</t>
  </si>
  <si>
    <t>Total Trade payables</t>
  </si>
  <si>
    <t>Other Current liabilities</t>
  </si>
  <si>
    <t>Current tax liabilities (net)</t>
  </si>
  <si>
    <t>Total Current liabilities</t>
  </si>
  <si>
    <t>Liabilities associated with assets held for sale</t>
  </si>
  <si>
    <t>Total Liabilities</t>
  </si>
  <si>
    <t>Total Equity and Liabilities</t>
  </si>
  <si>
    <t>2020</t>
  </si>
  <si>
    <t>2021</t>
  </si>
  <si>
    <t>2022</t>
  </si>
  <si>
    <t>2023</t>
  </si>
  <si>
    <t>2024</t>
  </si>
  <si>
    <t>2025</t>
  </si>
  <si>
    <t>Investment Properties</t>
  </si>
  <si>
    <t>Lease Liabilities</t>
  </si>
  <si>
    <t>Intangible assets under development</t>
  </si>
  <si>
    <t>Capital work in progress</t>
  </si>
  <si>
    <t>Right of use assets</t>
  </si>
  <si>
    <t>Investment property</t>
  </si>
  <si>
    <t>Other Intangible assets</t>
  </si>
  <si>
    <t>Others</t>
  </si>
  <si>
    <t>Bank balances</t>
  </si>
  <si>
    <t>Current tax assets (net)</t>
  </si>
  <si>
    <t>Total assets</t>
  </si>
  <si>
    <t>Assets classified as held for sale</t>
  </si>
  <si>
    <t>Other equity</t>
  </si>
  <si>
    <t>Equity attributable to owners of the company</t>
  </si>
  <si>
    <t>Total equity</t>
  </si>
  <si>
    <t>Total outstanding dues of micro and small enterprises</t>
  </si>
  <si>
    <t>Other financial liabilities</t>
  </si>
  <si>
    <t>Total Trade Payables</t>
  </si>
  <si>
    <t>Other current liabilities</t>
  </si>
  <si>
    <t>Total current liabilities</t>
  </si>
  <si>
    <t>Liabilities directly associated with assets held for sale</t>
  </si>
  <si>
    <t>Total equity and liabilities</t>
  </si>
  <si>
    <t>Non-current tax assets (net)</t>
  </si>
  <si>
    <t>Non-current Assets</t>
  </si>
  <si>
    <t>Intangible assets</t>
  </si>
  <si>
    <t>Contract assets</t>
  </si>
  <si>
    <t>Total outstanding of creditors other than above</t>
  </si>
  <si>
    <t>Total trade payables</t>
  </si>
  <si>
    <t>Contract liabilities</t>
  </si>
  <si>
    <t>Trade acceptances</t>
  </si>
  <si>
    <t>Investment Property</t>
  </si>
  <si>
    <t>Other bank balances</t>
  </si>
  <si>
    <t>Equity and Liabilities</t>
  </si>
  <si>
    <t>Lease liability</t>
  </si>
  <si>
    <t>Current maturities of long term borrowings</t>
  </si>
  <si>
    <t>Due to micro and small enterprises</t>
  </si>
  <si>
    <t>Due to others</t>
  </si>
  <si>
    <t>Liabilities associated with assets classified as held for sale</t>
  </si>
  <si>
    <t>Total Current Liabilities</t>
  </si>
  <si>
    <t>Total Current assets</t>
  </si>
  <si>
    <t>Investments in Joint ventures</t>
  </si>
  <si>
    <t>Lease receivables</t>
  </si>
  <si>
    <t>Current assets</t>
  </si>
  <si>
    <t>Project work in progress</t>
  </si>
  <si>
    <t>Bank Balances</t>
  </si>
  <si>
    <t>Current tax liability (net)</t>
  </si>
  <si>
    <t>Lease liabilities</t>
  </si>
  <si>
    <t>Consolidated Income Statements</t>
  </si>
  <si>
    <t>Income</t>
  </si>
  <si>
    <t>Revenue from Operations</t>
  </si>
  <si>
    <t xml:space="preserve">Gain arising from Infrastructure development </t>
  </si>
  <si>
    <t>Other income</t>
  </si>
  <si>
    <t>Total income</t>
  </si>
  <si>
    <t>Expenses</t>
  </si>
  <si>
    <t>Operating expenses</t>
  </si>
  <si>
    <t>Employee benefit expenses</t>
  </si>
  <si>
    <t>Finance costs</t>
  </si>
  <si>
    <t>Interest and bank charges</t>
  </si>
  <si>
    <t>Derivative Loss/Gain (net)</t>
  </si>
  <si>
    <t>Depreciation and amortisation</t>
  </si>
  <si>
    <t>Foreign exchange Gain/Loss (net)</t>
  </si>
  <si>
    <t>Other expenses</t>
  </si>
  <si>
    <t>Total expenses</t>
  </si>
  <si>
    <t>Profit before share of loss from JV, exceptional items and tax</t>
  </si>
  <si>
    <t>Share of loss from Joint ventures entities</t>
  </si>
  <si>
    <t>Profit before exceptional items and tax</t>
  </si>
  <si>
    <t>Exceptional items</t>
  </si>
  <si>
    <t>Profit before tax</t>
  </si>
  <si>
    <t>Tax expense</t>
  </si>
  <si>
    <t>Current tax</t>
  </si>
  <si>
    <t>Deferred tax</t>
  </si>
  <si>
    <t>Less: Tax credit under Minimum alternate tax</t>
  </si>
  <si>
    <t>Total tax expense</t>
  </si>
  <si>
    <t>Profit for the year</t>
  </si>
  <si>
    <t>Total Finance costs</t>
  </si>
  <si>
    <t>INCOME</t>
  </si>
  <si>
    <t>Revenue from operations</t>
  </si>
  <si>
    <t>Total Income</t>
  </si>
  <si>
    <t>EXPENSES</t>
  </si>
  <si>
    <t>Cost of materials consumed</t>
  </si>
  <si>
    <t>Changes in Inventories of finished goods and WIP</t>
  </si>
  <si>
    <t>Erection, sub-contracting and other project expenses</t>
  </si>
  <si>
    <t>Depreciation and amortisation expense</t>
  </si>
  <si>
    <t>Expected credit losses provision for loans and advances</t>
  </si>
  <si>
    <t>Total Expenses</t>
  </si>
  <si>
    <t>Profit before share of profit/loss of JV and exceptional items</t>
  </si>
  <si>
    <t>Share of profit/loss from JV</t>
  </si>
  <si>
    <t>Profit before exceptiona items and tax</t>
  </si>
  <si>
    <t>Tax expenses</t>
  </si>
  <si>
    <t>Total tax expenses</t>
  </si>
  <si>
    <t>Changes in inventories of finished goods and WIP</t>
  </si>
  <si>
    <t>Erection and sub-contracting expenses</t>
  </si>
  <si>
    <t>Employee benefit expense</t>
  </si>
  <si>
    <t>Profit after exceptional items and tax</t>
  </si>
  <si>
    <t>Continuing operations</t>
  </si>
  <si>
    <t>Manufacturing, construction and operating expenses:</t>
  </si>
  <si>
    <t>Cost of raw materials, components consumed</t>
  </si>
  <si>
    <t>Purchase of stock in trade</t>
  </si>
  <si>
    <t>Stores, spares and tools consumed</t>
  </si>
  <si>
    <t>Sub-contracting charges</t>
  </si>
  <si>
    <t>Changes in inventories of finished goods, WIP</t>
  </si>
  <si>
    <t>Other manufacturing, construction and operating expenses</t>
  </si>
  <si>
    <t>Finance cost of financial services</t>
  </si>
  <si>
    <t>Employee benefits expense</t>
  </si>
  <si>
    <t>Sales, administration and other expense</t>
  </si>
  <si>
    <t>Finance cost</t>
  </si>
  <si>
    <t>Depreciation, amortisation, impairment and obsolescnese</t>
  </si>
  <si>
    <t>Net Profit after tax from continuing operations</t>
  </si>
  <si>
    <t>Exceptional items before tax</t>
  </si>
  <si>
    <t>Tax expense on exceptional items</t>
  </si>
  <si>
    <t>Exceptional items (net of tax)</t>
  </si>
  <si>
    <t>Share in profit/loss after tax of joint ventures (net)</t>
  </si>
  <si>
    <t>Profit for the year from continuing operations</t>
  </si>
  <si>
    <t>Discontinued operations</t>
  </si>
  <si>
    <t>Profit before tax from discontinued operations</t>
  </si>
  <si>
    <t>Tax expense of discontinued operations</t>
  </si>
  <si>
    <t>Net Profit after tax from dicontinued operations</t>
  </si>
  <si>
    <t>Net after tax from continuing operations &amp; discontinued operations</t>
  </si>
  <si>
    <t>Construction materials consumed</t>
  </si>
  <si>
    <t>Exceptional items before tax (net)</t>
  </si>
  <si>
    <t>Revenue</t>
  </si>
  <si>
    <t>Expenses on operations</t>
  </si>
  <si>
    <t>Depreciation, amortisation and impairment</t>
  </si>
  <si>
    <t>CSR expenses</t>
  </si>
  <si>
    <t>Profit/loss before exceptional items and tax</t>
  </si>
  <si>
    <t>Share in profit/loss of JV</t>
  </si>
  <si>
    <t>Profit/Loss before tax</t>
  </si>
  <si>
    <t>Profit/loss for the year from continuing operations</t>
  </si>
  <si>
    <t>Earlier year tax</t>
  </si>
  <si>
    <t>Consolidated Statement of Cash Flows</t>
  </si>
  <si>
    <t>Cash Flows from Operating Activities</t>
  </si>
  <si>
    <t>Net profit before tax</t>
  </si>
  <si>
    <t>Adjustments for</t>
  </si>
  <si>
    <t>Share of profit/loss of joint ventures entities</t>
  </si>
  <si>
    <t>Unclaimed Liabilities/excess provision written back</t>
  </si>
  <si>
    <t>Cost of assets transferred under finance lease</t>
  </si>
  <si>
    <t>Recognition of deferred income under long term land lease</t>
  </si>
  <si>
    <t>Financial guarantees income</t>
  </si>
  <si>
    <t>Amortisation of government grant</t>
  </si>
  <si>
    <t>Effect of exchange rate change</t>
  </si>
  <si>
    <t>Gain on account of dilution of stake in subsidiary</t>
  </si>
  <si>
    <t>Derivative Loss/gain (net)</t>
  </si>
  <si>
    <t>Provision of doubtful debts</t>
  </si>
  <si>
    <t>Interest income</t>
  </si>
  <si>
    <t>Dividend income</t>
  </si>
  <si>
    <t>Net gain on sale of current investments</t>
  </si>
  <si>
    <t>Gain on disposal of associate</t>
  </si>
  <si>
    <t>Provision for royalty on storage</t>
  </si>
  <si>
    <t>Diminution in value of inventories</t>
  </si>
  <si>
    <t>Amortisation of fair valuation adjustment on security deposit</t>
  </si>
  <si>
    <t>Loss on sale/discard of PPE (net)</t>
  </si>
  <si>
    <t>Operating profit before working capital changes</t>
  </si>
  <si>
    <t>Adjustments for:</t>
  </si>
  <si>
    <t>Decrease/Increase in trade receivables</t>
  </si>
  <si>
    <t>Increase in inventories</t>
  </si>
  <si>
    <t>Decrease in Financial assets</t>
  </si>
  <si>
    <t>Decrease/Increase in other assets</t>
  </si>
  <si>
    <t>Increase in provisions</t>
  </si>
  <si>
    <t>Decrease/Increase in trade and other payables</t>
  </si>
  <si>
    <t>Increase in other financial liabilities</t>
  </si>
  <si>
    <t>Decrease/increase in other liabilities</t>
  </si>
  <si>
    <t>Cash generated from Operations</t>
  </si>
  <si>
    <t>Direct taxes paid (net of refunds)</t>
  </si>
  <si>
    <t>Net cash generated from Operating activities</t>
  </si>
  <si>
    <t>Cash Flow from Investing activities</t>
  </si>
  <si>
    <t>Purchase of PPE</t>
  </si>
  <si>
    <t>Proceeds from sale of PPE</t>
  </si>
  <si>
    <t>Payment of deposit given against Capital commitments (net)</t>
  </si>
  <si>
    <t>PPE purchased along with Adani Krishnapatnam port ltd</t>
  </si>
  <si>
    <t>Payment for acquisition of subsidiaries</t>
  </si>
  <si>
    <t>Equity investment in joint venture entities/associates</t>
  </si>
  <si>
    <t>Proceeds from sale of stake in associate/investments</t>
  </si>
  <si>
    <t>Proceeds from sale of investments</t>
  </si>
  <si>
    <t>Investment in preference share of Joint ventures</t>
  </si>
  <si>
    <t>Loans given</t>
  </si>
  <si>
    <t>Loans received back</t>
  </si>
  <si>
    <t xml:space="preserve">Proceed from fixed deposits including margin </t>
  </si>
  <si>
    <t>Investments made in pass through certificate</t>
  </si>
  <si>
    <t>Proceeds from sale/purchase of investments in mutual funds</t>
  </si>
  <si>
    <t>Sale of investments in short term debentures and commercial papers</t>
  </si>
  <si>
    <t>Dividend received</t>
  </si>
  <si>
    <t>Interest received</t>
  </si>
  <si>
    <t>Net cash from/used in investing activities</t>
  </si>
  <si>
    <t>Cash flows from Financing activities</t>
  </si>
  <si>
    <t>Proceeds from non-current borrowings</t>
  </si>
  <si>
    <t>Repayment of non-current borrowings</t>
  </si>
  <si>
    <t>Proceeds from current borrowings</t>
  </si>
  <si>
    <t>Repayment of current borrowings</t>
  </si>
  <si>
    <t>Net movement in other current borrowings</t>
  </si>
  <si>
    <t>Interest &amp; Finance charges paid</t>
  </si>
  <si>
    <t>Repayment of lease liabilities</t>
  </si>
  <si>
    <t>Payment on buy-back of equity shares</t>
  </si>
  <si>
    <t>Transaction costs for buy back of equity shares</t>
  </si>
  <si>
    <t>Payment on redemption of preference shares</t>
  </si>
  <si>
    <t>Loss/gain on settlement of derivative contracts</t>
  </si>
  <si>
    <t>Payment of dividend on equity and preference shares</t>
  </si>
  <si>
    <t>Payment of dividend distribution tax</t>
  </si>
  <si>
    <t>Net cash generated from/used in Financing activities</t>
  </si>
  <si>
    <t>Net increase/decrease in Cash and cash equivalents</t>
  </si>
  <si>
    <t>Cash and cash equivalents at the beginning of the year</t>
  </si>
  <si>
    <t>Cash and cash equivalents on acquisition of subsidiaries</t>
  </si>
  <si>
    <t>Reduction in cash and cash equivalents on account of loss of control of subsidiaries</t>
  </si>
  <si>
    <t>Cash and cash equivalents at the end of the year</t>
  </si>
  <si>
    <t>Cash flow from Operating activities</t>
  </si>
  <si>
    <t>Share of loss of Joint venture</t>
  </si>
  <si>
    <t>Depreciation and amortization expenses</t>
  </si>
  <si>
    <t>Impairment loss on PPE</t>
  </si>
  <si>
    <t>Gain on sale of subsidiary and Joint ventures (net)</t>
  </si>
  <si>
    <t>Gain on disposal of PPE</t>
  </si>
  <si>
    <t>Bad debts written off</t>
  </si>
  <si>
    <t>Liabilities written off</t>
  </si>
  <si>
    <t>Allowance for expected credit loss</t>
  </si>
  <si>
    <t>Impairment loss on asset held for sale</t>
  </si>
  <si>
    <t>Unrealised foreign exchange gain/loss (net)</t>
  </si>
  <si>
    <t>Net gain/loss arising on financial assets</t>
  </si>
  <si>
    <t>Trade and other receivables</t>
  </si>
  <si>
    <t>Trade, other payables and provisions</t>
  </si>
  <si>
    <t>Income tax paid</t>
  </si>
  <si>
    <t>Net cash generated from/used in operating activities</t>
  </si>
  <si>
    <t>CASH FLOW FROM INVESTING ACTIVITIES</t>
  </si>
  <si>
    <t>CapEx on PPE</t>
  </si>
  <si>
    <t>Proceeds from disposal of PPE</t>
  </si>
  <si>
    <t>Proceeds from sale of subsidiary and joint venture (net)</t>
  </si>
  <si>
    <t>Proceeds from sale of mutual funds (net)</t>
  </si>
  <si>
    <t>Loans given to/ received back from joint ventures</t>
  </si>
  <si>
    <t>Loans given to others</t>
  </si>
  <si>
    <t>Investments in joint ventures</t>
  </si>
  <si>
    <t>Investments in other entities</t>
  </si>
  <si>
    <t>Payment for acquisition of subsidiary</t>
  </si>
  <si>
    <t>Deposits with banks</t>
  </si>
  <si>
    <t>Consideration paid to minority shareholders</t>
  </si>
  <si>
    <t>Cash generated/used in Investing activities</t>
  </si>
  <si>
    <t>Cash flow from Financing activities</t>
  </si>
  <si>
    <t>Buyback of equity shares</t>
  </si>
  <si>
    <t>Proceeds from Current/non current borrowings</t>
  </si>
  <si>
    <t>Proceeds from issue of non-convertible debentures</t>
  </si>
  <si>
    <t>Redemption of non-convertible debentures</t>
  </si>
  <si>
    <t>Repayment of current/non current borrowings</t>
  </si>
  <si>
    <t>Net increase/decrease in short term borrowings</t>
  </si>
  <si>
    <t>Payment of lease liability</t>
  </si>
  <si>
    <t>Finance costs paid</t>
  </si>
  <si>
    <t>Dividend paid including tax</t>
  </si>
  <si>
    <t>Dividend paid to minority shareholders</t>
  </si>
  <si>
    <t>Cash generated/used in Financing activities</t>
  </si>
  <si>
    <t>Effect of exchange rate changes on the balance of cash and cash equivalents</t>
  </si>
  <si>
    <t>Net increase/decrease in cash and cash equivalents</t>
  </si>
  <si>
    <t>Cash and cash equivalents acquired in business combination</t>
  </si>
  <si>
    <t>Reduction in cash and cash eq on loss of control of subsidiary</t>
  </si>
  <si>
    <t>Opening cash balance</t>
  </si>
  <si>
    <t>Closing bank balance</t>
  </si>
  <si>
    <t>CASH FLOW FROM OPERATING ACTIVITIES</t>
  </si>
  <si>
    <t>Profit for the year after tax</t>
  </si>
  <si>
    <t>Income tax expense</t>
  </si>
  <si>
    <t>Profit on sale of PPE</t>
  </si>
  <si>
    <t>Loss on PPE discarded &amp; intangible assets derecognised</t>
  </si>
  <si>
    <t>Bad debts, loans and advances written off</t>
  </si>
  <si>
    <t>Allowances for bad and doubtful debts, loans and advances</t>
  </si>
  <si>
    <t>Mark to market loss/gain on forward and commodity contracts</t>
  </si>
  <si>
    <t>Net unrealised exchange gain/loss</t>
  </si>
  <si>
    <t xml:space="preserve">Trade receivables </t>
  </si>
  <si>
    <t>Trade payables</t>
  </si>
  <si>
    <t>Cash generated from operations</t>
  </si>
  <si>
    <t>Net cash flow generated from/used in operating activities</t>
  </si>
  <si>
    <t>Acquisition of subsidiary</t>
  </si>
  <si>
    <t>Proceeds/purchase of short term investments (net)</t>
  </si>
  <si>
    <t>Bank balances not considered as cash and cash equivalents (net)</t>
  </si>
  <si>
    <t>Net cash flow from/used in Investing activities</t>
  </si>
  <si>
    <t>CASH FLOW FROM FINANCING ACTIVITIES</t>
  </si>
  <si>
    <t>Proceeds from other than short-term borrowings</t>
  </si>
  <si>
    <t>Repayment of other than short term borrowings</t>
  </si>
  <si>
    <t>Net increase/decrease in short term borrowigs</t>
  </si>
  <si>
    <t>Dividend paid</t>
  </si>
  <si>
    <t>Net cash flow from/used in Financing activities</t>
  </si>
  <si>
    <t>Net Increase/decrease in cash and cash equivalents</t>
  </si>
  <si>
    <t>Opening balance</t>
  </si>
  <si>
    <t xml:space="preserve">Effect of exchange differences on restatement of foreign </t>
  </si>
  <si>
    <t>Closing balance</t>
  </si>
  <si>
    <t>Profit before tax including discontinued operations</t>
  </si>
  <si>
    <t>Depreciation, amortisation, impairment and obsolescene</t>
  </si>
  <si>
    <t>Exchange difference rate changes on cash and cash equivalents</t>
  </si>
  <si>
    <t>Unrealised gain/loss on finance leases</t>
  </si>
  <si>
    <t>Profit/loss on sale of fixed assets</t>
  </si>
  <si>
    <t>Profit/loss on sale/fair valuation of investments</t>
  </si>
  <si>
    <t>Gain/loss on disposal of discontinued operations</t>
  </si>
  <si>
    <t>Gain/loss on derivatives at fair value through profit or loss</t>
  </si>
  <si>
    <t>Employee stock option</t>
  </si>
  <si>
    <t>Non cash items related to discontinued operations</t>
  </si>
  <si>
    <t>Business combination expenses</t>
  </si>
  <si>
    <t>Impairment of debt instruments</t>
  </si>
  <si>
    <t>Impairment recognised on non-current assets held for sale</t>
  </si>
  <si>
    <t>Gain/loss on de-recognition of lease liability</t>
  </si>
  <si>
    <t>Interest expenses</t>
  </si>
  <si>
    <t>Increase/decrease in trade and other receivables</t>
  </si>
  <si>
    <t>increase/decrease in trade payables and customer advances</t>
  </si>
  <si>
    <t>Cash generated from operations before financing activities</t>
  </si>
  <si>
    <t>Increase/decrease in loans and advances towards financing activities</t>
  </si>
  <si>
    <t>Taxes paid</t>
  </si>
  <si>
    <t>Net cash used in/from operating activities</t>
  </si>
  <si>
    <t>Purchase of fixed assets</t>
  </si>
  <si>
    <t>Sale of fixed assets</t>
  </si>
  <si>
    <t>Purchase of non-current investments</t>
  </si>
  <si>
    <t>Sale of non-current investments</t>
  </si>
  <si>
    <t>Purchase/sale of current investments</t>
  </si>
  <si>
    <t>Change in other bank balances and cash not available for immediate use</t>
  </si>
  <si>
    <t>Deposits/loans given to associates, joint ventures and third parties</t>
  </si>
  <si>
    <t>Deposits/loans repaid by associates, joint ventures and third parties</t>
  </si>
  <si>
    <t>Dividend received from joint ventures/associates</t>
  </si>
  <si>
    <t>Dividend received on other investments</t>
  </si>
  <si>
    <t>Settlement of derivative contracts related to current investments</t>
  </si>
  <si>
    <t xml:space="preserve">Consideration received on disposal of subsidiaries </t>
  </si>
  <si>
    <t>Net proceeds from transfer of discontinued operations</t>
  </si>
  <si>
    <t>Consideration received on disposal of joint ventures</t>
  </si>
  <si>
    <t>Consideration paid on acquisition of subsidiaries</t>
  </si>
  <si>
    <t>Cash and cash equivalents acquired pursuant to acquisition of subsidiaries</t>
  </si>
  <si>
    <t>Cash and cash equivalents as held for sale</t>
  </si>
  <si>
    <t>Consideration paid on acquisition of additional stake in a joint venture</t>
  </si>
  <si>
    <t>Net cash used in/from investing activities</t>
  </si>
  <si>
    <t>Proceeds from issue of share capital</t>
  </si>
  <si>
    <t>Proceeds from/repayment of other borrowings</t>
  </si>
  <si>
    <t>Payment to/from non-controlling interest</t>
  </si>
  <si>
    <t>Settlement of derivative contracts related to borrowings</t>
  </si>
  <si>
    <t>Dividends paid</t>
  </si>
  <si>
    <t>Additional tax on dividend</t>
  </si>
  <si>
    <t>Repayment of lease liability</t>
  </si>
  <si>
    <t>Interest paid on lease liability</t>
  </si>
  <si>
    <t>Net cash used in/from financing activities</t>
  </si>
  <si>
    <t>Net decrease/increase in cash and cash equivalents</t>
  </si>
  <si>
    <t>Cash and cash equivalents for discontinued operations</t>
  </si>
  <si>
    <t>Closing cash balance</t>
  </si>
  <si>
    <t>Net profit before taxation</t>
  </si>
  <si>
    <t>Depreciation, amortization and impairment</t>
  </si>
  <si>
    <t>Share in (Profit)/Losses of Joint Ventures</t>
  </si>
  <si>
    <t>Unwinding of Interest Cost on Lease obligation</t>
  </si>
  <si>
    <t>Unwinding of Interest Cost Retention Money</t>
  </si>
  <si>
    <t>Unwinding of Interest Cost on Performance and Security Deposit</t>
  </si>
  <si>
    <t>Profit on sale of assets (net)</t>
  </si>
  <si>
    <t>Interest Income</t>
  </si>
  <si>
    <t>Dividend Income</t>
  </si>
  <si>
    <t>Other Comprehensive Income</t>
  </si>
  <si>
    <t>Operating Profit Before Working Capital Changes</t>
  </si>
  <si>
    <t>Trade Receivables (Current)</t>
  </si>
  <si>
    <t>Lease receivables (current)</t>
  </si>
  <si>
    <t>Other non current financial assets</t>
  </si>
  <si>
    <t>Other non current assets</t>
  </si>
  <si>
    <t>Other current financial liabilities</t>
  </si>
  <si>
    <t>Other non current liabilities</t>
  </si>
  <si>
    <t>Other non current fnancial liabilities</t>
  </si>
  <si>
    <t>Short term provisions</t>
  </si>
  <si>
    <t>Long term provisions</t>
  </si>
  <si>
    <t>Direct taxes paid</t>
  </si>
  <si>
    <t>Cash flow from operating actitivities</t>
  </si>
  <si>
    <t>CapEx on fixed assets including capital advances</t>
  </si>
  <si>
    <t>Capex on intangible assets under development</t>
  </si>
  <si>
    <t>Sale of PPE</t>
  </si>
  <si>
    <t>Repayment of loans</t>
  </si>
  <si>
    <t>Investment in subsidiaries and joint ventures</t>
  </si>
  <si>
    <t>Bank balances other than cash and cash equivalents</t>
  </si>
  <si>
    <t>Net cash from Investing activities</t>
  </si>
  <si>
    <t>Proceeds from Long term borrowings</t>
  </si>
  <si>
    <t>Repayment of short term borrowings</t>
  </si>
  <si>
    <t>Repayment of interest</t>
  </si>
  <si>
    <t>Payment of lease liabilities</t>
  </si>
  <si>
    <t>Net cash from/used in Financing activities</t>
  </si>
  <si>
    <t>Opening cash balances</t>
  </si>
  <si>
    <t>Effects of exchange</t>
  </si>
  <si>
    <t>increase/decrease in inventories</t>
  </si>
  <si>
    <t>Ratio Analysis</t>
  </si>
  <si>
    <t>Ratio</t>
  </si>
  <si>
    <t>Profitability</t>
  </si>
  <si>
    <t>Gross Profit margin</t>
  </si>
  <si>
    <t>EBITDA margin</t>
  </si>
  <si>
    <t>Net profit margin</t>
  </si>
  <si>
    <t>Return on Equity</t>
  </si>
  <si>
    <t>Return on capital employed</t>
  </si>
  <si>
    <t>Liquidity</t>
  </si>
  <si>
    <t>Current Ratio</t>
  </si>
  <si>
    <t>Quick ratio</t>
  </si>
  <si>
    <t>Leverage</t>
  </si>
  <si>
    <t xml:space="preserve">Debt-to-Equity </t>
  </si>
  <si>
    <t>Interest coverage ratio</t>
  </si>
  <si>
    <t>Efficiency</t>
  </si>
  <si>
    <t>Asset turnover ratio</t>
  </si>
  <si>
    <t>Inventory turnover ratio</t>
  </si>
  <si>
    <t>Receivables turnover</t>
  </si>
  <si>
    <t>Valuation</t>
  </si>
  <si>
    <t>P/E Ratio</t>
  </si>
  <si>
    <t>P/B ratio</t>
  </si>
  <si>
    <t>EV/EBITDA</t>
  </si>
  <si>
    <t>Cash Flow strength</t>
  </si>
  <si>
    <t>Operating cash flow to debt</t>
  </si>
  <si>
    <t>Free cash flow margin</t>
  </si>
  <si>
    <t>Market Price</t>
  </si>
  <si>
    <t>Outstanding shares</t>
  </si>
  <si>
    <t>Market Cap</t>
  </si>
  <si>
    <t>Value</t>
  </si>
  <si>
    <t>WACC &amp; KEY ASSUMPTIONS</t>
  </si>
  <si>
    <t>Component</t>
  </si>
  <si>
    <t>Risk free rate</t>
  </si>
  <si>
    <t>Market risk premium</t>
  </si>
  <si>
    <t>Cost of equity</t>
  </si>
  <si>
    <t>Cost of debt</t>
  </si>
  <si>
    <t xml:space="preserve">Tax </t>
  </si>
  <si>
    <t>Cost of debt (after tax)</t>
  </si>
  <si>
    <t>Market Equity</t>
  </si>
  <si>
    <t>Market Debt</t>
  </si>
  <si>
    <t>Total Capital</t>
  </si>
  <si>
    <t>Weight of Equity</t>
  </si>
  <si>
    <t>Weight of Debt</t>
  </si>
  <si>
    <t>WACC</t>
  </si>
  <si>
    <t>Revenue CAGR</t>
  </si>
  <si>
    <t>EBIT Margin</t>
  </si>
  <si>
    <t>Depreciation</t>
  </si>
  <si>
    <t>CapEx</t>
  </si>
  <si>
    <t>DCF VALUATION</t>
  </si>
  <si>
    <t>Growth</t>
  </si>
  <si>
    <t>EBIT</t>
  </si>
  <si>
    <t>Tax</t>
  </si>
  <si>
    <t>NOPAT</t>
  </si>
  <si>
    <t>Δ Working Capital</t>
  </si>
  <si>
    <t>Free Cash Flow to Firm</t>
  </si>
  <si>
    <t>2026</t>
  </si>
  <si>
    <t>2027</t>
  </si>
  <si>
    <t>2028</t>
  </si>
  <si>
    <t>2029</t>
  </si>
  <si>
    <t>2030</t>
  </si>
  <si>
    <t>Working Notes</t>
  </si>
  <si>
    <t>Working Capital</t>
  </si>
  <si>
    <t>Discount Factor</t>
  </si>
  <si>
    <t>PV of FCFF</t>
  </si>
  <si>
    <t>Enterprise Value</t>
  </si>
  <si>
    <t>EBITDA</t>
  </si>
  <si>
    <t>Net Income</t>
  </si>
  <si>
    <t>Outstanding Shares</t>
  </si>
  <si>
    <t>Book Value</t>
  </si>
  <si>
    <t>Average</t>
  </si>
  <si>
    <t>P/E</t>
  </si>
  <si>
    <t>P/B</t>
  </si>
  <si>
    <t>P/Sales</t>
  </si>
  <si>
    <t>EPS</t>
  </si>
  <si>
    <t>Book Value/Share</t>
  </si>
  <si>
    <t>Sales/share</t>
  </si>
  <si>
    <t>Sales</t>
  </si>
  <si>
    <t>Target Price</t>
  </si>
  <si>
    <t>Target Value</t>
  </si>
  <si>
    <t>RELATIVE  VALUATION</t>
  </si>
  <si>
    <t>Terminal Value</t>
  </si>
  <si>
    <t>PV of Terminal Value</t>
  </si>
  <si>
    <t>Equity Value</t>
  </si>
  <si>
    <t>Net Debt</t>
  </si>
  <si>
    <t>Intrinsic Value/share</t>
  </si>
  <si>
    <t>Current Market price</t>
  </si>
  <si>
    <t>Components</t>
  </si>
  <si>
    <t>Terminal Growth</t>
  </si>
  <si>
    <t>RELATIVE VALUATION</t>
  </si>
  <si>
    <t>COMPANY PROFILE</t>
  </si>
  <si>
    <t>ROA</t>
  </si>
  <si>
    <t>KEC</t>
  </si>
  <si>
    <t>Kalpataru</t>
  </si>
  <si>
    <t>Adani</t>
  </si>
  <si>
    <t>RVNL</t>
  </si>
  <si>
    <t>Current Price</t>
  </si>
  <si>
    <t>Upside/Downside</t>
  </si>
  <si>
    <t>Adani Ports</t>
  </si>
  <si>
    <t>L&amp;T</t>
  </si>
  <si>
    <t>Earnings Growth</t>
  </si>
  <si>
    <t>Capex Intensity</t>
  </si>
  <si>
    <t>GDP g</t>
  </si>
  <si>
    <t>Change</t>
  </si>
  <si>
    <t>Sensitivity</t>
  </si>
  <si>
    <t>Capex CAGR</t>
  </si>
  <si>
    <t>Change in EBIT (Historical)</t>
  </si>
  <si>
    <t>Change in CE</t>
  </si>
  <si>
    <t>Incremental ROCE (Historical)</t>
  </si>
  <si>
    <t>Change in EBIT (Forecast)</t>
  </si>
  <si>
    <t>Capex</t>
  </si>
  <si>
    <t>Effective Capital</t>
  </si>
  <si>
    <t>Raw ROCE (Forecast)</t>
  </si>
  <si>
    <t>Adjusted ROCE (Forecast)</t>
  </si>
  <si>
    <t>Earnings</t>
  </si>
  <si>
    <t>D/CE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</si>
</sst>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4009]\ * #,##0.00_ ;_ [$₹-4009]\ * \-#,##0.00_ ;_ [$₹-4009]\ * &quot;-&quot;??_ ;_ @_ "/>
    <numFmt numFmtId="165" formatCode="_ [$₹-4009]\ * #,##0_ ;_ [$₹-4009]\ * \-#,##0_ ;_ [$₹-4009]\ * &quot;-&quot;_ ;_ @_ "/>
    <numFmt numFmtId="166" formatCode="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36"/>
      <color rgb="FF663300"/>
      <name val="Agency FB"/>
      <family val="2"/>
    </font>
    <font>
      <b/>
      <sz val="24"/>
      <color rgb="FF663300"/>
      <name val="Agency FB"/>
      <family val="2"/>
    </font>
    <font>
      <b/>
      <sz val="14"/>
      <color theme="1"/>
      <name val="Agency FB"/>
      <family val="2"/>
    </font>
    <font>
      <sz val="36"/>
      <color theme="8"/>
      <name val="Bahnschrift Condensed"/>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right style="thin">
        <color theme="1"/>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bottom style="thin">
        <color theme="1"/>
      </bottom>
      <diagonal/>
    </border>
    <border>
      <left/>
      <right style="thin">
        <color theme="1"/>
      </right>
      <top style="thin">
        <color theme="1"/>
      </top>
      <bottom/>
      <diagonal/>
    </border>
    <border>
      <left style="thin">
        <color theme="1"/>
      </left>
      <right/>
      <top style="thin">
        <color theme="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1">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0" fillId="0" borderId="0" xfId="0" applyAlignment="1">
      <alignment horizontal="center" vertical="center"/>
    </xf>
    <xf numFmtId="0" fontId="2"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1"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43" fontId="0" fillId="0" borderId="1" xfId="1" applyFont="1" applyBorder="1" applyAlignment="1">
      <alignment vertical="center"/>
    </xf>
    <xf numFmtId="164" fontId="0" fillId="0" borderId="1" xfId="0" applyNumberFormat="1" applyBorder="1" applyAlignment="1">
      <alignment vertical="center"/>
    </xf>
    <xf numFmtId="165" fontId="0" fillId="0" borderId="1" xfId="0" applyNumberFormat="1" applyBorder="1" applyAlignment="1">
      <alignment vertical="center"/>
    </xf>
    <xf numFmtId="10" fontId="0" fillId="0" borderId="1" xfId="0" applyNumberFormat="1" applyBorder="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2" borderId="0" xfId="0" applyFill="1" applyAlignment="1">
      <alignment vertical="center"/>
    </xf>
    <xf numFmtId="0" fontId="2" fillId="0" borderId="3" xfId="0" applyFont="1" applyBorder="1" applyAlignment="1">
      <alignment vertical="center"/>
    </xf>
    <xf numFmtId="0" fontId="2" fillId="2" borderId="0" xfId="0" applyFont="1" applyFill="1" applyAlignment="1">
      <alignment vertical="center"/>
    </xf>
    <xf numFmtId="0" fontId="2" fillId="0" borderId="4" xfId="0" applyFont="1" applyBorder="1" applyAlignment="1">
      <alignment vertical="center"/>
    </xf>
    <xf numFmtId="0" fontId="2" fillId="0" borderId="2" xfId="0" applyFont="1" applyBorder="1" applyAlignment="1">
      <alignment vertical="center"/>
    </xf>
    <xf numFmtId="43" fontId="0" fillId="0" borderId="2" xfId="1" applyFont="1" applyBorder="1" applyAlignment="1">
      <alignment vertical="center"/>
    </xf>
    <xf numFmtId="43" fontId="2" fillId="0" borderId="1" xfId="1" applyFont="1" applyBorder="1" applyAlignment="1">
      <alignment vertical="center"/>
    </xf>
    <xf numFmtId="43" fontId="2" fillId="2" borderId="0" xfId="1" applyFont="1" applyFill="1" applyBorder="1" applyAlignment="1">
      <alignment vertical="center"/>
    </xf>
    <xf numFmtId="43" fontId="0" fillId="2" borderId="0" xfId="1" applyFont="1" applyFill="1" applyBorder="1" applyAlignment="1">
      <alignment vertical="center"/>
    </xf>
    <xf numFmtId="43" fontId="0" fillId="0" borderId="3" xfId="1" applyFont="1" applyBorder="1" applyAlignment="1">
      <alignment vertical="center"/>
    </xf>
    <xf numFmtId="43" fontId="0" fillId="0" borderId="4" xfId="1" applyFont="1" applyBorder="1" applyAlignment="1">
      <alignment vertical="center"/>
    </xf>
    <xf numFmtId="43" fontId="2" fillId="0" borderId="0" xfId="1" applyFont="1" applyBorder="1" applyAlignment="1">
      <alignment vertical="center"/>
    </xf>
    <xf numFmtId="0" fontId="2" fillId="2" borderId="2" xfId="0" applyFont="1" applyFill="1" applyBorder="1" applyAlignment="1">
      <alignment vertical="center"/>
    </xf>
    <xf numFmtId="43" fontId="0" fillId="2" borderId="3" xfId="1" applyFont="1" applyFill="1" applyBorder="1" applyAlignment="1">
      <alignment vertical="center"/>
    </xf>
    <xf numFmtId="43" fontId="0" fillId="2" borderId="4" xfId="1" applyFont="1" applyFill="1" applyBorder="1" applyAlignment="1">
      <alignment vertical="center"/>
    </xf>
    <xf numFmtId="0" fontId="0" fillId="2" borderId="4" xfId="0" applyFill="1" applyBorder="1" applyAlignment="1">
      <alignment vertical="center"/>
    </xf>
    <xf numFmtId="0" fontId="0" fillId="0" borderId="6" xfId="0" applyBorder="1" applyAlignment="1">
      <alignment vertical="center"/>
    </xf>
    <xf numFmtId="43" fontId="0" fillId="0" borderId="10" xfId="1" applyFont="1" applyBorder="1" applyAlignment="1">
      <alignment vertical="center"/>
    </xf>
    <xf numFmtId="43" fontId="0" fillId="0" borderId="5" xfId="1" applyFont="1" applyBorder="1" applyAlignment="1">
      <alignment vertical="center"/>
    </xf>
    <xf numFmtId="0" fontId="0" fillId="0" borderId="9" xfId="0" applyBorder="1" applyAlignment="1">
      <alignment vertical="center"/>
    </xf>
    <xf numFmtId="43" fontId="0" fillId="0" borderId="11" xfId="1" applyFont="1" applyBorder="1" applyAlignment="1">
      <alignment vertical="center"/>
    </xf>
    <xf numFmtId="43" fontId="0" fillId="0" borderId="7" xfId="1" applyFont="1" applyBorder="1" applyAlignment="1">
      <alignment vertical="center"/>
    </xf>
    <xf numFmtId="0" fontId="0" fillId="2" borderId="3" xfId="0" applyFill="1" applyBorder="1" applyAlignment="1">
      <alignment vertical="center"/>
    </xf>
    <xf numFmtId="43" fontId="2" fillId="2" borderId="3" xfId="1" applyFont="1" applyFill="1" applyBorder="1" applyAlignment="1">
      <alignment vertical="center"/>
    </xf>
    <xf numFmtId="43" fontId="2" fillId="2" borderId="4" xfId="1" applyFont="1" applyFill="1" applyBorder="1" applyAlignment="1">
      <alignment vertical="center"/>
    </xf>
    <xf numFmtId="0" fontId="2" fillId="3" borderId="2" xfId="0" applyFont="1" applyFill="1" applyBorder="1" applyAlignment="1">
      <alignment vertical="center"/>
    </xf>
    <xf numFmtId="0" fontId="2" fillId="3" borderId="3" xfId="0" applyFont="1" applyFill="1" applyBorder="1" applyAlignment="1">
      <alignment vertical="center"/>
    </xf>
    <xf numFmtId="43" fontId="2" fillId="3" borderId="3" xfId="1" applyFont="1" applyFill="1" applyBorder="1" applyAlignment="1">
      <alignment vertical="center"/>
    </xf>
    <xf numFmtId="43" fontId="2" fillId="3" borderId="4" xfId="1" applyFont="1" applyFill="1" applyBorder="1" applyAlignment="1">
      <alignment vertical="center"/>
    </xf>
    <xf numFmtId="43" fontId="0" fillId="0" borderId="0" xfId="1" applyFont="1" applyBorder="1" applyAlignment="1">
      <alignment vertical="center"/>
    </xf>
    <xf numFmtId="0" fontId="2" fillId="0" borderId="6" xfId="0" applyFont="1" applyBorder="1" applyAlignment="1">
      <alignment vertical="center"/>
    </xf>
    <xf numFmtId="0" fontId="2" fillId="0" borderId="10" xfId="0" applyFont="1"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43" fontId="2" fillId="0" borderId="3" xfId="1" applyFont="1" applyBorder="1" applyAlignment="1">
      <alignment vertical="center"/>
    </xf>
    <xf numFmtId="43" fontId="2" fillId="0" borderId="4" xfId="1" applyFont="1" applyBorder="1" applyAlignment="1">
      <alignment vertical="center"/>
    </xf>
    <xf numFmtId="43" fontId="2" fillId="0" borderId="10" xfId="1" applyFont="1" applyBorder="1" applyAlignment="1">
      <alignment vertical="center"/>
    </xf>
    <xf numFmtId="0" fontId="0" fillId="0" borderId="11" xfId="0" applyBorder="1" applyAlignment="1">
      <alignment vertical="center"/>
    </xf>
    <xf numFmtId="0" fontId="0" fillId="0" borderId="10" xfId="0" applyBorder="1" applyAlignment="1">
      <alignment vertical="center"/>
    </xf>
    <xf numFmtId="43" fontId="0" fillId="0" borderId="0" xfId="1" applyFont="1" applyAlignment="1">
      <alignment vertical="center"/>
    </xf>
    <xf numFmtId="0" fontId="0" fillId="0" borderId="1" xfId="0" applyBorder="1"/>
    <xf numFmtId="0" fontId="2" fillId="0" borderId="1" xfId="0" applyFont="1" applyBorder="1"/>
    <xf numFmtId="9" fontId="0" fillId="0" borderId="1" xfId="2" applyFont="1" applyBorder="1" applyAlignment="1">
      <alignment vertical="center"/>
    </xf>
    <xf numFmtId="43" fontId="0" fillId="0" borderId="0" xfId="0" applyNumberFormat="1" applyAlignment="1">
      <alignment vertical="center"/>
    </xf>
    <xf numFmtId="10" fontId="0" fillId="0" borderId="1" xfId="2" applyNumberFormat="1" applyFont="1" applyBorder="1" applyAlignment="1">
      <alignment vertical="center"/>
    </xf>
    <xf numFmtId="10" fontId="2" fillId="0" borderId="1" xfId="2" applyNumberFormat="1" applyFont="1" applyBorder="1" applyAlignment="1">
      <alignment vertical="center"/>
    </xf>
    <xf numFmtId="166" fontId="0" fillId="0" borderId="1" xfId="2" applyNumberFormat="1" applyFont="1" applyBorder="1" applyAlignment="1">
      <alignment vertical="center"/>
    </xf>
    <xf numFmtId="166" fontId="2" fillId="0" borderId="1" xfId="2" applyNumberFormat="1" applyFont="1" applyBorder="1" applyAlignment="1">
      <alignment vertical="center"/>
    </xf>
    <xf numFmtId="43" fontId="0" fillId="0" borderId="1" xfId="0" applyNumberFormat="1" applyBorder="1" applyAlignment="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9" fontId="0" fillId="0" borderId="1" xfId="2" applyFont="1" applyBorder="1" applyAlignment="1">
      <alignment horizontal="center" vertical="center"/>
    </xf>
    <xf numFmtId="9" fontId="0" fillId="0" borderId="10" xfId="2" applyFont="1" applyBorder="1" applyAlignment="1">
      <alignment horizontal="center" vertical="center"/>
    </xf>
    <xf numFmtId="166" fontId="0" fillId="0" borderId="10" xfId="2" applyNumberFormat="1" applyFont="1" applyBorder="1" applyAlignment="1">
      <alignment vertical="center"/>
    </xf>
    <xf numFmtId="166" fontId="0" fillId="0" borderId="1" xfId="2" applyNumberFormat="1" applyFont="1" applyBorder="1" applyAlignment="1">
      <alignment horizontal="center" vertical="center"/>
    </xf>
    <xf numFmtId="43" fontId="0" fillId="0" borderId="1" xfId="0" applyNumberFormat="1" applyBorder="1" applyAlignment="1">
      <alignment vertical="center" wrapText="1"/>
    </xf>
    <xf numFmtId="164" fontId="0" fillId="0" borderId="1" xfId="0" applyNumberFormat="1" applyBorder="1" applyAlignment="1">
      <alignment vertical="center" wrapText="1"/>
    </xf>
    <xf numFmtId="43" fontId="0" fillId="0" borderId="1" xfId="1" applyFont="1" applyBorder="1" applyAlignment="1">
      <alignment vertical="center" wrapText="1"/>
    </xf>
    <xf numFmtId="0" fontId="0" fillId="0" borderId="1" xfId="0" applyBorder="1" applyAlignment="1">
      <alignment horizontal="right" vertical="center"/>
    </xf>
    <xf numFmtId="0" fontId="0" fillId="0" borderId="11" xfId="0" applyBorder="1" applyAlignment="1">
      <alignment vertical="center" wrapText="1"/>
    </xf>
    <xf numFmtId="43" fontId="0" fillId="0" borderId="11" xfId="0" applyNumberFormat="1" applyBorder="1" applyAlignment="1">
      <alignment vertical="center" wrapText="1"/>
    </xf>
    <xf numFmtId="164" fontId="0" fillId="0" borderId="11" xfId="0" applyNumberFormat="1" applyBorder="1" applyAlignment="1">
      <alignment vertical="center" wrapText="1"/>
    </xf>
    <xf numFmtId="43" fontId="0" fillId="0" borderId="11" xfId="1" applyFont="1" applyBorder="1" applyAlignment="1">
      <alignment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2" xfId="0" applyBorder="1" applyAlignment="1">
      <alignment vertical="center"/>
    </xf>
    <xf numFmtId="43" fontId="0" fillId="0" borderId="12" xfId="0" applyNumberFormat="1" applyBorder="1" applyAlignment="1">
      <alignment vertical="center"/>
    </xf>
    <xf numFmtId="43" fontId="0" fillId="0" borderId="12" xfId="1" applyFont="1" applyBorder="1" applyAlignment="1">
      <alignment vertical="center"/>
    </xf>
    <xf numFmtId="166" fontId="0" fillId="0" borderId="12" xfId="2" applyNumberFormat="1" applyFont="1" applyBorder="1" applyAlignment="1">
      <alignment vertical="center"/>
    </xf>
    <xf numFmtId="0" fontId="2" fillId="0" borderId="12" xfId="0" applyFont="1" applyBorder="1" applyAlignment="1">
      <alignment horizontal="right" vertical="center"/>
    </xf>
    <xf numFmtId="0" fontId="2" fillId="0" borderId="12" xfId="0" applyFont="1" applyBorder="1" applyAlignment="1">
      <alignment vertical="center"/>
    </xf>
    <xf numFmtId="0" fontId="2" fillId="0" borderId="12" xfId="0" applyFont="1" applyBorder="1" applyAlignment="1">
      <alignment horizontal="center" vertical="center"/>
    </xf>
    <xf numFmtId="166" fontId="2" fillId="0" borderId="12" xfId="2" applyNumberFormat="1" applyFont="1" applyBorder="1" applyAlignment="1">
      <alignment vertical="center"/>
    </xf>
    <xf numFmtId="0" fontId="0" fillId="0" borderId="17" xfId="0" applyBorder="1" applyAlignment="1">
      <alignment vertical="center"/>
    </xf>
    <xf numFmtId="43" fontId="0" fillId="0" borderId="18" xfId="0" applyNumberFormat="1" applyBorder="1" applyAlignment="1">
      <alignment vertical="center"/>
    </xf>
    <xf numFmtId="43" fontId="0" fillId="0" borderId="18" xfId="1" applyFont="1" applyBorder="1" applyAlignment="1">
      <alignment vertical="center"/>
    </xf>
    <xf numFmtId="0" fontId="2" fillId="0" borderId="16" xfId="0" applyFont="1" applyBorder="1" applyAlignment="1">
      <alignment vertical="center"/>
    </xf>
    <xf numFmtId="0" fontId="2" fillId="0" borderId="19" xfId="0" applyFont="1" applyBorder="1" applyAlignment="1">
      <alignment vertical="center"/>
    </xf>
    <xf numFmtId="0" fontId="0" fillId="0" borderId="20" xfId="0" applyBorder="1" applyAlignment="1">
      <alignment vertical="center"/>
    </xf>
    <xf numFmtId="9" fontId="0" fillId="0" borderId="21" xfId="2" applyFont="1" applyBorder="1" applyAlignment="1">
      <alignment vertical="center"/>
    </xf>
    <xf numFmtId="9" fontId="0" fillId="0" borderId="0" xfId="2" applyFont="1" applyBorder="1" applyAlignment="1">
      <alignment vertical="center"/>
    </xf>
    <xf numFmtId="9" fontId="0" fillId="0" borderId="6" xfId="2" applyFont="1" applyBorder="1" applyAlignment="1">
      <alignment vertical="center"/>
    </xf>
    <xf numFmtId="9" fontId="0" fillId="0" borderId="10" xfId="2" applyFont="1" applyBorder="1" applyAlignment="1">
      <alignment vertical="center"/>
    </xf>
    <xf numFmtId="9" fontId="0" fillId="0" borderId="0" xfId="2" applyFont="1" applyAlignment="1">
      <alignment vertical="center"/>
    </xf>
    <xf numFmtId="0" fontId="0" fillId="2" borderId="1" xfId="0" applyFill="1" applyBorder="1" applyAlignment="1">
      <alignment vertical="center"/>
    </xf>
    <xf numFmtId="10" fontId="0" fillId="0" borderId="0" xfId="2" applyNumberFormat="1" applyFont="1" applyAlignment="1">
      <alignment vertical="center"/>
    </xf>
    <xf numFmtId="0" fontId="0" fillId="0" borderId="0" xfId="0" applyAlignment="1">
      <alignment horizontal="right" vertical="center"/>
    </xf>
    <xf numFmtId="0" fontId="2" fillId="0" borderId="0" xfId="0" applyFont="1" applyAlignment="1">
      <alignment horizontal="right" vertical="center"/>
    </xf>
    <xf numFmtId="10" fontId="0" fillId="0" borderId="1" xfId="2" applyNumberFormat="1" applyFont="1" applyBorder="1" applyAlignment="1">
      <alignment horizontal="center" vertical="center"/>
    </xf>
    <xf numFmtId="10" fontId="1" fillId="0" borderId="1" xfId="2" applyNumberFormat="1" applyFont="1" applyBorder="1" applyAlignment="1">
      <alignment horizontal="center" vertical="center"/>
    </xf>
    <xf numFmtId="10" fontId="2" fillId="0" borderId="1" xfId="2" applyNumberFormat="1" applyFont="1" applyBorder="1" applyAlignment="1">
      <alignment horizontal="center" vertical="center"/>
    </xf>
    <xf numFmtId="0" fontId="2" fillId="0" borderId="1" xfId="0" applyFont="1" applyBorder="1" applyAlignment="1">
      <alignment horizontal="right" vertical="center"/>
    </xf>
    <xf numFmtId="2" fontId="2" fillId="0" borderId="1" xfId="0" applyNumberFormat="1" applyFont="1" applyBorder="1" applyAlignment="1">
      <alignment horizontal="center" vertical="center"/>
    </xf>
    <xf numFmtId="10" fontId="1" fillId="0" borderId="1" xfId="2" applyNumberFormat="1"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2" fontId="0" fillId="0" borderId="1" xfId="0" applyNumberFormat="1" applyBorder="1" applyAlignment="1">
      <alignment vertical="center"/>
    </xf>
    <xf numFmtId="166" fontId="2" fillId="0" borderId="1" xfId="0" applyNumberFormat="1" applyFont="1" applyBorder="1" applyAlignment="1">
      <alignment vertical="center"/>
    </xf>
    <xf numFmtId="166" fontId="0" fillId="0" borderId="1" xfId="0" applyNumberFormat="1" applyBorder="1" applyAlignment="1">
      <alignment vertical="center"/>
    </xf>
    <xf numFmtId="10" fontId="2" fillId="0" borderId="0" xfId="2" applyNumberFormat="1" applyFont="1" applyAlignment="1">
      <alignment vertical="center"/>
    </xf>
    <xf numFmtId="10" fontId="1" fillId="0" borderId="0" xfId="2" applyNumberFormat="1" applyFont="1" applyAlignment="1">
      <alignment vertical="center"/>
    </xf>
    <xf numFmtId="9" fontId="2" fillId="0" borderId="1" xfId="2"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5" fillId="0" borderId="12" xfId="0" applyFont="1" applyBorder="1" applyAlignment="1">
      <alignment horizontal="left" vertical="center"/>
    </xf>
    <xf numFmtId="0" fontId="6" fillId="0" borderId="12" xfId="0" applyFont="1" applyBorder="1" applyAlignment="1">
      <alignment horizontal="center" vertical="center" wrapText="1"/>
    </xf>
  </cellXfs>
  <cellStyles count="3">
    <cellStyle name="Comma" xfId="1" builtinId="3"/>
    <cellStyle name="Normal" xfId="0" builtinId="0"/>
    <cellStyle name="Percent" xfId="2" builtinId="5"/>
  </cellStyles>
  <dxfs count="43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numFmt numFmtId="164" formatCode="_ [$₹-4009]\ * #,##0.00_ ;_ [$₹-4009]\ * \-#,##0.00_ ;_ [$₹-4009]\ * &quot;-&quot;??_ ;_ @_ "/>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numFmt numFmtId="35" formatCode="_ * #,##0.00_ ;_ * \-#,##0.00_ ;_ * &quot;-&quot;??_ ;_ @_ "/>
      <alignment horizontal="general" vertical="center" textRotation="0" wrapText="1" indent="0" justifyLastLine="0" shrinkToFit="0" readingOrder="0"/>
    </dxf>
    <dxf>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border>
        <bottom style="thin">
          <color theme="1"/>
        </bottom>
      </border>
    </dxf>
    <dxf>
      <alignment horizontal="center" vertical="center" textRotation="0" wrapText="1" indent="0" justifyLastLine="0" shrinkToFit="0" readingOrder="0"/>
      <border diagonalUp="0" diagonalDown="0">
        <left style="thin">
          <color theme="0"/>
        </left>
        <right style="thin">
          <color theme="0"/>
        </right>
        <top/>
        <bottom/>
        <vertical style="thin">
          <color theme="0"/>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theme="1"/>
        </left>
        <right/>
        <top style="thin">
          <color theme="1"/>
        </top>
        <bottom style="thin">
          <color theme="1"/>
        </bottom>
        <vertical/>
        <horizontal/>
      </border>
    </dxf>
    <dxf>
      <alignment horizontal="general" vertical="center" textRotation="0" wrapText="0" indent="0" justifyLastLine="0" shrinkToFit="0" readingOrder="0"/>
      <border diagonalUp="0" diagonalDown="0">
        <left/>
        <right style="thin">
          <color theme="1"/>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border outline="0">
        <bottom style="thin">
          <color theme="1"/>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theme="1"/>
        </left>
        <right/>
        <top style="thin">
          <color theme="1"/>
        </top>
        <bottom style="thin">
          <color theme="1"/>
        </bottom>
        <vertical/>
        <horizontal/>
      </border>
    </dxf>
    <dxf>
      <alignment horizontal="general" vertical="center" textRotation="0" wrapText="0" indent="0" justifyLastLine="0" shrinkToFit="0" readingOrder="0"/>
      <border diagonalUp="0" diagonalDown="0">
        <left/>
        <right style="thin">
          <color theme="1"/>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border outline="0">
        <bottom style="thin">
          <color theme="1"/>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theme="1"/>
        </left>
        <right/>
        <top style="thin">
          <color theme="1"/>
        </top>
        <bottom style="thin">
          <color theme="1"/>
        </bottom>
        <vertical/>
        <horizontal/>
      </border>
    </dxf>
    <dxf>
      <alignment horizontal="general" vertical="center" textRotation="0" wrapText="0" indent="0" justifyLastLine="0" shrinkToFit="0" readingOrder="0"/>
      <border diagonalUp="0" diagonalDown="0">
        <left/>
        <right style="thin">
          <color theme="1"/>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border outline="0">
        <bottom style="thin">
          <color theme="1"/>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theme="1"/>
        </left>
        <right style="thin">
          <color theme="1"/>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font>
      <alignment horizontal="general"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alignment vertical="center" textRotation="0" wrapText="0" indent="0" justifyLastLine="0" shrinkToFit="0" readingOrder="0"/>
      <border diagonalUp="0" diagonalDown="0" outline="0">
        <left/>
        <right/>
        <top/>
        <bottom/>
      </border>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alignment vertical="center" textRotation="0" wrapText="0" indent="0" justifyLastLine="0" shrinkToFit="0" readingOrder="0"/>
      <border diagonalUp="0" diagonalDown="0" outline="0">
        <left/>
        <right/>
        <top/>
        <bottom/>
      </border>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alignment vertical="center" textRotation="0" wrapText="0" indent="0" justifyLastLine="0" shrinkToFit="0" readingOrder="0"/>
      <border diagonalUp="0" diagonalDown="0" outline="0">
        <left/>
        <right/>
        <top/>
        <bottom/>
      </border>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alignment vertical="center" textRotation="0" wrapText="0" indent="0" justifyLastLine="0" shrinkToFit="0" readingOrder="0"/>
      <border diagonalUp="0" diagonalDown="0" outline="0">
        <left/>
        <right/>
        <top/>
        <bottom/>
      </border>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alignment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1">
  <rv s="0">
    <v>0</v>
    <v>5</v>
  </rv>
  <rv s="0">
    <v>1</v>
    <v>5</v>
  </rv>
  <rv s="0">
    <v>2</v>
    <v>5</v>
  </rv>
  <rv s="0">
    <v>3</v>
    <v>5</v>
  </rv>
  <rv s="0">
    <v>4</v>
    <v>5</v>
  </rv>
  <rv s="1">
    <v>https://www.bing.com/financeapi/forcetrigger?t=ahgr6h&amp;q=XNSE%3aADANIPORTS&amp;form=skydnc</v>
    <v>Learn more on Bing</v>
  </rv>
  <rv s="2">
    <v>en-IN</v>
    <v>ahgr6h</v>
    <v>268435456</v>
    <v>1</v>
    <v>Powered by Refinitiv</v>
    <v>0</v>
    <v>ADANI PORTS AND SPECIAL ECONOMIC ZONE LIMITED (XNSE:ADANIPORTS)</v>
    <v>2</v>
    <v>3</v>
    <v>Finance</v>
    <v>4</v>
    <v>1494</v>
    <v>995.65</v>
    <v>1.4608000000000001</v>
    <v>-3.4</v>
    <v>-2.3480000000000003E-3</v>
    <v>INR</v>
    <v>Adani Ports and Special Economic Zone Limited is an India-based integrated ports and logistics company. The Company's segments include port and special economic zone (SEZ) activities, and other. The port and SEZ activities segment, which includes developing, operating and maintaining the port services, port related infrastructure development activities and development of infrastructure in a contiguous special economic zone. The Other Segment mainly includes Aircraft Operating Income, Warehousing and transportation of food grains. Its presence across 13 domestic ports in seven maritime states of Gujarat, Maharashtra, Goa, Kerala, Andhra Pradesh, Tamil Nadu and Odisha. The ports are equipped to handle diverse cargos, from dry cargo, liquid cargo, and crude to containers. Its ports &amp; terminals include Gangavaram Port, Karaikal Port, Krishnapatnam Port, Mundra Port, Gopalpur Port, Tuna Terminal, Dahej Port, Hazira Port, Mormugao, Vizhinjam Port, among others.</v>
    <v>3118</v>
    <v>National Stock Exchange of India</v>
    <v>XNSE</v>
    <v>XNSE</v>
    <v>Adani Corporate House, Shantigram, Near Vaishno Devi Circle, S. G. Highway, Khodiyar, AHMEDABAD, GUJARAT, 382421 IN</v>
    <v>1463.9</v>
    <v>Transport Infrastructure</v>
    <v>Stock</v>
    <v>45971.582870370374</v>
    <v>5</v>
    <v>1441</v>
    <v>3128529000000</v>
    <v>ADANI PORTS AND SPECIAL ECONOMIC ZONE LIMITED</v>
    <v>ADANI PORTS AND SPECIAL ECONOMIC ZONE LIMITED</v>
    <v>1452.2</v>
    <v>26.105</v>
    <v>1448.3</v>
    <v>1444.9</v>
    <v>2160139000</v>
    <v>ADANIPORTS</v>
    <v>ADANI PORTS AND SPECIAL ECONOMIC ZONE LIMITED (XNSE:ADANIPORTS)</v>
    <v>1161695</v>
    <v>2190170</v>
    <v>1998</v>
  </rv>
  <rv s="3">
    <v>6</v>
  </rv>
  <rv s="1">
    <v>https://www.bing.com/financeapi/forcetrigger?t=ahijrw&amp;q=XNSE%3aKALPATPOWR&amp;form=skydnc</v>
    <v>Learn more on Bing</v>
  </rv>
  <rv s="2">
    <v>en-IN</v>
    <v>ahijrw</v>
    <v>268435456</v>
    <v>1</v>
    <v>Powered by Refinitiv</v>
    <v>0</v>
    <v>KALPATARU PROJECTS INTERNATIONAL LIMITED (XNSE:KPIL)</v>
    <v>2</v>
    <v>3</v>
    <v>Finance</v>
    <v>4</v>
    <v>1352.85</v>
    <v>786.3</v>
    <v>0.59089999999999998</v>
    <v>-19.899999999999999</v>
    <v>-1.5356000000000002E-2</v>
    <v>INR</v>
    <v>Kalpataru Projects International Limited is a specialized engineering, procurement and construction (EPC) company. It is engaged in Power Transmission &amp; Distribution, Buildings &amp; Factories, Water Supply &amp; Irrigation, Railways, Oil &amp; Gas Pipelines, Urban Mobility (Flyovers &amp; Metro Rail), Highways and Airports. It is executing projects in over 30 countries and has a global footprint in 73 countries. It is an EPC contractor in railway infrastructure space and caters to turnkey solutions for conventional rail lines and metro rail. It undertakes railway projects for overhead electrification, traction substation, track-laying, earthwork, bridges, buildings, stations, signaling and telecommunications and others. It undertakes EPC contracting for cross-country pipelines, terminals, process plants and gas gathering stations for oil and gas sector across territories throughout the globe. It provides end-to-end solutions ranging from in-house design, testing, procurement, fabrication and others.</v>
    <v>9870</v>
    <v>National Stock Exchange of India</v>
    <v>XNSE</v>
    <v>XNSE</v>
    <v>101, Kalpataru Synergy, Opp. Grand Hyatt, Santacruz(E), MUMBAI, MAHARASHTRA, 400055 IN</v>
    <v>1299.0999999999999</v>
    <v>Construction &amp; Engineering</v>
    <v>Stock</v>
    <v>45971.582881944443</v>
    <v>8</v>
    <v>1272.3</v>
    <v>221304100000</v>
    <v>KALPATARU PROJECTS INTERNATIONAL LIMITED</v>
    <v>KALPATARU PROJECTS INTERNATIONAL LIMITED</v>
    <v>1290.5999999999999</v>
    <v>26.75</v>
    <v>1295.9000000000001</v>
    <v>1276</v>
    <v>170772600</v>
    <v>KPIL</v>
    <v>KALPATARU PROJECTS INTERNATIONAL LIMITED (XNSE:KPIL)</v>
    <v>124617</v>
    <v>366370</v>
    <v>1981</v>
  </rv>
  <rv s="3">
    <v>9</v>
  </rv>
  <rv s="1">
    <v>https://www.bing.com/financeapi/forcetrigger?t=ahikzr&amp;q=XNSE%3aKEC&amp;form=skydnc</v>
    <v>Learn more on Bing</v>
  </rv>
  <rv s="2">
    <v>en-IN</v>
    <v>ahikzr</v>
    <v>268435456</v>
    <v>1</v>
    <v>Powered by Refinitiv</v>
    <v>0</v>
    <v>KEC INTERNATIONAL LIMITED (XNSE:KEC)</v>
    <v>2</v>
    <v>3</v>
    <v>Finance</v>
    <v>4</v>
    <v>1313.25</v>
    <v>627.45000000000005</v>
    <v>0.67630000000000001</v>
    <v>-37.1</v>
    <v>-4.8857999999999999E-2</v>
    <v>INR</v>
    <v>KEC International Limited is an India-based global infrastructure engineering, procurement and construction (EPC) company. Its segments include EPC and others. Its EPC comprises infrastructure-related projects, systems, products and related activities for power transmission and distribution, railway track-laying, electrification, civil, urban infrastructure, and oil and gas pipelines laying. Its Others segment comprises the sale of cables. Its power transmission and distribution vertical offer integrated solutions ranging from design, manufacturing, supply, installation, and commissioning of transmission lines, substations and underground cabling in both domestic and international markets. The Company's civil vertical is focused on projects, in segments such as buildings and factories, public spaces, water projects, data centers, and metro projects. Its railways vertical offers end-to-end EPC services for railway track-laying, over-head electrification (OHE), and civil infrastructure.</v>
    <v>7692</v>
    <v>National Stock Exchange of India</v>
    <v>XNSE</v>
    <v>XNSE</v>
    <v>RPG House, 463, Dr. Annie Besant Road, Worli, MUMBAI, MAHARASHTRA, 400030 IN</v>
    <v>765.2</v>
    <v>Construction &amp; Engineering</v>
    <v>Stock</v>
    <v>45971.582881944443</v>
    <v>11</v>
    <v>718</v>
    <v>202139000000</v>
    <v>KEC INTERNATIONAL LIMITED</v>
    <v>KEC INTERNATIONAL LIMITED</v>
    <v>765</v>
    <v>33.08</v>
    <v>759.35</v>
    <v>722.25</v>
    <v>266200000</v>
    <v>KEC</v>
    <v>KEC INTERNATIONAL LIMITED (XNSE:KEC)</v>
    <v>1277017</v>
    <v>380410</v>
    <v>2005</v>
  </rv>
  <rv s="3">
    <v>12</v>
  </rv>
  <rv s="1">
    <v>https://www.bing.com/financeapi/forcetrigger?t=ahirxm&amp;q=XNSE%3aLT&amp;form=skydnc</v>
    <v>Learn more on Bing</v>
  </rv>
  <rv s="2">
    <v>en-IN</v>
    <v>ahirxm</v>
    <v>268435456</v>
    <v>1</v>
    <v>Powered by Refinitiv</v>
    <v>0</v>
    <v>LARSEN AND TOUBRO LIMITED (XNSE:LT)</v>
    <v>2</v>
    <v>3</v>
    <v>Finance</v>
    <v>4</v>
    <v>4062.6</v>
    <v>2965.3</v>
    <v>1.0837000000000001</v>
    <v>36</v>
    <v>9.2720000000000007E-3</v>
    <v>INR</v>
    <v>Larsen and Toubro Limited is an India-based multinational company, which is engaged in engineering, procurement, and construction (EPC) projects, hi-tech manufacturing and services. The Company's segments include Infrastructure Projects, Energy Projects, Hi-Tech Manufacturing, IT &amp; Technology Services, Financial Services, Development Projects and Others. Energy Projects segment comprises EPC/turnkey solutions in hydrocarbon business, power business and EPC solutions in green energy space. Hi-Tech Manufacturing segment comprises design, manufacture/construct, supply and revamp/retrofit of custom designed, engineered critical equipment &amp; systems to the process plants, nuclear energy &amp; green hydrogen sectors, marine and land platforms, and electrolysers.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3943.8</v>
    <v>Construction &amp; Engineering</v>
    <v>Stock</v>
    <v>45971.582881944443</v>
    <v>14</v>
    <v>3894</v>
    <v>5340693000000</v>
    <v>LARSEN AND TOUBRO LIMITED</v>
    <v>LARSEN AND TOUBRO LIMITED</v>
    <v>3895</v>
    <v>32.56</v>
    <v>3882.5</v>
    <v>3918.5</v>
    <v>1375581000</v>
    <v>LT</v>
    <v>LARSEN AND TOUBRO LIMITED (XNSE:LT)</v>
    <v>1397176</v>
    <v>2197070</v>
    <v>1946</v>
  </rv>
  <rv s="3">
    <v>15</v>
  </rv>
  <rv s="1">
    <v>https://www.bing.com/financeapi/forcetrigger?t=bppmsm&amp;q=XNSE%3aRVNL&amp;form=skydnc</v>
    <v>Learn more on Bing</v>
  </rv>
  <rv s="2">
    <v>en-IN</v>
    <v>bppmsm</v>
    <v>268435456</v>
    <v>1</v>
    <v>Powered by Refinitiv</v>
    <v>0</v>
    <v>RAIL VIKAS NIGAM LIMITED (XNSE:RVNL)</v>
    <v>2</v>
    <v>3</v>
    <v>Finance</v>
    <v>4</v>
    <v>501.8</v>
    <v>301.60000000000002</v>
    <v>1.4107000000000001</v>
    <v>-2.1</v>
    <v>-6.6039999999999996E-3</v>
    <v>INR</v>
    <v>Rail Vikas Nigam Limited (RVNL) is an India-based company, which is engaged in development of rail infrastructure. RVNL is engaged in the business of implementing various types of Rail infrastructure projects assigned by Ministry of Railway (MoR) including doubling (including 3rd/4th lines), gauge conversion, new lines, railway electrification, bridges, metro projects, workshops, and production units. It undertakes and executes the project development, financing and implementation of projects related to rail infrastructure. It works on a turnkey basis and undertakes the full cycle of project development from conceptualization to commissioning, including stages of design, preparation of estimates, calling contracts, project and contract management, among others. Its projects include Manamadurai-Rameswaram, Jakhapura- Haridaspur 3rd Line, Cuttack - Barang Doubling, Vallarpadam-Idapally, and Villipuram-Dindigul Doubling.</v>
    <v>213</v>
    <v>National Stock Exchange of India</v>
    <v>XNSE</v>
    <v>XNSE</v>
    <v>August Kranti Bhawan, Bhikaji Cama Place, R. K. Puram, Plot No. 25, First Floor, NEW DELHI, DELHI, 110066 IN</v>
    <v>320.85000000000002</v>
    <v>Construction &amp; Engineering</v>
    <v>Stock</v>
    <v>45971.58289351852</v>
    <v>17</v>
    <v>315.55</v>
    <v>663036400000</v>
    <v>RAIL VIKAS NIGAM LIMITED</v>
    <v>RAIL VIKAS NIGAM LIMITED</v>
    <v>318.3</v>
    <v>55.148200000000003</v>
    <v>318</v>
    <v>315.89999999999998</v>
    <v>2085020000</v>
    <v>RVNL</v>
    <v>RAIL VIKAS NIGAM LIMITED (XNSE:RVNL)</v>
    <v>2271236</v>
    <v>2977400</v>
    <v>2003</v>
  </rv>
  <rv s="3">
    <v>18</v>
  </rv>
  <rv s="0">
    <v>5</v>
    <v>5</v>
  </rv>
  <rv s="1">
    <v>https://www.bing.com/financeapi/forcetrigger?t=bpppkr&amp;q=XBOM%3a542649&amp;form=skydnc</v>
    <v>Learn more on Bing</v>
  </rv>
  <rv s="2">
    <v>en-IN</v>
    <v>bpppkr</v>
    <v>268435456</v>
    <v>1</v>
    <v>Powered by Refinitiv</v>
    <v>0</v>
    <v>RAIL VIKAS NIGAM LIMITED (XBOM:542649)</v>
    <v>2</v>
    <v>3</v>
    <v>Finance</v>
    <v>5</v>
    <v>501.55</v>
    <v>295.25</v>
    <v>1.4107000000000001</v>
    <v>-2.1</v>
    <v>-6.6030000000000004E-3</v>
    <v>INR</v>
    <v>Rail Vikas Nigam Limited (RVNL) is an India-based company, which is engaged in development of rail infrastructure. RVNL is engaged in the business of implementing various types of Rail infrastructure projects assigned by Ministry of Railway (MoR) including doubling (including 3rd/4th lines), gauge conversion, new lines, railway electrification, bridges, metro projects, workshops, and production units. It undertakes and executes the project development, financing and implementation of projects related to rail infrastructure. It works on a turnkey basis and undertakes the full cycle of project development from conceptualization to commissioning, including stages of design, preparation of estimates, calling contracts, project and contract management, among others. Its projects include Manamadurai-Rameswaram, Jakhapura- Haridaspur 3rd Line, Cuttack - Barang Doubling, Vallarpadam-Idapally, and Villipuram-Dindigul Doubling.</v>
    <v>213</v>
    <v>Bombay Stock Exchange</v>
    <v>XBOM</v>
    <v>XBOM</v>
    <v>August Kranti Bhawan, Bhikaji Cama Place, R. K. Puram, Plot No. 25, First Floor, NEW DELHI, DELHI, 110066 IN</v>
    <v>320.85000000000002</v>
    <v>Construction &amp; Engineering</v>
    <v>Stock</v>
    <v>45971.562662037039</v>
    <v>21</v>
    <v>315.55</v>
    <v>663036400000</v>
    <v>RAIL VIKAS NIGAM LIMITED</v>
    <v>RAIL VIKAS NIGAM LIMITED</v>
    <v>318.3</v>
    <v>55.68</v>
    <v>318.05</v>
    <v>315.95</v>
    <v>2085020000</v>
    <v>542649</v>
    <v>RAIL VIKAS NIGAM LIMITED (XBOM:542649)</v>
    <v>286666</v>
    <v>2977400</v>
    <v>2003</v>
  </rv>
  <rv s="3">
    <v>22</v>
  </rv>
  <rv s="1">
    <v>https://www.bing.com/financeapi/forcetrigger?t=ae8cjc&amp;q=XPAR%3aDG&amp;form=skydnc</v>
    <v>Learn more on Bing</v>
  </rv>
  <rv s="2">
    <v>en-IN</v>
    <v>ae8cjc</v>
    <v>268435456</v>
    <v>1</v>
    <v>Powered by Refinitiv</v>
    <v>0</v>
    <v>Vinci SA (XPAR:DG)</v>
    <v>2</v>
    <v>6</v>
    <v>Finance</v>
    <v>5</v>
    <v>130.19999999999999</v>
    <v>96.26</v>
    <v>0.93510000000000004</v>
    <v>1.35</v>
    <v>1.1677999999999999E-2</v>
    <v>EUR</v>
    <v>Vinci SA is a France-based company active in the concessions and construction industry worldwide. It manages four segments: Design and construction of infrastructure, Design, execution, and maintenance of energy and telecom infrastructures, Sub-contracted infrastructure management and Other. The Design and construction of infrastructure (VINCI Construction): primarily in the fields of building, civil engineering, and hydraulics. In addition, the group is developing a business in the construction, renovation and maintenance of transport infrastructure (roads, freeways and railroads; Eurovia), in the production of aggregates and in urban development; Design, execution, and maintenance of energy and telecom infrastructures (VINCI Energies and Cobra IS); Sub-contracted infrastructure management (VINCI Concessions): primarily managing roads and highways (mainly through Autoroutes du Sud de la France and Cofiroute), parking areas, airport activities; Other: primarily property development.</v>
    <v>282481</v>
    <v>Euronext Paris</v>
    <v>XPAR</v>
    <v>XPAR</v>
    <v>1973 boulevard de la Defense, NANTERRE, ILE-DE-FRANCE, 92000 FR</v>
    <v>117.5</v>
    <v>Construction &amp; Engineering</v>
    <v>Stock</v>
    <v>45971.708333333336</v>
    <v>24</v>
    <v>115.95</v>
    <v>67849550000</v>
    <v>Vinci SA</v>
    <v>Vinci SA</v>
    <v>117.4</v>
    <v>13.7325</v>
    <v>115.6</v>
    <v>116.95</v>
    <v>586933800</v>
    <v>DG</v>
    <v>Vinci SA (XPAR:DG)</v>
    <v>509671</v>
    <v>733340</v>
    <v>1955</v>
  </rv>
  <rv s="3">
    <v>25</v>
  </rv>
  <rv s="1">
    <v>https://www.bing.com/financeapi/forcetrigger?t=a21gh7&amp;q=XNYS%3aPWR&amp;form=skydnc</v>
    <v>Learn more on Bing</v>
  </rv>
  <rv s="2">
    <v>en-IN</v>
    <v>a21gh7</v>
    <v>268435456</v>
    <v>1</v>
    <v>Powered by Refinitiv</v>
    <v>0</v>
    <v>QUANTA SERVICES, INC. (XNYS:PWR)</v>
    <v>2</v>
    <v>7</v>
    <v>Finance</v>
    <v>8</v>
    <v>469.43</v>
    <v>227.08</v>
    <v>1.1458999999999999</v>
    <v>0.44</v>
    <v>9.8869999999999991E-4</v>
    <v>USD</v>
    <v>Quanta Services, Inc. provides specialized infrastructure solutions to the utility, renewable energy, technology, communications, pipeline, and energy industries in the United States, Canada, Australia and other international markets. Its segments include Electric Infrastructure Solutions (Electric) and Underground Utility and Infrastructure Solutions (Underground and Infrastructure). Electric provides comprehensive services for electric power, renewable energy, technology and communications markets. Services include design, procurement, new construction, upgrade and repair and maintenance services for electric power transmission and distribution infrastructure, both overhead and underground, and substation facilities, along with other engineering and technical services. The Underground and Infrastructure provides comprehensive infrastructure solutions to customers involved in the transportation, distribution, storage, development and processing of natural gas, oil and other products.</v>
    <v>58400</v>
    <v>New York Stock Exchange</v>
    <v>XNYS</v>
    <v>XNYS</v>
    <v>2727 NORTH LOOP WEST, HOUSTON, TX, 77008 US</v>
    <v>456.86</v>
    <v>Construction &amp; Engineering</v>
    <v>Stock</v>
    <v>45971.737353541408</v>
    <v>27</v>
    <v>439.66</v>
    <v>66423677655</v>
    <v>QUANTA SERVICES, INC.</v>
    <v>QUANTA SERVICES, INC.</v>
    <v>455.67</v>
    <v>66.066000000000003</v>
    <v>445.01</v>
    <v>445.45</v>
    <v>149115900</v>
    <v>PWR</v>
    <v>QUANTA SERVICES, INC. (XNYS:PWR)</v>
    <v>301540</v>
    <v>1091305</v>
    <v>1997</v>
  </rv>
  <rv s="3">
    <v>28</v>
  </rv>
  <rv s="4">
    <v>en-IN</v>
    <v>ca2b5r</v>
    <v>268435456</v>
    <v>1</v>
    <v>Powered by Refinitiv</v>
    <v>9</v>
    <v>Ferrovial SE (XAMS:FER)</v>
    <v>10</v>
    <v>11</v>
    <v>Finance</v>
    <v>5</v>
    <v>57</v>
    <v>35.14</v>
    <v>0.76490000000000002</v>
    <v>0.6</v>
    <v>1.1082000000000002E-2</v>
    <v>EUR</v>
    <v>Ferrovial SE is a Netherlands-based company. The Company operates across four business segments: Construction, Toll Roads, Airports as well as Energy Infrastructure and Mobility. Construction segment consists of design and execution of all manner of public and private works, including most notably the construction of public infrastructure. Toll roads segment includes development, financing and operation of toll roads. Airports segment consists of development, financing and operation of airports. Energy Infrastructures and Mobility segment focuses on development, financing and operation of power transmission lines and renewable energy generation plants, mobility, waste management plants and services to the mining industry in Chile.</v>
    <v>22029</v>
    <v>Euronext Amsterdam</v>
    <v>XAMS</v>
    <v>XAMS</v>
    <v>Gustav Mahlerplein 61-63, Symphony Towers, 14Th Floor, AMSTERDAM, NOORD-HOLLAND, 1082 MS NL</v>
    <v>55.08</v>
    <v>Construction &amp; Engineering</v>
    <v>Stock</v>
    <v>45971.708333333336</v>
    <v>54.28</v>
    <v>39769540000</v>
    <v>Ferrovial SE</v>
    <v>Ferrovial SE</v>
    <v>54.96</v>
    <v>11.764699999999999</v>
    <v>54.14</v>
    <v>54.74</v>
    <v>733755400</v>
    <v>FER</v>
    <v>Ferrovial SE (XAMS:FER)</v>
    <v>369</v>
    <v>733400</v>
  </rv>
  <rv s="3">
    <v>30</v>
  </rv>
  <rv s="1">
    <v>https://www.bing.com/financeapi/forcetrigger?t=a1rwjc&amp;q=XNYS%3aEME&amp;form=skydnc</v>
    <v>Learn more on Bing</v>
  </rv>
  <rv s="2">
    <v>en-IN</v>
    <v>a1rwjc</v>
    <v>268435456</v>
    <v>1</v>
    <v>Powered by Refinitiv</v>
    <v>0</v>
    <v>EMCOR GROUP, INC. (XNYS:EME)</v>
    <v>2</v>
    <v>7</v>
    <v>Finance</v>
    <v>8</v>
    <v>778.63499999999999</v>
    <v>320.88499999999999</v>
    <v>1.1697</v>
    <v>3.07</v>
    <v>4.7279999999999996E-3</v>
    <v>USD</v>
    <v>EMCOR Group, Inc. is a specialty contractor. The Company provides mechanical and electrical construction services, industrial and energy infrastructure and building services. Its services are provided to a range of commercial, technology, manufacturing, industrial, healthcare, utility, and institutional customers through approximately 100 operating subsidiaries. Such operating subsidiaries are organized into the various reportable segments, including United States electrical construction and facilities services, United States mechanical construction and facilities services, United States building services, United States industrial services, and United Kingdom building services. Its electrical and mechanical construction services primarily involve the design, integration, installation, start-up, operation and maintenance, and provision of services relating to roadway and transit lighting and signaling and fiber optic lines, and fire protection and suppression systems.</v>
    <v>40400</v>
    <v>New York Stock Exchange</v>
    <v>XNYS</v>
    <v>XNYS</v>
    <v>301 Merritt Seven, NORWALK, CT, 06851-1092 US</v>
    <v>665.99990000000003</v>
    <v>Construction &amp; Engineering</v>
    <v>Stock</v>
    <v>45971.737327997653</v>
    <v>32</v>
    <v>646</v>
    <v>29205694722</v>
    <v>EMCOR GROUP, INC.</v>
    <v>EMCOR GROUP, INC.</v>
    <v>662.39</v>
    <v>26.235800000000001</v>
    <v>649.34</v>
    <v>652.41</v>
    <v>44765860</v>
    <v>EME</v>
    <v>EMCOR GROUP, INC. (XNYS:EME)</v>
    <v>106975</v>
    <v>523670</v>
    <v>1987</v>
  </rv>
  <rv s="3">
    <v>33</v>
  </rv>
  <rv s="1">
    <v>https://www.bing.com/financeapi/forcetrigger?t=a1sxp2&amp;q=XNYS%3aFIX&amp;form=skydnc</v>
    <v>Learn more on Bing</v>
  </rv>
  <rv s="2">
    <v>en-IN</v>
    <v>a1sxp2</v>
    <v>268435456</v>
    <v>1</v>
    <v>Powered by Refinitiv</v>
    <v>0</v>
    <v>COMFORT SYSTEMS USA, INC. (XNYS:FIX)</v>
    <v>2</v>
    <v>7</v>
    <v>Finance</v>
    <v>8</v>
    <v>1020.26</v>
    <v>276.44</v>
    <v>1.6448</v>
    <v>20.329999999999998</v>
    <v>2.1282000000000002E-2</v>
    <v>USD</v>
    <v>Comfort Systems USA, Inc. is a provider of commercial, industrial and institutional heating, ventilation, air conditioning (HVAC) and electrical contracting services. The Company operates through two segments: Mechanical and Electrical. The Mechanical segment includes HVAC, plumbing, piping, and controls, as well as off-site construction, monitoring and fire protection. It also installs connecting and distribution elements, such as piping and ducting. The Electrical segment includes installation and servicing of electrical systems. It builds, installs, maintains, repairs and replaces mechanical, electrical and plumbing (MEP) systems throughout its 47 operating units with 178 locations in 136 cities across the nation. It is engaged in offering engineering, design-assist and turnkey, direct hire construction services of modular systems serving the advanced technology, power and industrial sectors. It also provides mechanical construction services to the commercial and industrial sectors.</v>
    <v>18300</v>
    <v>New York Stock Exchange</v>
    <v>XNYS</v>
    <v>XNYS</v>
    <v>9753 Katy Freeway, Suite 700, HOUSTON, TX, 77024 US</v>
    <v>994</v>
    <v>Construction &amp; Engineering</v>
    <v>Stock</v>
    <v>45971.737330404685</v>
    <v>35</v>
    <v>965.05</v>
    <v>34410961700</v>
    <v>COMFORT SYSTEMS USA, INC.</v>
    <v>COMFORT SYSTEMS USA, INC.</v>
    <v>980</v>
    <v>41.312800000000003</v>
    <v>955.26</v>
    <v>975.59</v>
    <v>35271950</v>
    <v>FIX</v>
    <v>COMFORT SYSTEMS USA, INC. (XNYS:FIX)</v>
    <v>112765</v>
    <v>397380</v>
    <v>1996</v>
  </rv>
  <rv s="3">
    <v>36</v>
  </rv>
  <rv s="1">
    <v>https://www.bing.com/financeapi/forcetrigger?t=ab1tu2&amp;q=XTSE%3aWSP&amp;form=skydnc</v>
    <v>Learn more on Bing</v>
  </rv>
  <rv s="2">
    <v>en-IN</v>
    <v>ab1tu2</v>
    <v>268435456</v>
    <v>1</v>
    <v>Powered by Refinitiv</v>
    <v>0</v>
    <v>WSP GLOBAL INC. (XTSE:WSP)</v>
    <v>2</v>
    <v>12</v>
    <v>Finance</v>
    <v>13</v>
    <v>291.45999999999998</v>
    <v>217.42</v>
    <v>0.67920000000000003</v>
    <v>-1.1200000000000001</v>
    <v>-4.3439999999999998E-3</v>
    <v>CAD</v>
    <v>WSP Global Inc. is a Canada-based professional services company. The Company provides strategic advisory, engineering and design services to clients in the transport and infrastructure, earth and environment, property and buildings, and power and energy sectors. In addition to these sectors, it also offers highly specialized services in project and program delivery and advisory services. Its segments include Canada, Americas (United States of America (US) and Latin America), EMEIA (Europe, Middle East, India and Africa) and APAC (Asia Pacific, comprising Asia, Australia and New Zealand). It offers a variety of professional services throughout all project execution phases, from the initial development and planning studies through to the project and program management, design, construction management, commissioning and maintenance phases. Its services include 3D Laser Scanning, Advisory Services, Bridge Planning, Chemical Regulatory Compliance Services, Demand forecasting, and others.</v>
    <v>72400</v>
    <v>Toronto Stock Exchange</v>
    <v>XTSE</v>
    <v>XTSE</v>
    <v>1600 Boulevard Rene-Levesque West, 11Th Floor, MONTREAL, QC, H3H 1P9 CA</v>
    <v>259.91000000000003</v>
    <v>Construction &amp; Engineering</v>
    <v>Stock</v>
    <v>45971.726550925923</v>
    <v>38</v>
    <v>256.41000000000003</v>
    <v>33528302666</v>
    <v>WSP GLOBAL INC.</v>
    <v>WSP GLOBAL INC.</v>
    <v>259.91000000000003</v>
    <v>38.403100000000002</v>
    <v>257.83</v>
    <v>256.70999999999998</v>
    <v>130607700</v>
    <v>WSP</v>
    <v>WSP GLOBAL INC. (XTSE:WSP)</v>
    <v>59584</v>
    <v>315580</v>
    <v>2014</v>
  </rv>
  <rv s="3">
    <v>39</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ExchangeID</v>
      <v t="s">%ProviderInfo</v>
    </a>
  </spbArrays>
  <spbData count="14">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 s="3">
      <v>10</v>
      <v>2</v>
      <v>2</v>
      <v>10</v>
      <v>3</v>
      <v>10</v>
      <v>10</v>
      <v>10</v>
      <v>4</v>
      <v>4</v>
      <v>5</v>
      <v>11</v>
      <v>10</v>
      <v>10</v>
      <v>10</v>
      <v>4</v>
      <v>7</v>
      <v>8</v>
      <v>9</v>
      <v>4</v>
    </spb>
    <spb s="3">
      <v>12</v>
      <v>2</v>
      <v>2</v>
      <v>12</v>
      <v>3</v>
      <v>12</v>
      <v>12</v>
      <v>12</v>
      <v>4</v>
      <v>4</v>
      <v>5</v>
      <v>13</v>
      <v>12</v>
      <v>12</v>
      <v>12</v>
      <v>4</v>
      <v>7</v>
      <v>8</v>
      <v>9</v>
      <v>4</v>
    </spb>
    <spb s="5">
      <v>Real-Time Nasdaq Last Sale</v>
      <v>from previous close</v>
      <v>from previous close</v>
      <v>Source: Nasdaq Last Sale</v>
      <v>GMT</v>
    </spb>
    <spb s="6">
      <v>1</v>
      <v>Name</v>
    </spb>
    <spb s="7">
      <v>1</v>
      <v>1</v>
      <v>1</v>
    </spb>
    <spb s="8">
      <v>10</v>
      <v>2</v>
      <v>2</v>
      <v>10</v>
      <v>3</v>
      <v>10</v>
      <v>10</v>
      <v>10</v>
      <v>4</v>
      <v>4</v>
      <v>5</v>
      <v>11</v>
      <v>10</v>
      <v>10</v>
      <v>10</v>
      <v>4</v>
      <v>7</v>
      <v>9</v>
      <v>4</v>
    </spb>
    <spb s="3">
      <v>14</v>
      <v>2</v>
      <v>2</v>
      <v>14</v>
      <v>3</v>
      <v>14</v>
      <v>14</v>
      <v>14</v>
      <v>4</v>
      <v>4</v>
      <v>5</v>
      <v>15</v>
      <v>14</v>
      <v>14</v>
      <v>14</v>
      <v>4</v>
      <v>7</v>
      <v>8</v>
      <v>9</v>
      <v>4</v>
    </spb>
    <spb s="4">
      <v>Delayed 20 minutes</v>
      <v>from previous close</v>
      <v>from previous close</v>
      <v>GMT</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Price" t="s"/>
    <k n="Change" t="s"/>
    <k n="Change (%)" t="s"/>
    <k n="ExchangeID" t="s"/>
    <k n="Last trade time" t="s"/>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1">
      <rpv i="0">_([$€-x-euro2] * #,##0.00_);_([$€-x-euro2] * (#,##0.00);_([$€-x-euro2] * "-"??_);_(@_)</rpv>
    </rSty>
    <rSty dxfid="1">
      <rpv i="0">_([$€-x-euro2] * #,##0_);_([$€-x-euro2] * (#,##0);_([$€-x-euro2] * "-"_);_(@_)</rpv>
    </rSty>
    <rSty dxfid="1">
      <rpv i="0">_([$$-en-US]* #,##0.00_);_([$$-en-US]* (#,##0.00);_([$$-en-US]* "-"??_);_(@_)</rpv>
    </rSty>
    <rSty dxfid="1">
      <rpv i="0">_([$$-en-US]* #,##0_);_([$$-en-US]* (#,##0);_([$$-en-US]* "-"_);_(@_)</rpv>
    </rSty>
    <rSty dxfid="1">
      <rpv i="0">_-[$$-en-CA]* #,##0.00_-;-[$$-en-CA]* #,##0.00_-;_-[$$-en-CA]* "-"??_-;_-@_-</rpv>
    </rSty>
    <rSty dxfid="1">
      <rpv i="0">_-[$$-en-CA]* #,##0_-;-[$$-en-CA]* #,##0_-;_-[$$-en-CA]*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A18B60-4D84-41F8-9972-35B06B5FE2E4}" name="Table1" displayName="Table1" ref="A3:G67" totalsRowShown="0" headerRowDxfId="433" dataDxfId="432" tableBorderDxfId="431">
  <autoFilter ref="A3:G67" xr:uid="{87A18B60-4D84-41F8-9972-35B06B5FE2E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E26347-11B3-4BE1-AC52-4ECD2C12220F}" name="Particulars" dataDxfId="430"/>
    <tableColumn id="2" xr3:uid="{1D96FB64-D2CB-41DA-A100-0C2A52CB09B0}" name="2020" dataDxfId="429"/>
    <tableColumn id="3" xr3:uid="{50DEFB61-D7C1-4521-A38E-C868C3CAFAF0}" name="2021" dataDxfId="428"/>
    <tableColumn id="4" xr3:uid="{7D8F635A-3873-402D-927B-7E354ECD4AB8}" name="2022" dataDxfId="427"/>
    <tableColumn id="5" xr3:uid="{65F8E22B-CE2F-4209-8D6B-40910D759E11}" name="2023" dataDxfId="426"/>
    <tableColumn id="6" xr3:uid="{D77E099E-FCCE-4490-9957-27A55BF05E2E}" name="2024" dataDxfId="425"/>
    <tableColumn id="7" xr3:uid="{A412EC0B-1E4B-4BB2-82F9-14E3084B4687}" name="2025" dataDxfId="424"/>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2AB914-CA98-47CC-A505-FB88E0686AA8}" name="Table2" displayName="Table2" ref="I3:O65" totalsRowShown="0" headerRowDxfId="423" dataDxfId="421" headerRowBorderDxfId="422" tableBorderDxfId="420">
  <autoFilter ref="I3:O65" xr:uid="{4C2AB914-CA98-47CC-A505-FB88E0686AA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3532A28-D6CE-461A-8614-6E051E0D9E89}" name="Particulars" dataDxfId="419"/>
    <tableColumn id="2" xr3:uid="{7057E402-0C24-4D4B-92AD-7A83585594C3}" name="2020" dataDxfId="418"/>
    <tableColumn id="3" xr3:uid="{0988F213-BA3C-4953-9222-FE7FAC4AB050}" name="2021" dataDxfId="417"/>
    <tableColumn id="4" xr3:uid="{172C5C7E-0933-4513-9B11-18DD97204148}" name="2022" dataDxfId="416"/>
    <tableColumn id="5" xr3:uid="{985D5B43-A627-46E3-951C-B63A13179BAE}" name="2023" dataDxfId="415"/>
    <tableColumn id="6" xr3:uid="{15725B29-688D-416C-ABBA-36D07A2A4C32}" name="2024" dataDxfId="414"/>
    <tableColumn id="7" xr3:uid="{952B2E31-3314-48E5-A9EB-AD06718E8A52}" name="2025" dataDxfId="413"/>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0C6591-D974-4B66-9816-56CCA9B75275}" name="Table3" displayName="Table3" ref="Q3:W58" totalsRowShown="0" headerRowDxfId="412" dataDxfId="410" headerRowBorderDxfId="411" tableBorderDxfId="409">
  <autoFilter ref="Q3:W58" xr:uid="{B00C6591-D974-4B66-9816-56CCA9B7527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FDA2BD5-A826-4CA7-A889-B88C7A3EC628}" name="Particulars" dataDxfId="408"/>
    <tableColumn id="2" xr3:uid="{8C8C8DF2-B63C-49B9-B7CF-FBFDC02C6C47}" name="2020" dataDxfId="407"/>
    <tableColumn id="3" xr3:uid="{064A5C0D-9DE8-45DC-9ED1-36FBC8D24A6E}" name="2021" dataDxfId="406"/>
    <tableColumn id="4" xr3:uid="{E17DF54F-BE9C-457C-BF0E-798E2ABF8EBE}" name="2022" dataDxfId="405"/>
    <tableColumn id="5" xr3:uid="{96987E1B-6D2F-46F9-A529-C8F1492B55FA}" name="2023" dataDxfId="404"/>
    <tableColumn id="6" xr3:uid="{CBF78678-23DF-4E10-90EA-2FFFE119CDEC}" name="2024" dataDxfId="403"/>
    <tableColumn id="7" xr3:uid="{4A1BC9AD-1419-4D3C-B65A-3A45E1E25E17}" name="2025" dataDxfId="402"/>
  </tableColumns>
  <tableStyleInfo name="TableStyleMedium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561ED5-1D58-4ABB-8357-7D2188B1BE38}" name="Table4" displayName="Table4" ref="Y3:AE60" totalsRowShown="0" headerRowDxfId="401" dataDxfId="399" headerRowBorderDxfId="400" tableBorderDxfId="398">
  <autoFilter ref="Y3:AE60" xr:uid="{FB561ED5-1D58-4ABB-8357-7D2188B1BE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D508175-42AD-463B-B1AA-1BF4ABB21993}" name="Particulars" dataDxfId="397"/>
    <tableColumn id="2" xr3:uid="{03E23809-976A-4BEF-B9CB-8BC7F1485F06}" name="2020" dataDxfId="396"/>
    <tableColumn id="3" xr3:uid="{B829B903-0F10-4BEC-A9B4-177B048D38CA}" name="2021" dataDxfId="395"/>
    <tableColumn id="4" xr3:uid="{AFC8868D-A1CC-4D4B-9D37-3E0732CA7FF8}" name="2022" dataDxfId="394"/>
    <tableColumn id="5" xr3:uid="{F304A8C5-F91A-4994-BBDD-B5CB5F3690BA}" name="2023" dataDxfId="393"/>
    <tableColumn id="6" xr3:uid="{7BC21034-A01B-4BE4-A244-90BA4534D5F3}" name="2024" dataDxfId="392"/>
    <tableColumn id="7" xr3:uid="{29F18652-713C-4F80-9975-3717D122B51F}" name="2025" dataDxfId="391"/>
  </tableColumns>
  <tableStyleInfo name="TableStyleMedium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A09ADF-5941-4D32-8099-9067C34AB934}" name="Table5" displayName="Table5" ref="AG3:AM56" totalsRowShown="0" headerRowDxfId="390" dataDxfId="388" headerRowBorderDxfId="389" tableBorderDxfId="387">
  <autoFilter ref="AG3:AM56" xr:uid="{8AA09ADF-5941-4D32-8099-9067C34AB9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41E5AA-098E-4862-BDCB-401006BBC8A9}" name="Particulars" dataDxfId="386"/>
    <tableColumn id="2" xr3:uid="{F8D3F46D-3E78-4099-B1D3-7B8A1EB293E8}" name="2020" dataDxfId="385"/>
    <tableColumn id="3" xr3:uid="{56D6D9B9-D87F-46DF-9A49-AAACF7E9B015}" name="2021" dataDxfId="384"/>
    <tableColumn id="4" xr3:uid="{2D640834-265D-4C65-B2E9-0CF27B8FF4B9}" name="2022" dataDxfId="383"/>
    <tableColumn id="5" xr3:uid="{5E20DB61-DC5A-4C93-8086-E02F8AE741AE}" name="2023" dataDxfId="382"/>
    <tableColumn id="6" xr3:uid="{3B0914F2-DF3D-43BA-8195-618646B13D77}" name="2024" dataDxfId="381"/>
    <tableColumn id="7" xr3:uid="{D37D9592-B890-4FD1-AE9C-9CD21242EB08}" name="2025" dataDxfId="380"/>
  </tableColumns>
  <tableStyleInfo name="TableStyleMedium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53E3A7-C29F-4FE7-B41F-EF3BB50AD9F5}" name="Table6" displayName="Table6" ref="A3:G30" totalsRowShown="0" headerRowDxfId="379" dataDxfId="377" headerRowBorderDxfId="378" tableBorderDxfId="376">
  <autoFilter ref="A3:G30" xr:uid="{F253E3A7-C29F-4FE7-B41F-EF3BB50AD9F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9159EA9-8B2F-4253-A3F5-3A416118359A}" name="Particulars" dataDxfId="375"/>
    <tableColumn id="2" xr3:uid="{5B34C175-3C8C-4BBF-AD88-1BF2C8990FBF}" name="2020" dataDxfId="374"/>
    <tableColumn id="3" xr3:uid="{8CD288D9-46C6-4A71-A7C0-3A48FDA929E3}" name="2021" dataDxfId="373"/>
    <tableColumn id="4" xr3:uid="{1655F8B8-6F83-433E-8F90-D682BB1A7E27}" name="2022" dataDxfId="372"/>
    <tableColumn id="5" xr3:uid="{D3E0F19F-7CBA-4A76-9F14-1C86EECA783A}" name="2023" dataDxfId="371"/>
    <tableColumn id="6" xr3:uid="{7B9B5B93-6F92-42D0-93DC-718BA3DEE01B}" name="2024" dataDxfId="370"/>
    <tableColumn id="7" xr3:uid="{C41A974E-3745-497D-B962-4C0638004DD5}" name="2025" dataDxfId="369"/>
  </tableColumns>
  <tableStyleInfo name="TableStyleMedium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057FDB-D7B2-469F-B53C-BED499EB2F7E}" name="Table7" displayName="Table7" ref="I3:O27" totalsRowShown="0" headerRowDxfId="368" dataDxfId="366" headerRowBorderDxfId="367" tableBorderDxfId="365">
  <autoFilter ref="I3:O27" xr:uid="{8C057FDB-D7B2-469F-B53C-BED499EB2F7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A6B696-AF34-4C21-A3E7-886D7019D165}" name="Particulars" dataDxfId="364"/>
    <tableColumn id="2" xr3:uid="{A285C264-27B8-4C4A-948E-388C9267945C}" name="2020" dataDxfId="363"/>
    <tableColumn id="3" xr3:uid="{66D2A626-88F5-431C-803F-34FAAFC26613}" name="2021" dataDxfId="362"/>
    <tableColumn id="4" xr3:uid="{A2842054-8FD3-4943-A028-0D1001904CCC}" name="2022" dataDxfId="361"/>
    <tableColumn id="5" xr3:uid="{5E30CE82-F3DC-40A5-9990-46084911ECE1}" name="2023" dataDxfId="360"/>
    <tableColumn id="6" xr3:uid="{E5F7172C-CA87-4351-B8F2-93280BBCF675}" name="2024" dataDxfId="359"/>
    <tableColumn id="7" xr3:uid="{FD40848F-74D8-461E-97B8-39C7EC6E2336}" name="2025" dataDxfId="358"/>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795424-B35C-4222-A65D-2A9A4E47374F}" name="Table8" displayName="Table8" ref="Q3:W24" totalsRowShown="0" headerRowDxfId="357" dataDxfId="355" headerRowBorderDxfId="356" tableBorderDxfId="354">
  <autoFilter ref="Q3:W24" xr:uid="{AC795424-B35C-4222-A65D-2A9A4E47374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E04D475-5A02-4363-B637-DDD9B31FBA6A}" name="Particulars" dataDxfId="353"/>
    <tableColumn id="2" xr3:uid="{8DC062EF-BE08-4400-B31B-583E1598D791}" name="2020" dataDxfId="352"/>
    <tableColumn id="3" xr3:uid="{729AA38D-4879-4502-AEE1-1579CDDEB0A3}" name="2021" dataDxfId="351"/>
    <tableColumn id="4" xr3:uid="{30AF0D38-2AFF-48AA-ADA6-73E7B3770088}" name="2022" dataDxfId="350"/>
    <tableColumn id="5" xr3:uid="{7E76ED5B-4646-41DD-83A1-01B4745515C9}" name="2023" dataDxfId="349"/>
    <tableColumn id="6" xr3:uid="{96FBA589-DC81-47EF-BB81-EA8B1DDB7B59}" name="2024" dataDxfId="348"/>
    <tableColumn id="7" xr3:uid="{AC69969C-781E-4C08-BEE5-AA64316BF118}" name="2025" dataDxfId="347"/>
  </tableColumns>
  <tableStyleInfo name="TableStyleMedium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B88092-95AA-4CD1-8A34-DEFAFE1A91C5}" name="Table9" displayName="Table9" ref="Y3:AE42" totalsRowShown="0" headerRowDxfId="346" dataDxfId="344" headerRowBorderDxfId="345" tableBorderDxfId="343">
  <autoFilter ref="Y3:AE42" xr:uid="{88B88092-95AA-4CD1-8A34-DEFAFE1A91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434736-513B-4C1A-B754-3F1B82E535F2}" name="Particulars" dataDxfId="342"/>
    <tableColumn id="2" xr3:uid="{CD51E1B4-2973-44E9-9E50-3B5F1AB1DEB1}" name="2020" dataDxfId="341"/>
    <tableColumn id="3" xr3:uid="{3481A62B-3128-4EBC-8847-16294E0041FE}" name="2021" dataDxfId="340"/>
    <tableColumn id="4" xr3:uid="{8DC42D89-4F92-49FC-A7CB-E9C53A35367E}" name="2022" dataDxfId="339"/>
    <tableColumn id="5" xr3:uid="{8FC00768-3ECC-4018-9430-68DC55A3C393}" name="2023" dataDxfId="338"/>
    <tableColumn id="6" xr3:uid="{E4E9BC42-B2F7-48BE-B1B6-3FA27352B58C}" name="2024" dataDxfId="337"/>
    <tableColumn id="7" xr3:uid="{A1C1DE67-F62D-4349-8287-16D46B01723D}" name="2025" dataDxfId="336"/>
  </tableColumns>
  <tableStyleInfo name="TableStyleMedium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54C546D-759E-4444-BDB4-FC0F16B84B86}" name="Table10" displayName="Table10" ref="AG3:AM25" totalsRowShown="0" headerRowDxfId="335" dataDxfId="333" headerRowBorderDxfId="334" tableBorderDxfId="332">
  <autoFilter ref="AG3:AM25" xr:uid="{654C546D-759E-4444-BDB4-FC0F16B84B8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64D1B77-9C03-450D-9FFA-5744F15DDDE4}" name="Particulars" dataDxfId="331"/>
    <tableColumn id="2" xr3:uid="{D6751F58-E914-45FA-B52B-FD25D38B1A39}" name="2020" dataDxfId="330"/>
    <tableColumn id="3" xr3:uid="{4CD5AEE3-EF47-4E80-A34D-80153684A000}" name="2021" dataDxfId="329"/>
    <tableColumn id="4" xr3:uid="{DDF0D154-7AD7-46EC-8211-DAA151ADED6B}" name="2022" dataDxfId="328"/>
    <tableColumn id="5" xr3:uid="{D7EB2AFA-DFE4-4887-8499-9FFFD41A4304}" name="2023" dataDxfId="327"/>
    <tableColumn id="6" xr3:uid="{1B118EB7-4532-4602-B1E2-D3C618B1FF22}" name="2024" dataDxfId="326"/>
    <tableColumn id="7" xr3:uid="{F0B54E9D-7999-48C9-8CA7-451A07746C86}" name="2025" dataDxfId="325"/>
  </tableColumns>
  <tableStyleInfo name="TableStyleMedium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1657ED-864B-4F4B-B931-734F6698E051}" name="Table11" displayName="Table11" ref="A3:G78" totalsRowShown="0" headerRowDxfId="324" dataDxfId="322" headerRowBorderDxfId="323" tableBorderDxfId="321">
  <autoFilter ref="A3:G78" xr:uid="{7E1657ED-864B-4F4B-B931-734F6698E0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1E8122-E210-43FE-A90A-EC36177C0DEF}" name="Particulars" dataDxfId="320"/>
    <tableColumn id="2" xr3:uid="{1C31690E-B67B-40C7-8908-222EFCE6C045}" name="2020" dataDxfId="319"/>
    <tableColumn id="3" xr3:uid="{7E0697A7-F8B3-4DB4-943C-5FE3FE77B62F}" name="2021" dataDxfId="318"/>
    <tableColumn id="4" xr3:uid="{35E6EF90-1730-40DA-88B5-687D05B67BD5}" name="2022" dataDxfId="317"/>
    <tableColumn id="5" xr3:uid="{F2BCDF1F-06B9-40C9-9918-74ADAFEFF627}" name="2023" dataDxfId="316"/>
    <tableColumn id="6" xr3:uid="{72136ABA-2AE1-4790-B48E-28CF6EA4602D}" name="2024" dataDxfId="315"/>
    <tableColumn id="7" xr3:uid="{921C801A-D5CD-452D-92D6-B00C5EACA81A}" name="2025" dataDxfId="314"/>
  </tableColumns>
  <tableStyleInfo name="TableStyleMedium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C682F79-1E4C-4D16-85C6-0D38CA4FC115}" name="Table12" displayName="Table12" ref="I3:O62" totalsRowShown="0" headerRowDxfId="313" dataDxfId="311" headerRowBorderDxfId="312" tableBorderDxfId="310">
  <autoFilter ref="I3:O62" xr:uid="{AC682F79-1E4C-4D16-85C6-0D38CA4FC1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5EA308-30A0-49A6-9843-D607A9DB1C97}" name="Particulars" dataDxfId="309"/>
    <tableColumn id="2" xr3:uid="{46A93A8C-0E71-4FDF-9913-745B76888AF8}" name="2020" dataDxfId="308"/>
    <tableColumn id="3" xr3:uid="{B3A210C0-B916-44A5-9C80-3DABF5A84CD4}" name="2021" dataDxfId="307"/>
    <tableColumn id="4" xr3:uid="{608E4A73-A122-41CB-AFFE-0FE51F521370}" name="2022" dataDxfId="306"/>
    <tableColumn id="5" xr3:uid="{3A1591A6-57A7-4C8F-A017-5E2E225DC8C0}" name="2023" dataDxfId="305"/>
    <tableColumn id="6" xr3:uid="{C0A3A134-1D42-4FE1-A2EA-9B2021184730}" name="2024" dataDxfId="304"/>
    <tableColumn id="7" xr3:uid="{DDBE71B4-D17D-478C-A3E5-4E8E6851439D}" name="2025" dataDxfId="303"/>
  </tableColumns>
  <tableStyleInfo name="TableStyleMedium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9706D76-49E6-4D6B-9E5D-A84317412077}" name="Table13" displayName="Table13" ref="Q3:W54" totalsRowShown="0" headerRowDxfId="302" dataDxfId="300" headerRowBorderDxfId="301" tableBorderDxfId="299">
  <autoFilter ref="Q3:W54" xr:uid="{29706D76-49E6-4D6B-9E5D-A843174120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BDABB30-21E1-47C3-B7B3-0B9E049A1367}" name="Particulars" dataDxfId="298"/>
    <tableColumn id="2" xr3:uid="{9D907772-2185-4601-A7BA-2A538CF263F5}" name="2020" dataDxfId="297"/>
    <tableColumn id="3" xr3:uid="{12048F4C-952E-437D-BCE5-2338B9BE63BC}" name="2021" dataDxfId="296"/>
    <tableColumn id="4" xr3:uid="{E2B8A424-B669-4B19-A276-59186E22A872}" name="2022" dataDxfId="295"/>
    <tableColumn id="5" xr3:uid="{D74AE84E-1BFA-47F6-B867-C94458582FAB}" name="2023" dataDxfId="294"/>
    <tableColumn id="6" xr3:uid="{FCB46C6D-48D5-443B-B51F-103E99736F3C}" name="2024" dataDxfId="293"/>
    <tableColumn id="7" xr3:uid="{ED77C725-F6B6-4074-92D1-9E98AF4DE4F2}" name="2025" dataDxfId="292"/>
  </tableColumns>
  <tableStyleInfo name="TableStyleMedium1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7F1EDC2-AB68-4080-98C6-21E54B5BEED5}" name="Table14" displayName="Table14" ref="Y3:AE74" totalsRowShown="0" headerRowDxfId="291" dataDxfId="289" headerRowBorderDxfId="290" tableBorderDxfId="288">
  <autoFilter ref="Y3:AE74" xr:uid="{F7F1EDC2-AB68-4080-98C6-21E54B5BEED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2D0815-FC08-4946-8AA2-B24C86F08ECB}" name="Particulars" dataDxfId="287"/>
    <tableColumn id="2" xr3:uid="{D9EBB45D-BE1F-4336-85F0-02CDD711F85E}" name="2020" dataDxfId="286"/>
    <tableColumn id="3" xr3:uid="{FE2C9FF0-67BB-408B-9134-9A6FBBF1898E}" name="2021" dataDxfId="285"/>
    <tableColumn id="4" xr3:uid="{545A9941-03CC-4E8C-AB7E-6BA1CC293D6E}" name="2022" dataDxfId="284"/>
    <tableColumn id="5" xr3:uid="{4F1FD10E-4DB6-4E8C-B6F6-3B0DDF35AE83}" name="2023" dataDxfId="283"/>
    <tableColumn id="6" xr3:uid="{AECBE71A-369D-4DBD-9259-FE98F63E2D9C}" name="2024" dataDxfId="282"/>
    <tableColumn id="7" xr3:uid="{C08F5437-98F8-441E-B3F2-5F3846B4EF37}" name="2025" dataDxfId="281"/>
  </tableColumns>
  <tableStyleInfo name="TableStyleMedium1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DCAC48C-7B32-4B7E-B137-68E2833826D2}" name="Table15" displayName="Table15" ref="AG3:AM56" totalsRowShown="0" headerRowDxfId="280" dataDxfId="278" headerRowBorderDxfId="279" tableBorderDxfId="277">
  <autoFilter ref="AG3:AM56" xr:uid="{8DCAC48C-7B32-4B7E-B137-68E2833826D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025780-7825-4F9C-84D0-EA0A9C9D9C78}" name="Particulars" dataDxfId="276"/>
    <tableColumn id="2" xr3:uid="{76F0821B-DDA6-4A6B-BE90-449DB4CC7E86}" name="2020" dataDxfId="275"/>
    <tableColumn id="3" xr3:uid="{9F8D7E50-1321-4BB8-9AB0-49E370748AAC}" name="2021" dataDxfId="274"/>
    <tableColumn id="4" xr3:uid="{36832AD9-DC28-4F5F-ACB3-7A99EE8D32F9}" name="2022" dataDxfId="273"/>
    <tableColumn id="5" xr3:uid="{F45254B6-2AB6-463E-A300-26166339B4D9}" name="2023" dataDxfId="272"/>
    <tableColumn id="6" xr3:uid="{4FB1AE23-6EBA-40AE-B81A-144921DF4926}" name="2024" dataDxfId="271"/>
    <tableColumn id="7" xr3:uid="{A5D5B93A-3B62-4267-92F8-FB081BDC155C}" name="2025" dataDxfId="270"/>
  </tableColumns>
  <tableStyleInfo name="TableStyleMedium1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DFD847-E235-4127-9F03-C3371BCA6A34}" name="RA_AP" displayName="RA_AP" ref="A3:G26" totalsRowShown="0" headerRowDxfId="269" dataDxfId="267" headerRowBorderDxfId="268" tableBorderDxfId="266">
  <autoFilter ref="A3:G26" xr:uid="{6ADFD847-E235-4127-9F03-C3371BCA6A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B8B63A3-A82E-41B5-BD8A-DFEE6ADBBB9B}" name="Ratio" dataDxfId="265"/>
    <tableColumn id="2" xr3:uid="{963620E6-4F8D-4B7D-A790-7ABBB284ABC6}" name="2020" dataDxfId="264"/>
    <tableColumn id="3" xr3:uid="{10E9CB1F-79C5-40C5-8399-FC847B543D7A}" name="2021" dataDxfId="263"/>
    <tableColumn id="4" xr3:uid="{819446BA-CF22-4DE5-9722-5DEB3D2492CD}" name="2022" dataDxfId="262"/>
    <tableColumn id="5" xr3:uid="{59496A92-48D6-45CE-8F66-02FB57330EE8}" name="2023" dataDxfId="261"/>
    <tableColumn id="6" xr3:uid="{22C94B3A-3D29-4E57-A2D0-B9D732D0E7E6}" name="2024" dataDxfId="260"/>
    <tableColumn id="7" xr3:uid="{87C79F21-6574-4E31-81E5-34028D42FEA6}" name="2025" dataDxfId="259"/>
  </tableColumns>
  <tableStyleInfo name="TableStyleMedium2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F020269-5520-41C3-9FD5-1C1F7A09EA30}" name="RA_KALP" displayName="RA_KALP" ref="I3:O26" totalsRowShown="0" headerRowDxfId="258" dataDxfId="256" headerRowBorderDxfId="257" tableBorderDxfId="255">
  <autoFilter ref="I3:O26" xr:uid="{5F020269-5520-41C3-9FD5-1C1F7A09EA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4DE03D5-48EF-4505-8C64-4E416C39DD5B}" name="Ratio" dataDxfId="254"/>
    <tableColumn id="2" xr3:uid="{986F691F-35D3-4448-B55E-6B26ACA055CE}" name="2020" dataDxfId="253"/>
    <tableColumn id="3" xr3:uid="{AC7467CD-F96B-4EE3-9898-9ECB4559356F}" name="2021" dataDxfId="252"/>
    <tableColumn id="4" xr3:uid="{1C6927AF-A0CF-41A5-86AB-28B86DD6BF6B}" name="2022" dataDxfId="251"/>
    <tableColumn id="5" xr3:uid="{31307115-88A6-4631-A08F-1D670D6F8E0E}" name="2023" dataDxfId="250"/>
    <tableColumn id="6" xr3:uid="{8BA39759-772E-4A86-884B-6A454122B6C9}" name="2024" dataDxfId="249"/>
    <tableColumn id="7" xr3:uid="{4BF08D12-C50B-4DB8-8745-01B68AA9B4EE}" name="2025" dataDxfId="248"/>
  </tableColumns>
  <tableStyleInfo name="TableStyleMedium2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EAF274-78AB-4996-89AD-FE1C30A12F5F}" name="RA_KEC" displayName="RA_KEC" ref="Q3:W26" totalsRowShown="0" headerRowDxfId="247" dataDxfId="245" headerRowBorderDxfId="246" tableBorderDxfId="244">
  <autoFilter ref="Q3:W26" xr:uid="{B6EAF274-78AB-4996-89AD-FE1C30A12F5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DF1C130-C735-40B3-A64F-B5F0D7721991}" name="Ratio" dataDxfId="243"/>
    <tableColumn id="2" xr3:uid="{B7A8C132-AE46-4A66-8D26-4B4F4BD716A8}" name="2020" dataDxfId="242"/>
    <tableColumn id="3" xr3:uid="{E8590741-6292-43E6-97C5-29F67A4F56D3}" name="2021" dataDxfId="241"/>
    <tableColumn id="4" xr3:uid="{59413998-86F6-412A-A135-9D8B3645A2EF}" name="2022" dataDxfId="240"/>
    <tableColumn id="5" xr3:uid="{C1380A13-465A-487A-B904-E9B87008BE5A}" name="2023" dataDxfId="239"/>
    <tableColumn id="6" xr3:uid="{A0FB5058-5C6B-4A33-B868-C70E249294C6}" name="2024" dataDxfId="238"/>
    <tableColumn id="7" xr3:uid="{9F0B9563-D680-4647-ACB6-8D2ECE35D05D}" name="2025" dataDxfId="237"/>
  </tableColumns>
  <tableStyleInfo name="TableStyleMedium2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8DA82CD-A586-4A80-A8C6-0966292A0022}" name="RA_LT" displayName="RA_LT" ref="Y3:AE26" totalsRowShown="0" headerRowDxfId="236" dataDxfId="234" headerRowBorderDxfId="235" tableBorderDxfId="233">
  <autoFilter ref="Y3:AE26" xr:uid="{C8DA82CD-A586-4A80-A8C6-0966292A002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0F4DB98-0AC6-4AA9-811F-8BE068660A10}" name="Ratio" dataDxfId="232"/>
    <tableColumn id="2" xr3:uid="{459A8EF8-EAA4-496F-A396-D7C5FB035ABD}" name="2020" dataDxfId="231"/>
    <tableColumn id="3" xr3:uid="{86D0E49D-4BCD-4A36-B092-638D23BBB986}" name="2021" dataDxfId="230"/>
    <tableColumn id="4" xr3:uid="{FFAF832E-1D34-4719-AA8A-5F5FB555A3C0}" name="2022" dataDxfId="229"/>
    <tableColumn id="5" xr3:uid="{76F98B24-AFBA-4CA8-98D2-2F25EED60152}" name="2023" dataDxfId="228"/>
    <tableColumn id="6" xr3:uid="{1DE0CBD4-62FA-42F8-BB7A-55A77200A5EE}" name="2024" dataDxfId="227"/>
    <tableColumn id="7" xr3:uid="{379F811A-DD74-41CE-A10F-7BF216FA4DEB}" name="2025" dataDxfId="226"/>
  </tableColumns>
  <tableStyleInfo name="TableStyleMedium2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62B33B5-BDF0-4E68-87D1-398C714F2C84}" name="RA_RVNL" displayName="RA_RVNL" ref="AG3:AM26" totalsRowShown="0" headerRowDxfId="225" dataDxfId="223" headerRowBorderDxfId="224" tableBorderDxfId="222">
  <autoFilter ref="AG3:AM26" xr:uid="{162B33B5-BDF0-4E68-87D1-398C714F2C8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CEE6A1F-E4AB-4ADB-8C8A-E2A37B9DB460}" name="Ratio" dataDxfId="221"/>
    <tableColumn id="2" xr3:uid="{C86C8EC4-F4C0-42D9-B1E8-9B8B307A4860}" name="2020" dataDxfId="220"/>
    <tableColumn id="3" xr3:uid="{8A48EF41-DD13-4355-9BE2-33F8AC21C3A8}" name="2021" dataDxfId="219"/>
    <tableColumn id="4" xr3:uid="{2B65CBC5-197C-43A4-AC27-4209782D0913}" name="2022" dataDxfId="218"/>
    <tableColumn id="5" xr3:uid="{7A74C2D2-84B3-4DEC-BB6E-EC5334EC0B5D}" name="2023" dataDxfId="217"/>
    <tableColumn id="6" xr3:uid="{48B9F3F9-E7B9-43E5-8272-8644C75348DB}" name="2024" dataDxfId="216"/>
    <tableColumn id="7" xr3:uid="{A67080AE-B233-4C71-A2E9-9335D52369D3}" name="2025" dataDxfId="215"/>
  </tableColumns>
  <tableStyleInfo name="TableStyleMedium2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890934E-4C73-44FC-8797-F965534A1BB4}" name="Table39" displayName="Table39" ref="A28:G32" headerRowCount="0" totalsRowShown="0" headerRowDxfId="214" dataDxfId="212" headerRowBorderDxfId="213" tableBorderDxfId="211" totalsRowBorderDxfId="210" headerRowCellStyle="Comma" dataCellStyle="Comma">
  <tableColumns count="7">
    <tableColumn id="1" xr3:uid="{397F40B6-E277-430F-B8DC-BD2F1E940571}" name="Column1" headerRowDxfId="209" dataDxfId="208"/>
    <tableColumn id="2" xr3:uid="{150B92DB-D2FA-4AE6-BA0E-CA1919C4F041}" name="Column2" headerRowDxfId="207" dataDxfId="206" headerRowCellStyle="Comma" dataCellStyle="Comma"/>
    <tableColumn id="3" xr3:uid="{D1258710-24E1-4A9B-8C94-FE62B295FB55}" name="Column3" headerRowDxfId="205" dataDxfId="204" headerRowCellStyle="Comma" dataCellStyle="Comma"/>
    <tableColumn id="4" xr3:uid="{61D37FF7-8E79-4254-8068-244EDFD3B26D}" name="Column4" headerRowDxfId="203" dataDxfId="202" headerRowCellStyle="Comma" dataCellStyle="Comma"/>
    <tableColumn id="5" xr3:uid="{8AA3DCDE-05F0-4886-9722-F3CECC8554B5}" name="Column5" headerRowDxfId="201" dataDxfId="200" headerRowCellStyle="Comma" dataCellStyle="Comma"/>
    <tableColumn id="6" xr3:uid="{42B43E74-04E8-4D8F-BD50-C528D5D36568}" name="Column6" headerRowDxfId="199" dataDxfId="198" headerRowCellStyle="Comma" dataCellStyle="Comma"/>
    <tableColumn id="7" xr3:uid="{09FFDA49-071B-418B-942D-155AFD5C346C}" name="Column7" headerRowDxfId="197" dataDxfId="196" headerRowCellStyle="Comma" dataCellStyle="Comma"/>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5E0658C-5F7F-4117-8736-6B8658463E76}" name="Table40" displayName="Table40" ref="I28:O32" headerRowCount="0" totalsRowShown="0" headerRowDxfId="195" dataDxfId="193" headerRowBorderDxfId="194" tableBorderDxfId="192" totalsRowBorderDxfId="191" headerRowCellStyle="Comma" dataCellStyle="Comma">
  <tableColumns count="7">
    <tableColumn id="1" xr3:uid="{C966D840-A510-4FA9-A467-B8BF0209FF97}" name="Column1" headerRowDxfId="190" dataDxfId="189"/>
    <tableColumn id="2" xr3:uid="{ED070DE3-A4EF-40FE-A6F3-CA240DC55058}" name="Column2" headerRowDxfId="188" dataDxfId="187" headerRowCellStyle="Comma" dataCellStyle="Comma"/>
    <tableColumn id="3" xr3:uid="{B66531A1-BC1C-40D0-A9D2-28451C11C297}" name="Column3" headerRowDxfId="186" dataDxfId="185" headerRowCellStyle="Comma" dataCellStyle="Comma"/>
    <tableColumn id="4" xr3:uid="{DA1B2941-36B3-454F-BFBD-47475932DFD4}" name="Column4" headerRowDxfId="184" dataDxfId="183" headerRowCellStyle="Comma" dataCellStyle="Comma"/>
    <tableColumn id="5" xr3:uid="{6D5C5E99-9BA1-4F0F-BA05-84636A63159F}" name="Column5" headerRowDxfId="182" dataDxfId="181" headerRowCellStyle="Comma" dataCellStyle="Comma"/>
    <tableColumn id="6" xr3:uid="{FAF4AFCF-FC13-4308-8F03-DA99AACA2A67}" name="Column6" headerRowDxfId="180" dataDxfId="179" headerRowCellStyle="Comma" dataCellStyle="Comma"/>
    <tableColumn id="7" xr3:uid="{28D5C0A0-1176-4130-8574-EA1438EEEC09}" name="Column7" headerRowDxfId="178" dataDxfId="177" headerRowCellStyle="Comma" dataCellStyle="Comma"/>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C35C69D-DF0E-4BEE-9B93-B75DAB911F71}" name="Table41" displayName="Table41" ref="Q28:W32" headerRowCount="0" totalsRowShown="0" headerRowDxfId="176" dataDxfId="174" headerRowBorderDxfId="175" tableBorderDxfId="173" totalsRowBorderDxfId="172" headerRowCellStyle="Comma" dataCellStyle="Comma">
  <tableColumns count="7">
    <tableColumn id="1" xr3:uid="{FFD544E2-9040-437F-9116-250321375A3D}" name="Column1" headerRowDxfId="171" dataDxfId="170"/>
    <tableColumn id="2" xr3:uid="{CD10D09B-6C75-47CA-AD87-EA97A6BD1DA8}" name="Column2" headerRowDxfId="169" dataDxfId="168" headerRowCellStyle="Comma" dataCellStyle="Comma"/>
    <tableColumn id="3" xr3:uid="{E3858575-084C-4104-AC81-2E9C4B7C3EA7}" name="Column3" headerRowDxfId="167" dataDxfId="166" headerRowCellStyle="Comma" dataCellStyle="Comma"/>
    <tableColumn id="4" xr3:uid="{9FD262AA-7ED6-4885-A2ED-601CCC388583}" name="Column4" headerRowDxfId="165" dataDxfId="164" headerRowCellStyle="Comma" dataCellStyle="Comma"/>
    <tableColumn id="5" xr3:uid="{631ABC38-779F-4560-A717-7A05E6B466E4}" name="Column5" headerRowDxfId="163" dataDxfId="162" headerRowCellStyle="Comma" dataCellStyle="Comma"/>
    <tableColumn id="6" xr3:uid="{EAC0BD6A-0F1F-4B34-9C3F-6F4FDB322199}" name="Column6" headerRowDxfId="161" dataDxfId="160" headerRowCellStyle="Comma" dataCellStyle="Comma"/>
    <tableColumn id="7" xr3:uid="{6F8E7B11-BFB1-4C92-BCEB-ED35381B9EAD}" name="Column7" headerRowDxfId="159" dataDxfId="158" headerRowCellStyle="Comma" dataCellStyle="Comma"/>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39EDD7A-431A-4C89-931B-5567A7125892}" name="Table42" displayName="Table42" ref="Y28:AE32" headerRowCount="0" totalsRowShown="0" headerRowDxfId="157" dataDxfId="155" headerRowBorderDxfId="156" tableBorderDxfId="154" totalsRowBorderDxfId="153" headerRowCellStyle="Comma" dataCellStyle="Comma">
  <tableColumns count="7">
    <tableColumn id="1" xr3:uid="{6BCAAACD-76F7-40F2-93D4-D800824F5642}" name="Column1" headerRowDxfId="152" dataDxfId="151"/>
    <tableColumn id="2" xr3:uid="{AFB123A9-38D9-4A68-9029-7579493A760E}" name="Column2" headerRowDxfId="150" dataDxfId="149" headerRowCellStyle="Comma" dataCellStyle="Comma"/>
    <tableColumn id="3" xr3:uid="{B3AB4F23-9891-48E2-A793-99B1F45CA70D}" name="Column3" headerRowDxfId="148" dataDxfId="147" headerRowCellStyle="Comma" dataCellStyle="Comma"/>
    <tableColumn id="4" xr3:uid="{AC2D910C-9FE5-4493-81E0-3C9355E06350}" name="Column4" headerRowDxfId="146" dataDxfId="145" headerRowCellStyle="Comma" dataCellStyle="Comma"/>
    <tableColumn id="5" xr3:uid="{AD5E307A-23C7-43D2-BC6D-322D40FBDA95}" name="Column5" headerRowDxfId="144" dataDxfId="143" headerRowCellStyle="Comma" dataCellStyle="Comma"/>
    <tableColumn id="6" xr3:uid="{3ABB8BE6-3149-44DF-A7BF-93386106F21B}" name="Column6" headerRowDxfId="142" dataDxfId="141" headerRowCellStyle="Comma" dataCellStyle="Comma"/>
    <tableColumn id="7" xr3:uid="{03C8372B-0ACF-429D-85D9-69A5E531F602}" name="Column7" headerRowDxfId="140" dataDxfId="139" headerRowCellStyle="Comma" dataCellStyle="Comma"/>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4F1D91C-2545-417C-904C-5B493A7A7FA0}" name="Table43" displayName="Table43" ref="AG28:AM32" headerRowCount="0" totalsRowShown="0" headerRowDxfId="138" dataDxfId="136" headerRowBorderDxfId="137" tableBorderDxfId="135" totalsRowBorderDxfId="134" headerRowCellStyle="Comma" dataCellStyle="Comma">
  <tableColumns count="7">
    <tableColumn id="1" xr3:uid="{091556F4-B1EB-4D86-8E6B-7DFBC58950F6}" name="Column1" headerRowDxfId="133" dataDxfId="132"/>
    <tableColumn id="2" xr3:uid="{91C52F1F-E94A-4020-A9DD-4E446CDDEF1C}" name="Column2" headerRowDxfId="131" dataDxfId="130" headerRowCellStyle="Comma" dataCellStyle="Comma"/>
    <tableColumn id="3" xr3:uid="{20A3FCDD-B022-4BF1-B98A-E53B5EC5DB1C}" name="Column3" headerRowDxfId="129" dataDxfId="128" headerRowCellStyle="Comma" dataCellStyle="Comma"/>
    <tableColumn id="4" xr3:uid="{37C36C86-9015-4886-BAB2-8BCABF1B50AC}" name="Column4" headerRowDxfId="127" dataDxfId="126" headerRowCellStyle="Comma" dataCellStyle="Comma"/>
    <tableColumn id="5" xr3:uid="{B73446E3-B921-49E7-8F97-294C6F71D70C}" name="Column5" headerRowDxfId="125" dataDxfId="124" headerRowCellStyle="Comma" dataCellStyle="Comma"/>
    <tableColumn id="6" xr3:uid="{2679D240-3137-4929-B875-A699EE179A08}" name="Column6" headerRowDxfId="123" dataDxfId="122" headerRowCellStyle="Comma" dataCellStyle="Comma"/>
    <tableColumn id="7" xr3:uid="{035EED65-39DA-48DB-806F-8E8BB7846DC5}" name="Column7" headerRowDxfId="121" dataDxfId="120" headerRowCellStyle="Comma" dataCellStyle="Comma"/>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1089C45-2B1D-4711-847A-2159477E03C7}" name="Table19" displayName="Table19" ref="A3:H13" totalsRowShown="0" headerRowDxfId="119" dataDxfId="117" headerRowBorderDxfId="118" tableBorderDxfId="116">
  <autoFilter ref="A3:H13" xr:uid="{41089C45-2B1D-4711-847A-2159477E03C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C321CF5-EBDE-467A-A2A9-D6FDB67E3C8E}" name="Particulars" dataDxfId="115"/>
    <tableColumn id="2" xr3:uid="{A02D2393-8D80-4546-BA27-69DFFC9666BB}" name="2025" dataDxfId="114" dataCellStyle="Comma"/>
    <tableColumn id="3" xr3:uid="{0381462F-C778-4099-8A35-61BC0EF54593}" name="Growth" dataDxfId="113" dataCellStyle="Percent"/>
    <tableColumn id="4" xr3:uid="{AD0B8FC1-79F0-4C5A-809B-0CCA068B8F1D}" name="2026" dataDxfId="112" dataCellStyle="Comma"/>
    <tableColumn id="5" xr3:uid="{7AF2243F-CF96-438A-A770-5B819F1809C3}" name="2027" dataDxfId="111" dataCellStyle="Comma"/>
    <tableColumn id="6" xr3:uid="{87FFD240-66AA-4FB7-923D-686B5B57834E}" name="2028" dataDxfId="110" dataCellStyle="Comma"/>
    <tableColumn id="7" xr3:uid="{1E7C7DDE-4E14-4524-BE60-B7BEC8350928}" name="2029" dataDxfId="109" dataCellStyle="Comma"/>
    <tableColumn id="8" xr3:uid="{29AA82DE-C44D-4834-BEB3-A1BC5BF6C7AD}" name="2030" dataDxfId="108" dataCellStyle="Comma"/>
  </tableColumns>
  <tableStyleInfo name="TableStyleDark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CF9CF26-D68A-41D2-9246-7578F0FD43BC}" name="Table22" displayName="Table22" ref="J3:Q13" totalsRowShown="0" headerRowDxfId="107" dataDxfId="106" tableBorderDxfId="105">
  <autoFilter ref="J3:Q13" xr:uid="{0CF9CF26-D68A-41D2-9246-7578F0FD43B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8A6F8F6-3C89-45AF-BA65-74B7BC8131D5}" name="Particulars" dataDxfId="104"/>
    <tableColumn id="2" xr3:uid="{FFE23B62-6527-45FB-AC73-5FEF1B143585}" name="2025" dataDxfId="103" dataCellStyle="Comma"/>
    <tableColumn id="3" xr3:uid="{2D73E2CB-989F-4BC9-BED8-C203DCCD1803}" name="Growth" dataDxfId="102" dataCellStyle="Percent"/>
    <tableColumn id="4" xr3:uid="{353F229D-ABB0-437F-84CB-C5E60C46D73D}" name="2026" dataDxfId="101"/>
    <tableColumn id="5" xr3:uid="{90E4139E-8504-4F2F-90BA-8C815EB009EC}" name="2027" dataDxfId="100"/>
    <tableColumn id="6" xr3:uid="{4D3EF09B-0617-43EE-A742-A342AB9B5464}" name="2028" dataDxfId="99"/>
    <tableColumn id="7" xr3:uid="{09B91A41-0D66-476C-9520-4BAA70538BD5}" name="2029" dataDxfId="98"/>
    <tableColumn id="8" xr3:uid="{7246648C-43C5-47F5-97C7-648B40C0240B}" name="2030" dataDxfId="97"/>
  </tableColumns>
  <tableStyleInfo name="TableStyleDark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2ED2720-C8A3-4EE5-A257-95D690C1BC3C}" name="Table2226" displayName="Table2226" ref="S3:Z13" totalsRowShown="0" headerRowDxfId="96" dataDxfId="95" tableBorderDxfId="94">
  <autoFilter ref="S3:Z13" xr:uid="{62ED2720-C8A3-4EE5-A257-95D690C1BC3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E4C53F8-3C10-4670-84D8-D88D1B661589}" name="Particulars" dataDxfId="93"/>
    <tableColumn id="2" xr3:uid="{FC972438-C432-4AC7-A3C5-C1CFCC121AA5}" name="2025" dataDxfId="92" dataCellStyle="Comma"/>
    <tableColumn id="3" xr3:uid="{B9C64574-7D32-40DD-939D-5E55B621BD81}" name="Growth" dataDxfId="91" dataCellStyle="Percent"/>
    <tableColumn id="4" xr3:uid="{466683EA-21EA-41DC-AEF1-C90728630A01}" name="2026" dataDxfId="90"/>
    <tableColumn id="5" xr3:uid="{6A1DDB55-5320-4FBF-A39A-33E669FAA646}" name="2027" dataDxfId="89"/>
    <tableColumn id="6" xr3:uid="{200F07A7-403E-47B9-BE4C-180B5FA81241}" name="2028" dataDxfId="88"/>
    <tableColumn id="7" xr3:uid="{B638B709-C51F-41BF-BDB0-623BDD906384}" name="2029" dataDxfId="87"/>
    <tableColumn id="8" xr3:uid="{07B69AFD-7318-4A46-8B85-4B25B618AE7B}" name="2030" dataDxfId="86"/>
  </tableColumns>
  <tableStyleInfo name="TableStyleDark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7F2CA21-B6D3-4CF2-ABF3-7C234DF88201}" name="Table222629" displayName="Table222629" ref="AB3:AI13" totalsRowShown="0" headerRowDxfId="85" dataDxfId="84" tableBorderDxfId="83">
  <autoFilter ref="AB3:AI13" xr:uid="{B7F2CA21-B6D3-4CF2-ABF3-7C234DF8820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8E216C0-D243-4F9B-B124-1D14BCAEB0A1}" name="Particulars" dataDxfId="82"/>
    <tableColumn id="2" xr3:uid="{FF1DF47B-3528-4778-9A22-ADC1A018F129}" name="2025" dataDxfId="81" dataCellStyle="Comma"/>
    <tableColumn id="3" xr3:uid="{E0B53117-824B-43F4-A3FB-4431C135F235}" name="Growth" dataDxfId="80" dataCellStyle="Percent"/>
    <tableColumn id="4" xr3:uid="{1EB457B4-56B7-4183-9753-81961CABF915}" name="2026" dataDxfId="79"/>
    <tableColumn id="5" xr3:uid="{3E27B573-20E3-411E-BE8A-49A7E6774612}" name="2027" dataDxfId="78"/>
    <tableColumn id="6" xr3:uid="{E8CEB67A-54C0-4CDA-A278-DF12EA03F9DA}" name="2028" dataDxfId="77"/>
    <tableColumn id="7" xr3:uid="{D05FF6E0-1387-4269-9DCB-DDA107CBCAD6}" name="2029" dataDxfId="76"/>
    <tableColumn id="8" xr3:uid="{48FB7D41-905A-43EF-A430-1D1ABAF7D218}" name="2030" dataDxfId="75"/>
  </tableColumns>
  <tableStyleInfo name="TableStyleDark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994BF88-8773-4920-8F54-7CD9DF0B3DAD}" name="Table22262931" displayName="Table22262931" ref="AK3:AR13" totalsRowShown="0" headerRowDxfId="74" dataDxfId="73" tableBorderDxfId="72">
  <autoFilter ref="AK3:AR13" xr:uid="{0994BF88-8773-4920-8F54-7CD9DF0B3D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3F2A62F-4B64-4A77-A373-B5BDDE19259E}" name="Particulars" dataDxfId="71"/>
    <tableColumn id="2" xr3:uid="{5239D40B-95F2-4AC8-A94A-172634618A9D}" name="2025" dataDxfId="70" dataCellStyle="Comma"/>
    <tableColumn id="3" xr3:uid="{92C09D90-1479-433C-9085-549322A6BAF8}" name="Growth" dataDxfId="69" dataCellStyle="Percent"/>
    <tableColumn id="4" xr3:uid="{351CA08B-AF55-42EC-BFD2-2AB65FF8CBE2}" name="2026" dataDxfId="68"/>
    <tableColumn id="5" xr3:uid="{50F672DD-89EF-438D-99E5-AE8325FBC11A}" name="2027" dataDxfId="67"/>
    <tableColumn id="6" xr3:uid="{B7A0E134-AC4C-4A65-AE46-8719FC3D2FFB}" name="2028" dataDxfId="66"/>
    <tableColumn id="7" xr3:uid="{0B899074-A5A4-45F5-ADC4-C2CC9E6B90AA}" name="2029" dataDxfId="65"/>
    <tableColumn id="8" xr3:uid="{C5E0DA10-A0F7-4685-B856-B594886839BF}" name="2030" dataDxfId="64"/>
  </tableColumns>
  <tableStyleInfo name="TableStyleDark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40D4FC7-CBB6-4692-B6B0-19407F710C6D}" name="Table31" displayName="Table31" ref="A15:B25" totalsRowShown="0" headerRowDxfId="63" headerRowBorderDxfId="62" tableBorderDxfId="61" totalsRowBorderDxfId="60">
  <autoFilter ref="A15:B25" xr:uid="{E40D4FC7-CBB6-4692-B6B0-19407F710C6D}">
    <filterColumn colId="0" hiddenButton="1"/>
    <filterColumn colId="1" hiddenButton="1"/>
  </autoFilter>
  <tableColumns count="2">
    <tableColumn id="1" xr3:uid="{979E61A6-D89E-420A-8C05-68A970900629}" name="Components" dataDxfId="59"/>
    <tableColumn id="2" xr3:uid="{6340F51B-9DED-4D4E-B38B-7AB2A71CB4DA}" name="Value" dataDxfId="58" dataCellStyle="Comma"/>
  </tableColumns>
  <tableStyleInfo name="TableStyleMedium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330302F-E509-4418-BE3E-5D1AC8957F8A}" name="Table313638" displayName="Table313638" ref="AB15:AC25" totalsRowShown="0" headerRowDxfId="57" headerRowBorderDxfId="56" tableBorderDxfId="55" totalsRowBorderDxfId="54">
  <autoFilter ref="AB15:AC25" xr:uid="{1330302F-E509-4418-BE3E-5D1AC8957F8A}">
    <filterColumn colId="0" hiddenButton="1"/>
    <filterColumn colId="1" hiddenButton="1"/>
  </autoFilter>
  <tableColumns count="2">
    <tableColumn id="1" xr3:uid="{8AA633EC-573C-49E4-BD76-B5BD7E3ABE5E}" name="Components" dataDxfId="53"/>
    <tableColumn id="2" xr3:uid="{5F7EF95E-4368-405B-BE6E-3178C1C8C7F3}" name="Value" dataDxfId="52" dataCellStyle="Comma"/>
  </tableColumns>
  <tableStyleInfo name="TableStyleMedium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D683A41-9C35-45BA-95A0-6385D3DCE079}" name="Table31363839" displayName="Table31363839" ref="AK15:AL25" totalsRowShown="0" headerRowDxfId="51" headerRowBorderDxfId="50" tableBorderDxfId="49" totalsRowBorderDxfId="48">
  <autoFilter ref="AK15:AL25" xr:uid="{0D683A41-9C35-45BA-95A0-6385D3DCE079}">
    <filterColumn colId="0" hiddenButton="1"/>
    <filterColumn colId="1" hiddenButton="1"/>
  </autoFilter>
  <tableColumns count="2">
    <tableColumn id="1" xr3:uid="{FCF4AA36-288E-45E5-9193-B3DEA7936CD9}" name="Components" dataDxfId="47"/>
    <tableColumn id="2" xr3:uid="{40B226E3-62A9-4A9A-AC6D-27685970A5F4}" name="Value" dataDxfId="46" dataCellStyle="Comma"/>
  </tableColumns>
  <tableStyleInfo name="TableStyleMedium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E32160-6B47-457D-AF77-E04778E4E3CD}" name="Table26" displayName="Table26" ref="A3:O17" totalsRowShown="0" headerRowDxfId="45" dataDxfId="43" headerRowBorderDxfId="44" tableBorderDxfId="42" dataCellStyle="Comma">
  <autoFilter ref="A3:O17" xr:uid="{37E32160-6B47-457D-AF77-E04778E4E3C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47C272F-B359-40B2-A9F4-1F2D12D528C5}" name="Company" dataDxfId="41"/>
    <tableColumn id="2" xr3:uid="{0A8826AF-E7EC-4D13-9D29-B955242555C0}" name="Enterprise Value" dataDxfId="40"/>
    <tableColumn id="3" xr3:uid="{E20827C5-EAC6-4663-A224-18EA6A6C2523}" name="EBITDA" dataDxfId="39"/>
    <tableColumn id="4" xr3:uid="{0FEDDD84-14FF-4B32-878F-8B01F0609301}" name="Market Price" dataDxfId="38"/>
    <tableColumn id="5" xr3:uid="{588FA372-D597-4296-B0E5-240DDCBD2789}" name="Net Income" dataDxfId="37"/>
    <tableColumn id="6" xr3:uid="{4E5CC73C-4092-4B44-8792-7F9E2E2D4992}" name="Outstanding Shares" dataDxfId="36" dataCellStyle="Comma"/>
    <tableColumn id="7" xr3:uid="{A0FA5A98-2EB6-4DC1-92DF-EE3202A7FCC7}" name="EPS" dataDxfId="35" dataCellStyle="Comma"/>
    <tableColumn id="8" xr3:uid="{59B5AD56-C420-44FE-94E0-648A84DBA679}" name="Book Value" dataDxfId="34"/>
    <tableColumn id="9" xr3:uid="{5875F904-EE4F-44A4-8EC5-DD8D92AD3FE2}" name="Book Value/Share" dataDxfId="33"/>
    <tableColumn id="10" xr3:uid="{D4436E31-3C25-4C1E-B36F-7738E1A36774}" name="Revenue" dataDxfId="32"/>
    <tableColumn id="11" xr3:uid="{7C013739-C547-4ADA-A155-AA5822CE8993}" name="Sales/share" dataDxfId="31"/>
    <tableColumn id="12" xr3:uid="{C03F2524-6C1F-4666-A74F-594D8C8F147F}" name="EV/EBITDA" dataDxfId="30" dataCellStyle="Comma"/>
    <tableColumn id="13" xr3:uid="{07A2FF56-2B76-4A1B-85AD-224E2507E62F}" name="P/E" dataDxfId="29" dataCellStyle="Comma"/>
    <tableColumn id="14" xr3:uid="{F13BE8A3-CA2D-458F-B31A-5C42D5CE6A7B}" name="P/B" dataDxfId="28" dataCellStyle="Comma"/>
    <tableColumn id="15" xr3:uid="{CE3CB42B-F5B5-4267-914B-DB95FE9626B3}" name="P/Sales" dataDxfId="27" dataCellStyle="Comma"/>
  </tableColumns>
  <tableStyleInfo name="TableStyleMedium1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23EE89-31DC-4FC9-9E50-0E025733BD7E}" name="Table17" displayName="Table17" ref="O21:S24" totalsRowShown="0" headerRowDxfId="26" dataDxfId="25">
  <autoFilter ref="O21:S24" xr:uid="{B123EE89-31DC-4FC9-9E50-0E025733BD7E}">
    <filterColumn colId="0" hiddenButton="1"/>
    <filterColumn colId="1" hiddenButton="1"/>
    <filterColumn colId="2" hiddenButton="1"/>
    <filterColumn colId="3" hiddenButton="1"/>
    <filterColumn colId="4" hiddenButton="1"/>
  </autoFilter>
  <tableColumns count="5">
    <tableColumn id="1" xr3:uid="{B1CB1A23-7760-430D-ADD5-EF5A45A5A9BE}" name="Company" dataDxfId="24"/>
    <tableColumn id="2" xr3:uid="{09C375EB-0F70-4A06-91E0-9AAEFF52D7B3}" name="KEC" dataDxfId="23">
      <calculatedColumnFormula>AVERAGE(F22:F25)</calculatedColumnFormula>
    </tableColumn>
    <tableColumn id="3" xr3:uid="{C3B89C89-FF75-457F-B52B-E5F54525C67B}" name="Kalpataru" dataDxfId="22">
      <calculatedColumnFormula>AVERAGE(L22:L25)</calculatedColumnFormula>
    </tableColumn>
    <tableColumn id="4" xr3:uid="{F1AB8187-71AF-4C98-A09F-E7D3F3ADCE06}" name="Adani" dataDxfId="21">
      <calculatedColumnFormula>AVERAGE(L29:L32)</calculatedColumnFormula>
    </tableColumn>
    <tableColumn id="5" xr3:uid="{FD58457E-561B-43D5-9F4D-481D48F4999C}" name="RVNL" dataDxfId="20">
      <calculatedColumnFormula>AVERAGE(F29:F32)</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6"/>
  <sheetViews>
    <sheetView workbookViewId="0">
      <selection activeCell="A13" sqref="A13:A14"/>
    </sheetView>
  </sheetViews>
  <sheetFormatPr defaultRowHeight="14.4" x14ac:dyDescent="0.3"/>
  <cols>
    <col min="1" max="1" width="19.44140625" style="1" bestFit="1" customWidth="1"/>
    <col min="2" max="2" width="21.77734375" style="1" customWidth="1"/>
    <col min="3" max="6" width="23.33203125" style="1" bestFit="1" customWidth="1"/>
    <col min="7" max="16384" width="8.88671875" style="1"/>
  </cols>
  <sheetData>
    <row r="1" spans="1:6" ht="44.4" x14ac:dyDescent="0.3">
      <c r="A1" s="16" t="s">
        <v>525</v>
      </c>
    </row>
    <row r="3" spans="1:6" ht="34.799999999999997" customHeight="1" x14ac:dyDescent="0.3">
      <c r="A3" s="5" t="s">
        <v>0</v>
      </c>
      <c r="B3" s="6" t="e" vm="1">
        <v>#VALUE!</v>
      </c>
      <c r="C3" s="6" t="e" vm="2">
        <v>#VALUE!</v>
      </c>
      <c r="D3" s="6" t="e" vm="3">
        <v>#VALUE!</v>
      </c>
      <c r="E3" s="6" t="e" vm="4">
        <v>#VALUE!</v>
      </c>
      <c r="F3" s="6" t="e" vm="5">
        <v>#VALUE!</v>
      </c>
    </row>
    <row r="4" spans="1:6" s="3" customFormat="1" ht="57.6" x14ac:dyDescent="0.3">
      <c r="A4" s="7" t="s">
        <v>1</v>
      </c>
      <c r="B4" s="7" t="e" vm="6">
        <v>#VALUE!</v>
      </c>
      <c r="C4" s="7" t="e" vm="7">
        <v>#VALUE!</v>
      </c>
      <c r="D4" s="7" t="e" vm="8">
        <v>#VALUE!</v>
      </c>
      <c r="E4" s="7" t="e" vm="9">
        <v>#VALUE!</v>
      </c>
      <c r="F4" s="7" t="e" vm="10">
        <v>#VALUE!</v>
      </c>
    </row>
    <row r="5" spans="1:6" x14ac:dyDescent="0.3">
      <c r="A5" s="8" t="s">
        <v>2</v>
      </c>
      <c r="B5" s="6" t="str" cm="1">
        <f t="array" aca="1" ref="B5" ca="1">_FV(B4,"Industry")</f>
        <v>Transport Infrastructure</v>
      </c>
      <c r="C5" s="6" t="str" cm="1">
        <f t="array" aca="1" ref="C5" ca="1">_FV(C4,"Industry")</f>
        <v>Construction &amp; Engineering</v>
      </c>
      <c r="D5" s="6" t="str" cm="1">
        <f t="array" aca="1" ref="D5" ca="1">_FV(D4,"Industry")</f>
        <v>Construction &amp; Engineering</v>
      </c>
      <c r="E5" s="6" t="str" cm="1">
        <f t="array" aca="1" ref="E5" ca="1">_FV(E4,"Industry")</f>
        <v>Construction &amp; Engineering</v>
      </c>
      <c r="F5" s="6" t="str" cm="1">
        <f t="array" aca="1" ref="F5" ca="1">_FV(F4,"Industry")</f>
        <v>Construction &amp; Engineering</v>
      </c>
    </row>
    <row r="6" spans="1:6" x14ac:dyDescent="0.3">
      <c r="A6" s="8" t="s">
        <v>3</v>
      </c>
      <c r="B6" s="6" t="str" cm="1">
        <f t="array" aca="1" ref="B6" ca="1">_FV(B4,"Ticker symbol",TRUE)</f>
        <v>ADANIPORTS</v>
      </c>
      <c r="C6" s="6" t="str" cm="1">
        <f t="array" aca="1" ref="C6" ca="1">_FV(C4,"Ticker symbol",TRUE)</f>
        <v>KPIL</v>
      </c>
      <c r="D6" s="6" t="str" cm="1">
        <f t="array" aca="1" ref="D6" ca="1">_FV(D4,"Ticker symbol",TRUE)</f>
        <v>KEC</v>
      </c>
      <c r="E6" s="6" t="str" cm="1">
        <f t="array" aca="1" ref="E6" ca="1">_FV(E4,"Ticker symbol",TRUE)</f>
        <v>LT</v>
      </c>
      <c r="F6" s="6" t="str" cm="1">
        <f t="array" aca="1" ref="F6" ca="1">_FV(F4,"Ticker symbol",TRUE)</f>
        <v>RVNL</v>
      </c>
    </row>
    <row r="7" spans="1:6" x14ac:dyDescent="0.3">
      <c r="A7" s="8" t="s">
        <v>4</v>
      </c>
      <c r="B7" s="9" cm="1">
        <f t="array" aca="1" ref="B7" ca="1">_FV(B4,"Year incorporated",TRUE)</f>
        <v>1998</v>
      </c>
      <c r="C7" s="9" cm="1">
        <f t="array" aca="1" ref="C7" ca="1">_FV(C4,"Year incorporated",TRUE)</f>
        <v>1981</v>
      </c>
      <c r="D7" s="9" cm="1">
        <f t="array" aca="1" ref="D7" ca="1">_FV(D4,"Year incorporated",TRUE)</f>
        <v>2005</v>
      </c>
      <c r="E7" s="9" cm="1">
        <f t="array" aca="1" ref="E7" ca="1">_FV(E4,"Year incorporated",TRUE)</f>
        <v>1946</v>
      </c>
      <c r="F7" s="9" cm="1">
        <f t="array" aca="1" ref="F7" ca="1">_FV(F4,"Year incorporated",TRUE)</f>
        <v>2003</v>
      </c>
    </row>
    <row r="8" spans="1:6" x14ac:dyDescent="0.3">
      <c r="A8" s="8" t="s">
        <v>5</v>
      </c>
      <c r="B8" s="10" cm="1">
        <f t="array" aca="1" ref="B8" ca="1">_FV(B4,"Employees")</f>
        <v>3118</v>
      </c>
      <c r="C8" s="10" cm="1">
        <f t="array" aca="1" ref="C8" ca="1">_FV(C4,"Employees")</f>
        <v>9870</v>
      </c>
      <c r="D8" s="10" cm="1">
        <f t="array" aca="1" ref="D8" ca="1">_FV(D4,"Employees")</f>
        <v>7692</v>
      </c>
      <c r="E8" s="10" cm="1">
        <f t="array" aca="1" ref="E8" ca="1">_FV(E4,"Employees")</f>
        <v>58244</v>
      </c>
      <c r="F8" s="10" cm="1">
        <f t="array" aca="1" ref="F8" ca="1">_FV(F4,"Employees")</f>
        <v>213</v>
      </c>
    </row>
    <row r="9" spans="1:6" x14ac:dyDescent="0.3">
      <c r="A9" s="8" t="s">
        <v>6</v>
      </c>
      <c r="B9" s="11" cm="1">
        <f t="array" aca="1" ref="B9" ca="1">_FV(B4,"Beta")</f>
        <v>1.4608000000000001</v>
      </c>
      <c r="C9" s="11" cm="1">
        <f t="array" aca="1" ref="C9" ca="1">_FV(C4,"Beta")</f>
        <v>0.59089999999999998</v>
      </c>
      <c r="D9" s="11" cm="1">
        <f t="array" aca="1" ref="D9" ca="1">_FV(D4,"Beta")</f>
        <v>0.67630000000000001</v>
      </c>
      <c r="E9" s="11" cm="1">
        <f t="array" aca="1" ref="E9" ca="1">_FV(E4,"Beta")</f>
        <v>1.0837000000000001</v>
      </c>
      <c r="F9" s="11" cm="1">
        <f t="array" aca="1" ref="F9" ca="1">_FV(F4,"Beta")</f>
        <v>1.4107000000000001</v>
      </c>
    </row>
    <row r="10" spans="1:6" x14ac:dyDescent="0.3">
      <c r="A10" s="125" t="s">
        <v>7</v>
      </c>
      <c r="B10" s="10" cm="1">
        <f t="array" aca="1" ref="B10" ca="1">_FV(B4,"Shares outstanding",TRUE)</f>
        <v>2160139000</v>
      </c>
      <c r="C10" s="10" cm="1">
        <f t="array" aca="1" ref="C10" ca="1">_FV(C4,"Shares outstanding",TRUE)</f>
        <v>170772600</v>
      </c>
      <c r="D10" s="10" cm="1">
        <f t="array" aca="1" ref="D10" ca="1">_FV(D4,"Shares outstanding",TRUE)</f>
        <v>266200000</v>
      </c>
      <c r="E10" s="10" cm="1">
        <f t="array" aca="1" ref="E10" ca="1">_FV(E4,"Shares outstanding",TRUE)</f>
        <v>1375581000</v>
      </c>
      <c r="F10" s="10" cm="1">
        <f t="array" aca="1" ref="F10" ca="1">_FV(F4,"Shares outstanding",TRUE)</f>
        <v>2085020000</v>
      </c>
    </row>
    <row r="11" spans="1:6" x14ac:dyDescent="0.3">
      <c r="A11" s="125"/>
      <c r="B11" s="12">
        <f ca="1">B10/10000000</f>
        <v>216.01390000000001</v>
      </c>
      <c r="C11" s="12">
        <f t="shared" ref="C11:F11" ca="1" si="0">C10/10000000</f>
        <v>17.077259999999999</v>
      </c>
      <c r="D11" s="12">
        <f t="shared" ca="1" si="0"/>
        <v>26.62</v>
      </c>
      <c r="E11" s="12">
        <f t="shared" ca="1" si="0"/>
        <v>137.5581</v>
      </c>
      <c r="F11" s="12">
        <f t="shared" ca="1" si="0"/>
        <v>208.50200000000001</v>
      </c>
    </row>
    <row r="12" spans="1:6" x14ac:dyDescent="0.3">
      <c r="A12" s="8" t="s">
        <v>8</v>
      </c>
      <c r="B12" s="13" cm="1">
        <f t="array" aca="1" ref="B12" ca="1">_FV(B4,"Price")</f>
        <v>1444.9</v>
      </c>
      <c r="C12" s="13" cm="1">
        <f t="array" aca="1" ref="C12" ca="1">_FV(C4,"Price")</f>
        <v>1276</v>
      </c>
      <c r="D12" s="13" cm="1">
        <f t="array" aca="1" ref="D12" ca="1">_FV(D4,"Price")</f>
        <v>722.25</v>
      </c>
      <c r="E12" s="13" cm="1">
        <f t="array" aca="1" ref="E12" ca="1">_FV(E4,"Price")</f>
        <v>3918.5</v>
      </c>
      <c r="F12" s="13" cm="1">
        <f t="array" aca="1" ref="F12" ca="1">_FV(F4,"Price")</f>
        <v>315.89999999999998</v>
      </c>
    </row>
    <row r="13" spans="1:6" x14ac:dyDescent="0.3">
      <c r="A13" s="125" t="s">
        <v>9</v>
      </c>
      <c r="B13" s="14" cm="1">
        <f t="array" aca="1" ref="B13" ca="1">_FV(B4,"Market cap",TRUE)</f>
        <v>3128529000000</v>
      </c>
      <c r="C13" s="14" cm="1">
        <f t="array" aca="1" ref="C13" ca="1">_FV(C4,"Market cap",TRUE)</f>
        <v>221304100000</v>
      </c>
      <c r="D13" s="14" cm="1">
        <f t="array" aca="1" ref="D13" ca="1">_FV(D4,"Market cap",TRUE)</f>
        <v>202139000000</v>
      </c>
      <c r="E13" s="14" cm="1">
        <f t="array" aca="1" ref="E13" ca="1">_FV(E4,"Market cap",TRUE)</f>
        <v>5340693000000</v>
      </c>
      <c r="F13" s="14" cm="1">
        <f t="array" aca="1" ref="F13" ca="1">_FV(F4,"Market cap",TRUE)</f>
        <v>663036400000</v>
      </c>
    </row>
    <row r="14" spans="1:6" x14ac:dyDescent="0.3">
      <c r="A14" s="125"/>
      <c r="B14" s="13">
        <f ca="1">B13/10000000</f>
        <v>312852.90000000002</v>
      </c>
      <c r="C14" s="13">
        <f t="shared" ref="C14:F14" ca="1" si="1">C13/10000000</f>
        <v>22130.41</v>
      </c>
      <c r="D14" s="13">
        <f t="shared" ca="1" si="1"/>
        <v>20213.900000000001</v>
      </c>
      <c r="E14" s="13">
        <f t="shared" ca="1" si="1"/>
        <v>534069.30000000005</v>
      </c>
      <c r="F14" s="13">
        <f t="shared" ca="1" si="1"/>
        <v>66303.64</v>
      </c>
    </row>
    <row r="15" spans="1:6" x14ac:dyDescent="0.3">
      <c r="A15" s="8" t="s">
        <v>10</v>
      </c>
      <c r="B15" s="15" cm="1">
        <f t="array" aca="1" ref="B15" ca="1">_FV(B4,"Change (%)",TRUE)</f>
        <v>-2.3480000000000003E-3</v>
      </c>
      <c r="C15" s="15" cm="1">
        <f t="array" aca="1" ref="C15" ca="1">_FV(C4,"Change (%)",TRUE)</f>
        <v>-1.5356000000000002E-2</v>
      </c>
      <c r="D15" s="15" cm="1">
        <f t="array" aca="1" ref="D15" ca="1">_FV(D4,"Change (%)",TRUE)</f>
        <v>-4.8857999999999999E-2</v>
      </c>
      <c r="E15" s="15" cm="1">
        <f t="array" aca="1" ref="E15" ca="1">_FV(E4,"Change (%)",TRUE)</f>
        <v>9.2720000000000007E-3</v>
      </c>
      <c r="F15" s="15" cm="1">
        <f t="array" aca="1" ref="F15" ca="1">_FV(F4,"Change (%)",TRUE)</f>
        <v>-6.6039999999999996E-3</v>
      </c>
    </row>
    <row r="16" spans="1:6" x14ac:dyDescent="0.3">
      <c r="A16" s="8" t="s">
        <v>11</v>
      </c>
      <c r="B16" s="13" cm="1">
        <f t="array" aca="1" ref="B16" ca="1">_FV(B4,"Change")</f>
        <v>-3.4</v>
      </c>
      <c r="C16" s="13" cm="1">
        <f t="array" aca="1" ref="C16" ca="1">_FV(C4,"Change")</f>
        <v>-19.899999999999999</v>
      </c>
      <c r="D16" s="13" cm="1">
        <f t="array" aca="1" ref="D16" ca="1">_FV(D4,"Change")</f>
        <v>-37.1</v>
      </c>
      <c r="E16" s="13" cm="1">
        <f t="array" aca="1" ref="E16" ca="1">_FV(E4,"Change")</f>
        <v>36</v>
      </c>
      <c r="F16" s="13" cm="1">
        <f t="array" aca="1" ref="F16" ca="1">_FV(F4,"Change")</f>
        <v>-2.1</v>
      </c>
    </row>
  </sheetData>
  <mergeCells count="2">
    <mergeCell ref="A10:A11"/>
    <mergeCell ref="A13:A14"/>
  </mergeCells>
  <conditionalFormatting sqref="B15:F16">
    <cfRule type="cellIs" dxfId="19" priority="1" operator="lessThan">
      <formula>0</formula>
    </cfRule>
    <cfRule type="cellIs" dxfId="18"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0575-67FB-49A5-81D8-A51B5AE351CE}">
  <sheetPr codeName="Sheet2"/>
  <dimension ref="A1:AM70"/>
  <sheetViews>
    <sheetView topLeftCell="AG41" workbookViewId="0">
      <selection activeCell="H73" sqref="H73"/>
    </sheetView>
  </sheetViews>
  <sheetFormatPr defaultRowHeight="14.4" x14ac:dyDescent="0.3"/>
  <cols>
    <col min="1" max="1" width="45.6640625" style="1" bestFit="1" customWidth="1"/>
    <col min="2" max="4" width="9.88671875" style="1" bestFit="1" customWidth="1"/>
    <col min="5" max="7" width="11" style="1" bestFit="1" customWidth="1"/>
    <col min="8" max="8" width="8.88671875" style="1"/>
    <col min="9" max="9" width="45.21875" style="1" bestFit="1" customWidth="1"/>
    <col min="10" max="15" width="10" style="1" bestFit="1" customWidth="1"/>
    <col min="16" max="16" width="8.88671875" style="1"/>
    <col min="17" max="17" width="45.21875" style="1" bestFit="1" customWidth="1"/>
    <col min="18" max="22" width="10" style="1" bestFit="1" customWidth="1"/>
    <col min="23" max="23" width="9.88671875" style="1" bestFit="1" customWidth="1"/>
    <col min="24" max="24" width="8.88671875" style="1"/>
    <col min="25" max="25" width="48.6640625" style="1" bestFit="1" customWidth="1"/>
    <col min="26" max="31" width="11" style="1" bestFit="1" customWidth="1"/>
    <col min="32" max="32" width="8.88671875" style="1"/>
    <col min="33" max="33" width="45.21875" style="1" bestFit="1" customWidth="1"/>
    <col min="34" max="39" width="10" style="1" bestFit="1" customWidth="1"/>
    <col min="40" max="16384" width="8.88671875" style="1"/>
  </cols>
  <sheetData>
    <row r="1" spans="1:39" ht="31.2" x14ac:dyDescent="0.3">
      <c r="A1" s="17" t="s">
        <v>12</v>
      </c>
    </row>
    <row r="2" spans="1:39" ht="44.4" customHeight="1" x14ac:dyDescent="0.3">
      <c r="E2" s="126" t="e" vm="1">
        <v>#VALUE!</v>
      </c>
      <c r="F2" s="126"/>
      <c r="G2" s="126"/>
      <c r="M2" s="127" t="e" vm="2">
        <v>#VALUE!</v>
      </c>
      <c r="N2" s="127"/>
      <c r="O2" s="127"/>
      <c r="U2" s="126" t="e" vm="3">
        <v>#VALUE!</v>
      </c>
      <c r="V2" s="126"/>
      <c r="W2" s="126"/>
      <c r="AC2" s="126" t="e" vm="4">
        <v>#VALUE!</v>
      </c>
      <c r="AD2" s="126"/>
      <c r="AE2" s="126"/>
      <c r="AK2" s="126" t="e" vm="5">
        <v>#VALUE!</v>
      </c>
      <c r="AL2" s="126"/>
      <c r="AM2" s="126"/>
    </row>
    <row r="3" spans="1:39" x14ac:dyDescent="0.3">
      <c r="A3" s="1" t="s">
        <v>13</v>
      </c>
      <c r="B3" s="4" t="s">
        <v>65</v>
      </c>
      <c r="C3" s="4" t="s">
        <v>66</v>
      </c>
      <c r="D3" s="4" t="s">
        <v>67</v>
      </c>
      <c r="E3" s="4" t="s">
        <v>68</v>
      </c>
      <c r="F3" s="4" t="s">
        <v>69</v>
      </c>
      <c r="G3" s="4" t="s">
        <v>70</v>
      </c>
      <c r="I3" s="18" t="s">
        <v>13</v>
      </c>
      <c r="J3" s="19" t="s">
        <v>65</v>
      </c>
      <c r="K3" s="19" t="s">
        <v>66</v>
      </c>
      <c r="L3" s="19" t="s">
        <v>67</v>
      </c>
      <c r="M3" s="19" t="s">
        <v>68</v>
      </c>
      <c r="N3" s="19" t="s">
        <v>69</v>
      </c>
      <c r="O3" s="20" t="s">
        <v>70</v>
      </c>
      <c r="Q3" s="18" t="s">
        <v>13</v>
      </c>
      <c r="R3" s="53" t="s">
        <v>65</v>
      </c>
      <c r="S3" s="53" t="s">
        <v>66</v>
      </c>
      <c r="T3" s="53" t="s">
        <v>67</v>
      </c>
      <c r="U3" s="53" t="s">
        <v>68</v>
      </c>
      <c r="V3" s="53" t="s">
        <v>69</v>
      </c>
      <c r="W3" s="54" t="s">
        <v>70</v>
      </c>
      <c r="Y3" s="18" t="s">
        <v>13</v>
      </c>
      <c r="Z3" s="53" t="s">
        <v>65</v>
      </c>
      <c r="AA3" s="53" t="s">
        <v>66</v>
      </c>
      <c r="AB3" s="53" t="s">
        <v>67</v>
      </c>
      <c r="AC3" s="53" t="s">
        <v>68</v>
      </c>
      <c r="AD3" s="53" t="s">
        <v>69</v>
      </c>
      <c r="AE3" s="54" t="s">
        <v>70</v>
      </c>
      <c r="AG3" s="18" t="s">
        <v>13</v>
      </c>
      <c r="AH3" s="53" t="s">
        <v>65</v>
      </c>
      <c r="AI3" s="53" t="s">
        <v>66</v>
      </c>
      <c r="AJ3" s="53" t="s">
        <v>67</v>
      </c>
      <c r="AK3" s="53" t="s">
        <v>68</v>
      </c>
      <c r="AL3" s="53" t="s">
        <v>69</v>
      </c>
      <c r="AM3" s="54" t="s">
        <v>70</v>
      </c>
    </row>
    <row r="4" spans="1:39" x14ac:dyDescent="0.3">
      <c r="A4" s="22" t="s">
        <v>14</v>
      </c>
      <c r="B4" s="19"/>
      <c r="C4" s="19"/>
      <c r="D4" s="19"/>
      <c r="E4" s="19"/>
      <c r="F4" s="19"/>
      <c r="G4" s="19"/>
      <c r="I4" s="2" t="s">
        <v>14</v>
      </c>
      <c r="Q4" s="25" t="s">
        <v>14</v>
      </c>
      <c r="R4" s="19"/>
      <c r="S4" s="19"/>
      <c r="T4" s="19"/>
      <c r="U4" s="19"/>
      <c r="V4" s="19"/>
      <c r="W4" s="20"/>
      <c r="Y4" s="2" t="s">
        <v>14</v>
      </c>
      <c r="AG4" s="2" t="s">
        <v>14</v>
      </c>
    </row>
    <row r="5" spans="1:39" x14ac:dyDescent="0.3">
      <c r="A5" s="23" t="s">
        <v>15</v>
      </c>
      <c r="B5" s="21"/>
      <c r="C5" s="21"/>
      <c r="D5" s="21"/>
      <c r="E5" s="21"/>
      <c r="F5" s="21"/>
      <c r="G5" s="21"/>
      <c r="I5" s="33" t="s">
        <v>15</v>
      </c>
      <c r="J5" s="43"/>
      <c r="K5" s="43"/>
      <c r="L5" s="43"/>
      <c r="M5" s="43"/>
      <c r="N5" s="43"/>
      <c r="O5" s="36"/>
      <c r="Q5" s="2" t="s">
        <v>94</v>
      </c>
      <c r="Y5" s="33" t="s">
        <v>15</v>
      </c>
      <c r="Z5" s="43"/>
      <c r="AA5" s="43"/>
      <c r="AB5" s="43"/>
      <c r="AC5" s="43"/>
      <c r="AD5" s="43"/>
      <c r="AE5" s="36"/>
      <c r="AG5" s="33" t="s">
        <v>15</v>
      </c>
      <c r="AH5" s="43"/>
      <c r="AI5" s="43"/>
      <c r="AJ5" s="43"/>
      <c r="AK5" s="43"/>
      <c r="AL5" s="43"/>
      <c r="AM5" s="36"/>
    </row>
    <row r="6" spans="1:39" x14ac:dyDescent="0.3">
      <c r="A6" s="20" t="s">
        <v>16</v>
      </c>
      <c r="B6" s="12">
        <v>25744.92</v>
      </c>
      <c r="C6" s="12">
        <v>36791.51</v>
      </c>
      <c r="D6" s="12">
        <v>41488.699999999997</v>
      </c>
      <c r="E6" s="12">
        <v>48414</v>
      </c>
      <c r="F6" s="12">
        <v>51803.83</v>
      </c>
      <c r="G6" s="26">
        <v>62394.43</v>
      </c>
      <c r="I6" s="8" t="s">
        <v>16</v>
      </c>
      <c r="J6" s="12">
        <v>1571.09</v>
      </c>
      <c r="K6" s="12">
        <v>1622.03</v>
      </c>
      <c r="L6" s="12">
        <v>1626.61</v>
      </c>
      <c r="M6" s="12">
        <v>1980.78</v>
      </c>
      <c r="N6" s="12">
        <v>1996.33</v>
      </c>
      <c r="O6" s="12">
        <v>2181.29</v>
      </c>
      <c r="Q6" s="20" t="s">
        <v>16</v>
      </c>
      <c r="R6" s="12">
        <v>894.23</v>
      </c>
      <c r="S6" s="12">
        <v>979.45</v>
      </c>
      <c r="T6" s="12">
        <v>1011.95</v>
      </c>
      <c r="U6" s="12">
        <v>1067.23</v>
      </c>
      <c r="V6" s="12">
        <v>1141.22</v>
      </c>
      <c r="W6" s="26">
        <v>1073.99</v>
      </c>
      <c r="Y6" s="8" t="s">
        <v>16</v>
      </c>
      <c r="Z6" s="12">
        <v>6853.43</v>
      </c>
      <c r="AA6" s="12">
        <v>7462.21</v>
      </c>
      <c r="AB6" s="12">
        <v>10577.98</v>
      </c>
      <c r="AC6" s="12">
        <v>11336.28</v>
      </c>
      <c r="AD6" s="12">
        <v>13297.64</v>
      </c>
      <c r="AE6" s="12">
        <v>14128.56</v>
      </c>
      <c r="AG6" s="8" t="s">
        <v>16</v>
      </c>
      <c r="AH6" s="12">
        <v>16.563600000000001</v>
      </c>
      <c r="AI6" s="12">
        <v>19.22</v>
      </c>
      <c r="AJ6" s="12">
        <v>23.09</v>
      </c>
      <c r="AK6" s="12">
        <v>26.63</v>
      </c>
      <c r="AL6" s="12">
        <v>28.86</v>
      </c>
      <c r="AM6" s="12">
        <v>537.21</v>
      </c>
    </row>
    <row r="7" spans="1:39" x14ac:dyDescent="0.3">
      <c r="A7" s="20" t="s">
        <v>17</v>
      </c>
      <c r="B7" s="12">
        <v>1742.96</v>
      </c>
      <c r="C7" s="12">
        <v>1775.95</v>
      </c>
      <c r="D7" s="12">
        <v>2772.25</v>
      </c>
      <c r="E7" s="12">
        <v>3541.9</v>
      </c>
      <c r="F7" s="12">
        <v>3809.11</v>
      </c>
      <c r="G7" s="26">
        <v>6177.54</v>
      </c>
      <c r="I7" s="8" t="s">
        <v>74</v>
      </c>
      <c r="J7" s="12">
        <v>50.06</v>
      </c>
      <c r="K7" s="12">
        <v>29.49</v>
      </c>
      <c r="L7" s="12">
        <v>19.91</v>
      </c>
      <c r="M7" s="12">
        <v>52.28</v>
      </c>
      <c r="N7" s="12">
        <v>33.32</v>
      </c>
      <c r="O7" s="12">
        <v>28.58</v>
      </c>
      <c r="Q7" s="20" t="s">
        <v>75</v>
      </c>
      <c r="R7" s="12">
        <v>147</v>
      </c>
      <c r="S7" s="12">
        <v>136.32</v>
      </c>
      <c r="T7" s="12">
        <v>231.32</v>
      </c>
      <c r="U7" s="12">
        <v>214.57</v>
      </c>
      <c r="V7" s="12">
        <v>195.24</v>
      </c>
      <c r="W7" s="26">
        <v>289.57</v>
      </c>
      <c r="Y7" s="8" t="s">
        <v>74</v>
      </c>
      <c r="Z7" s="12">
        <v>796.55</v>
      </c>
      <c r="AA7" s="12">
        <v>236.12</v>
      </c>
      <c r="AB7" s="12">
        <v>1170.32</v>
      </c>
      <c r="AC7" s="12">
        <v>2949.09</v>
      </c>
      <c r="AD7" s="12">
        <v>2897.04</v>
      </c>
      <c r="AE7" s="12">
        <v>2390.86</v>
      </c>
      <c r="AG7" s="8" t="s">
        <v>75</v>
      </c>
      <c r="AH7" s="12">
        <v>265.0926</v>
      </c>
      <c r="AI7" s="12">
        <v>253.05</v>
      </c>
      <c r="AJ7" s="12">
        <v>335.5</v>
      </c>
      <c r="AK7" s="12">
        <v>313.39</v>
      </c>
      <c r="AL7" s="12">
        <v>328.88</v>
      </c>
      <c r="AM7" s="12">
        <v>346.13</v>
      </c>
    </row>
    <row r="8" spans="1:39" x14ac:dyDescent="0.3">
      <c r="A8" s="20" t="s">
        <v>18</v>
      </c>
      <c r="B8" s="12">
        <v>3216.33</v>
      </c>
      <c r="C8" s="12">
        <v>3697.13</v>
      </c>
      <c r="D8" s="12">
        <v>4022.9</v>
      </c>
      <c r="E8" s="12">
        <v>6814.03</v>
      </c>
      <c r="F8" s="12">
        <v>10936.09</v>
      </c>
      <c r="G8" s="26">
        <v>11592.19</v>
      </c>
      <c r="I8" s="8" t="s">
        <v>75</v>
      </c>
      <c r="J8" s="12">
        <v>100.15</v>
      </c>
      <c r="K8" s="12">
        <v>109.79</v>
      </c>
      <c r="L8" s="12">
        <v>133.69999999999999</v>
      </c>
      <c r="M8" s="12">
        <v>106.16</v>
      </c>
      <c r="N8" s="12">
        <v>102.93</v>
      </c>
      <c r="O8" s="12">
        <v>161.78</v>
      </c>
      <c r="Q8" s="20" t="s">
        <v>74</v>
      </c>
      <c r="R8" s="12">
        <v>83.96</v>
      </c>
      <c r="S8" s="12">
        <v>17.899999999999999</v>
      </c>
      <c r="T8" s="12">
        <v>2.46</v>
      </c>
      <c r="U8" s="12">
        <v>11.45</v>
      </c>
      <c r="V8" s="12">
        <v>13.92</v>
      </c>
      <c r="W8" s="26">
        <v>38.520000000000003</v>
      </c>
      <c r="Y8" s="8" t="s">
        <v>101</v>
      </c>
      <c r="Z8" s="12">
        <v>490.4</v>
      </c>
      <c r="AA8" s="12">
        <v>421.61</v>
      </c>
      <c r="AB8" s="12">
        <v>3962.98</v>
      </c>
      <c r="AC8" s="12">
        <v>3360.22</v>
      </c>
      <c r="AD8" s="12">
        <f>1936.44+254.93</f>
        <v>2191.37</v>
      </c>
      <c r="AE8" s="12">
        <f>1157.33+501.3</f>
        <v>1658.6299999999999</v>
      </c>
      <c r="AG8" s="8" t="s">
        <v>74</v>
      </c>
      <c r="AH8" s="12">
        <v>18.363800000000001</v>
      </c>
      <c r="AI8" s="12">
        <v>47.07</v>
      </c>
      <c r="AJ8" s="12">
        <v>1.2</v>
      </c>
      <c r="AK8" s="12">
        <v>1.27</v>
      </c>
      <c r="AL8" s="12">
        <v>93.79</v>
      </c>
      <c r="AM8" s="12">
        <v>0.32</v>
      </c>
    </row>
    <row r="9" spans="1:39" x14ac:dyDescent="0.3">
      <c r="A9" s="8" t="s">
        <v>71</v>
      </c>
      <c r="B9" s="12">
        <v>0</v>
      </c>
      <c r="C9" s="12">
        <v>0</v>
      </c>
      <c r="D9" s="12">
        <v>0</v>
      </c>
      <c r="E9" s="12">
        <v>2473.38</v>
      </c>
      <c r="F9" s="12">
        <v>1345.3</v>
      </c>
      <c r="G9" s="12">
        <v>1459.16</v>
      </c>
      <c r="I9" s="8" t="s">
        <v>76</v>
      </c>
      <c r="J9" s="12">
        <v>0.82</v>
      </c>
      <c r="K9" s="12">
        <v>0.82</v>
      </c>
      <c r="L9" s="12">
        <v>0.82</v>
      </c>
      <c r="M9" s="12">
        <v>0</v>
      </c>
      <c r="N9" s="12">
        <v>0</v>
      </c>
      <c r="O9" s="12">
        <v>0</v>
      </c>
      <c r="Q9" s="20" t="s">
        <v>19</v>
      </c>
      <c r="R9" s="12">
        <v>222.56</v>
      </c>
      <c r="S9" s="12">
        <v>215.36</v>
      </c>
      <c r="T9" s="12">
        <v>249.7</v>
      </c>
      <c r="U9" s="12">
        <v>268.49</v>
      </c>
      <c r="V9" s="12">
        <v>272.13</v>
      </c>
      <c r="W9" s="26">
        <v>278.22000000000003</v>
      </c>
      <c r="Y9" s="8" t="s">
        <v>19</v>
      </c>
      <c r="Z9" s="12">
        <v>0</v>
      </c>
      <c r="AA9" s="12">
        <v>0</v>
      </c>
      <c r="AB9" s="12">
        <v>7685.17</v>
      </c>
      <c r="AC9" s="12">
        <v>7798.65</v>
      </c>
      <c r="AD9" s="12">
        <v>7800.88</v>
      </c>
      <c r="AE9" s="12">
        <v>8348.48</v>
      </c>
      <c r="AG9" s="8" t="s">
        <v>95</v>
      </c>
      <c r="AH9" s="12">
        <v>23.6478</v>
      </c>
      <c r="AI9" s="12">
        <v>19.88</v>
      </c>
      <c r="AJ9" s="12">
        <v>20.9</v>
      </c>
      <c r="AK9" s="12">
        <v>14.73</v>
      </c>
      <c r="AL9" s="12">
        <v>8.86</v>
      </c>
      <c r="AM9" s="12">
        <v>3.32</v>
      </c>
    </row>
    <row r="10" spans="1:39" x14ac:dyDescent="0.3">
      <c r="A10" s="20" t="s">
        <v>19</v>
      </c>
      <c r="B10" s="12">
        <v>3286.25</v>
      </c>
      <c r="C10" s="12">
        <v>4036.43</v>
      </c>
      <c r="D10" s="12">
        <v>6711.43</v>
      </c>
      <c r="E10" s="12">
        <v>6963.4</v>
      </c>
      <c r="F10" s="12">
        <v>6906.93</v>
      </c>
      <c r="G10" s="26">
        <v>7093.59</v>
      </c>
      <c r="I10" s="8" t="s">
        <v>19</v>
      </c>
      <c r="J10" s="12">
        <v>105.88</v>
      </c>
      <c r="K10" s="12">
        <v>114.76</v>
      </c>
      <c r="L10" s="12">
        <v>184.21</v>
      </c>
      <c r="M10" s="12">
        <v>183.61</v>
      </c>
      <c r="N10" s="12">
        <v>184.3</v>
      </c>
      <c r="O10" s="12">
        <v>184.73</v>
      </c>
      <c r="Q10" s="20" t="s">
        <v>95</v>
      </c>
      <c r="R10" s="12">
        <v>87.99</v>
      </c>
      <c r="S10" s="12">
        <v>66.37</v>
      </c>
      <c r="T10" s="12">
        <v>44.68</v>
      </c>
      <c r="U10" s="12">
        <v>32.520000000000003</v>
      </c>
      <c r="V10" s="12">
        <v>19.68</v>
      </c>
      <c r="W10" s="26">
        <v>4.83</v>
      </c>
      <c r="Y10" s="8" t="s">
        <v>95</v>
      </c>
      <c r="Z10" s="12">
        <v>83.72</v>
      </c>
      <c r="AA10" s="12">
        <v>55.39</v>
      </c>
      <c r="AB10" s="12">
        <v>18729.37</v>
      </c>
      <c r="AC10" s="12">
        <v>18007.98</v>
      </c>
      <c r="AD10" s="12">
        <v>17384.52</v>
      </c>
      <c r="AE10" s="12">
        <v>17050.759999999998</v>
      </c>
      <c r="AG10" s="8" t="s">
        <v>73</v>
      </c>
      <c r="AH10" s="12">
        <v>6.3705999999999996</v>
      </c>
      <c r="AI10" s="12">
        <v>6.37</v>
      </c>
      <c r="AJ10" s="12">
        <v>0</v>
      </c>
      <c r="AK10" s="12">
        <v>0</v>
      </c>
      <c r="AL10" s="12">
        <v>0</v>
      </c>
      <c r="AM10" s="12">
        <v>140.13999999999999</v>
      </c>
    </row>
    <row r="11" spans="1:39" x14ac:dyDescent="0.3">
      <c r="A11" s="20" t="s">
        <v>20</v>
      </c>
      <c r="B11" s="12">
        <v>1940.38</v>
      </c>
      <c r="C11" s="12">
        <v>5533.03</v>
      </c>
      <c r="D11" s="12">
        <v>11580.54</v>
      </c>
      <c r="E11" s="12">
        <v>11445.51</v>
      </c>
      <c r="F11" s="12">
        <v>11282.64</v>
      </c>
      <c r="G11" s="26">
        <v>12491.6</v>
      </c>
      <c r="I11" s="8" t="s">
        <v>77</v>
      </c>
      <c r="J11" s="12">
        <v>1666.52</v>
      </c>
      <c r="K11" s="12">
        <v>1624.94</v>
      </c>
      <c r="L11" s="12">
        <v>1613.23</v>
      </c>
      <c r="M11" s="12">
        <v>853.88</v>
      </c>
      <c r="N11" s="12">
        <v>789.48</v>
      </c>
      <c r="O11" s="12">
        <v>723.84</v>
      </c>
      <c r="Q11" s="20" t="s">
        <v>22</v>
      </c>
      <c r="R11" s="12">
        <v>0</v>
      </c>
      <c r="S11" s="12">
        <v>0</v>
      </c>
      <c r="T11" s="12">
        <v>0</v>
      </c>
      <c r="U11" s="12">
        <v>0</v>
      </c>
      <c r="V11" s="12">
        <v>0</v>
      </c>
      <c r="W11" s="26">
        <v>0</v>
      </c>
      <c r="Y11" s="8" t="s">
        <v>73</v>
      </c>
      <c r="Z11" s="12">
        <v>0.66</v>
      </c>
      <c r="AA11" s="12">
        <v>48.01</v>
      </c>
      <c r="AB11" s="12">
        <v>79.23</v>
      </c>
      <c r="AC11" s="12">
        <v>116.48</v>
      </c>
      <c r="AD11" s="12">
        <v>147.97</v>
      </c>
      <c r="AE11" s="12">
        <v>197.82</v>
      </c>
      <c r="AG11" s="8" t="s">
        <v>111</v>
      </c>
      <c r="AH11" s="12">
        <v>1574.9679000000001</v>
      </c>
      <c r="AI11" s="12">
        <v>1720.15</v>
      </c>
      <c r="AJ11" s="12">
        <v>1872.31</v>
      </c>
      <c r="AK11" s="12">
        <v>1893.76</v>
      </c>
      <c r="AL11" s="12">
        <v>2395.17</v>
      </c>
      <c r="AM11" s="12">
        <v>1764.13</v>
      </c>
    </row>
    <row r="12" spans="1:39" x14ac:dyDescent="0.3">
      <c r="A12" s="8" t="s">
        <v>73</v>
      </c>
      <c r="B12" s="12">
        <v>0</v>
      </c>
      <c r="C12" s="12">
        <v>0</v>
      </c>
      <c r="D12" s="12">
        <v>0</v>
      </c>
      <c r="E12" s="12">
        <v>0</v>
      </c>
      <c r="F12" s="12">
        <v>0</v>
      </c>
      <c r="G12" s="12">
        <v>113.91</v>
      </c>
      <c r="I12" s="8" t="s">
        <v>73</v>
      </c>
      <c r="J12" s="12">
        <v>4.2</v>
      </c>
      <c r="K12" s="12">
        <v>4.54</v>
      </c>
      <c r="L12" s="12">
        <v>4.72</v>
      </c>
      <c r="M12" s="12">
        <v>0</v>
      </c>
      <c r="N12" s="12">
        <v>0</v>
      </c>
      <c r="O12" s="12">
        <v>0</v>
      </c>
      <c r="Q12" s="20" t="s">
        <v>31</v>
      </c>
      <c r="R12" s="12">
        <v>18.899999999999999</v>
      </c>
      <c r="S12" s="12">
        <v>182.13</v>
      </c>
      <c r="T12" s="12">
        <v>467.69</v>
      </c>
      <c r="U12" s="12">
        <v>359.3</v>
      </c>
      <c r="V12" s="12">
        <v>288.33999999999997</v>
      </c>
      <c r="W12" s="26">
        <v>214.93</v>
      </c>
      <c r="Y12" s="8" t="s">
        <v>75</v>
      </c>
      <c r="Z12" s="12">
        <v>412.82</v>
      </c>
      <c r="AA12" s="12">
        <v>417.37</v>
      </c>
      <c r="AB12" s="12">
        <v>1989.51</v>
      </c>
      <c r="AC12" s="12">
        <v>2137.87</v>
      </c>
      <c r="AD12" s="12">
        <v>2289.41</v>
      </c>
      <c r="AE12" s="12">
        <v>2869.02</v>
      </c>
      <c r="AG12" s="8" t="s">
        <v>22</v>
      </c>
      <c r="AH12" s="12">
        <v>9.9700000000000006</v>
      </c>
      <c r="AI12" s="12">
        <v>10</v>
      </c>
      <c r="AJ12" s="12">
        <v>10</v>
      </c>
      <c r="AK12" s="12">
        <v>10</v>
      </c>
      <c r="AL12" s="12">
        <v>10</v>
      </c>
      <c r="AM12" s="12">
        <v>0</v>
      </c>
    </row>
    <row r="13" spans="1:39" x14ac:dyDescent="0.3">
      <c r="A13" s="20" t="s">
        <v>21</v>
      </c>
      <c r="B13" s="12">
        <v>826.01</v>
      </c>
      <c r="C13" s="12">
        <v>649.53</v>
      </c>
      <c r="D13" s="12">
        <v>1189.8499999999999</v>
      </c>
      <c r="E13" s="12">
        <v>2498.38</v>
      </c>
      <c r="F13" s="12">
        <v>2707.26</v>
      </c>
      <c r="G13" s="26">
        <v>3082.64</v>
      </c>
      <c r="I13" s="8" t="s">
        <v>22</v>
      </c>
      <c r="J13" s="12">
        <v>1.36</v>
      </c>
      <c r="K13" s="12">
        <v>1.1299999999999999</v>
      </c>
      <c r="L13" s="12">
        <v>1.49</v>
      </c>
      <c r="M13" s="12">
        <v>1.55</v>
      </c>
      <c r="N13" s="12">
        <v>0</v>
      </c>
      <c r="O13" s="12">
        <v>0</v>
      </c>
      <c r="Q13" s="20" t="s">
        <v>23</v>
      </c>
      <c r="R13" s="12">
        <v>10.95</v>
      </c>
      <c r="S13" s="12">
        <v>13.24</v>
      </c>
      <c r="T13" s="12">
        <v>0</v>
      </c>
      <c r="U13" s="12">
        <v>0</v>
      </c>
      <c r="V13" s="12">
        <v>0</v>
      </c>
      <c r="W13" s="26"/>
      <c r="Y13" s="8" t="s">
        <v>22</v>
      </c>
      <c r="Z13" s="12">
        <v>27975.279999999999</v>
      </c>
      <c r="AA13" s="12">
        <v>28569.119999999999</v>
      </c>
      <c r="AB13" s="12">
        <f>2521.16+7074.44</f>
        <v>9595.5999999999985</v>
      </c>
      <c r="AC13" s="12">
        <f>1304.86+7920.03</f>
        <v>9224.89</v>
      </c>
      <c r="AD13" s="12">
        <f>1264.25+9425.94</f>
        <v>10690.19</v>
      </c>
      <c r="AE13" s="12">
        <f>2318.42+9126.23</f>
        <v>11444.65</v>
      </c>
      <c r="AG13" s="8" t="s">
        <v>112</v>
      </c>
      <c r="AH13" s="12">
        <v>1386.1360999999999</v>
      </c>
      <c r="AI13" s="12">
        <v>1262.95</v>
      </c>
      <c r="AJ13" s="12">
        <v>1826.88</v>
      </c>
      <c r="AK13" s="12">
        <v>4964.3599999999997</v>
      </c>
      <c r="AL13" s="12">
        <v>4492.3599999999997</v>
      </c>
      <c r="AM13" s="12">
        <v>3992.85</v>
      </c>
    </row>
    <row r="14" spans="1:39" x14ac:dyDescent="0.3">
      <c r="A14" s="20" t="s">
        <v>22</v>
      </c>
      <c r="B14" s="12">
        <v>340.1</v>
      </c>
      <c r="C14" s="12">
        <v>447.86</v>
      </c>
      <c r="D14" s="12">
        <v>1923.1</v>
      </c>
      <c r="E14" s="12">
        <v>1059.47</v>
      </c>
      <c r="F14" s="12">
        <v>919.61</v>
      </c>
      <c r="G14" s="26">
        <v>824.93</v>
      </c>
      <c r="I14" s="8" t="s">
        <v>31</v>
      </c>
      <c r="J14" s="12">
        <v>186.7</v>
      </c>
      <c r="K14" s="12">
        <v>187.85</v>
      </c>
      <c r="L14" s="12">
        <v>213.82</v>
      </c>
      <c r="M14" s="12">
        <v>188.79</v>
      </c>
      <c r="N14" s="12">
        <v>131.05000000000001</v>
      </c>
      <c r="O14" s="12">
        <v>80.5</v>
      </c>
      <c r="Q14" s="20" t="s">
        <v>25</v>
      </c>
      <c r="R14" s="12">
        <v>0</v>
      </c>
      <c r="S14" s="12">
        <v>0</v>
      </c>
      <c r="T14" s="12">
        <v>41.03</v>
      </c>
      <c r="U14" s="12">
        <v>76.2</v>
      </c>
      <c r="V14" s="12">
        <v>61.94</v>
      </c>
      <c r="W14" s="26">
        <v>66.069999999999993</v>
      </c>
      <c r="Y14" s="8" t="s">
        <v>23</v>
      </c>
      <c r="Z14" s="12">
        <v>3507</v>
      </c>
      <c r="AA14" s="12">
        <v>2567.0500000000002</v>
      </c>
      <c r="AB14" s="12">
        <f>46736.84+284.54</f>
        <v>47021.38</v>
      </c>
      <c r="AC14" s="12">
        <f>40920.92+356</f>
        <v>41276.92</v>
      </c>
      <c r="AD14" s="12">
        <f>52154.76+475.46</f>
        <v>52630.22</v>
      </c>
      <c r="AE14" s="12">
        <f>62847.35+348.96</f>
        <v>63196.31</v>
      </c>
      <c r="AG14" s="8" t="s">
        <v>23</v>
      </c>
      <c r="AH14" s="12">
        <v>9.1170000000000009</v>
      </c>
      <c r="AI14" s="12">
        <v>8.17</v>
      </c>
      <c r="AJ14" s="12">
        <v>6.06</v>
      </c>
      <c r="AK14" s="12">
        <v>4.87</v>
      </c>
      <c r="AL14" s="12">
        <v>4.07</v>
      </c>
      <c r="AM14" s="12">
        <v>4.72</v>
      </c>
    </row>
    <row r="15" spans="1:39" x14ac:dyDescent="0.3">
      <c r="A15" s="20" t="s">
        <v>23</v>
      </c>
      <c r="B15" s="12">
        <v>0</v>
      </c>
      <c r="C15" s="12">
        <v>235</v>
      </c>
      <c r="D15" s="12">
        <v>87</v>
      </c>
      <c r="E15" s="12">
        <v>1582.15</v>
      </c>
      <c r="F15" s="12">
        <v>55</v>
      </c>
      <c r="G15" s="26">
        <v>24</v>
      </c>
      <c r="I15" s="8" t="s">
        <v>23</v>
      </c>
      <c r="J15" s="12">
        <v>76.53</v>
      </c>
      <c r="K15" s="12">
        <v>88.88</v>
      </c>
      <c r="L15" s="12">
        <v>0</v>
      </c>
      <c r="M15" s="12">
        <v>0</v>
      </c>
      <c r="N15" s="12">
        <v>0</v>
      </c>
      <c r="O15" s="12">
        <v>0</v>
      </c>
      <c r="Q15" s="20" t="s">
        <v>27</v>
      </c>
      <c r="R15" s="12">
        <v>22.37</v>
      </c>
      <c r="S15" s="12">
        <v>61.93</v>
      </c>
      <c r="T15" s="12">
        <v>214.13</v>
      </c>
      <c r="U15" s="12">
        <v>327.31</v>
      </c>
      <c r="V15" s="12">
        <v>353.66</v>
      </c>
      <c r="W15" s="26">
        <v>452.7</v>
      </c>
      <c r="Y15" s="8" t="s">
        <v>25</v>
      </c>
      <c r="Z15" s="12">
        <v>304.48</v>
      </c>
      <c r="AA15" s="12">
        <v>403.84</v>
      </c>
      <c r="AB15" s="12">
        <v>2134.9</v>
      </c>
      <c r="AC15" s="12">
        <v>1965.78</v>
      </c>
      <c r="AD15" s="12">
        <v>1952.08</v>
      </c>
      <c r="AE15" s="12">
        <v>1863.04</v>
      </c>
      <c r="AG15" s="8" t="s">
        <v>78</v>
      </c>
      <c r="AH15" s="12">
        <v>519.41880000000003</v>
      </c>
      <c r="AI15" s="12">
        <v>744.32</v>
      </c>
      <c r="AJ15" s="12">
        <v>1086.56</v>
      </c>
      <c r="AK15" s="12">
        <v>1799.66</v>
      </c>
      <c r="AL15" s="12">
        <v>2010.59</v>
      </c>
      <c r="AM15" s="12">
        <v>1177.53</v>
      </c>
    </row>
    <row r="16" spans="1:39" x14ac:dyDescent="0.3">
      <c r="A16" s="37" t="s">
        <v>24</v>
      </c>
      <c r="B16" s="38">
        <v>1264.3699999999999</v>
      </c>
      <c r="C16" s="38">
        <v>751.26</v>
      </c>
      <c r="D16" s="38">
        <v>484.41</v>
      </c>
      <c r="E16" s="38">
        <v>6.7</v>
      </c>
      <c r="F16" s="38">
        <v>4.5199999999999996</v>
      </c>
      <c r="G16" s="39">
        <v>704.15</v>
      </c>
      <c r="I16" s="8" t="s">
        <v>78</v>
      </c>
      <c r="J16" s="12">
        <v>36.549999999999997</v>
      </c>
      <c r="K16" s="12">
        <v>43.18</v>
      </c>
      <c r="L16" s="12">
        <v>160.5</v>
      </c>
      <c r="M16" s="12">
        <v>156.34</v>
      </c>
      <c r="N16" s="12">
        <v>194.73</v>
      </c>
      <c r="O16" s="12">
        <v>292.36</v>
      </c>
      <c r="Q16" s="20" t="s">
        <v>93</v>
      </c>
      <c r="R16" s="12">
        <v>155.81</v>
      </c>
      <c r="S16" s="12">
        <v>168.51</v>
      </c>
      <c r="T16" s="12">
        <v>179.43</v>
      </c>
      <c r="U16" s="12">
        <v>268.02999999999997</v>
      </c>
      <c r="V16" s="12">
        <v>294.06</v>
      </c>
      <c r="W16" s="26">
        <v>138.91999999999999</v>
      </c>
      <c r="Y16" s="8" t="s">
        <v>27</v>
      </c>
      <c r="Z16" s="12">
        <v>1428.2</v>
      </c>
      <c r="AA16" s="12">
        <v>494</v>
      </c>
      <c r="AB16" s="12">
        <v>2840.1</v>
      </c>
      <c r="AC16" s="12">
        <v>3984.79</v>
      </c>
      <c r="AD16" s="12">
        <v>3863.72</v>
      </c>
      <c r="AE16" s="12">
        <v>3792.88</v>
      </c>
      <c r="AG16" s="8" t="s">
        <v>27</v>
      </c>
      <c r="AH16" s="12">
        <v>42.784799999999997</v>
      </c>
      <c r="AI16" s="12">
        <v>43.13</v>
      </c>
      <c r="AJ16" s="12">
        <v>13.15</v>
      </c>
      <c r="AK16" s="12">
        <v>13.81</v>
      </c>
      <c r="AL16" s="12">
        <v>13.99</v>
      </c>
      <c r="AM16" s="12">
        <v>45.29</v>
      </c>
    </row>
    <row r="17" spans="1:39" x14ac:dyDescent="0.3">
      <c r="A17" s="46" t="s">
        <v>25</v>
      </c>
      <c r="B17" s="47"/>
      <c r="C17" s="47"/>
      <c r="D17" s="47"/>
      <c r="E17" s="47"/>
      <c r="F17" s="48"/>
      <c r="G17" s="49"/>
      <c r="I17" s="8" t="s">
        <v>27</v>
      </c>
      <c r="J17" s="12">
        <v>118.63</v>
      </c>
      <c r="K17" s="12">
        <v>129.94</v>
      </c>
      <c r="L17" s="12">
        <v>198.02</v>
      </c>
      <c r="M17" s="12">
        <v>178.43</v>
      </c>
      <c r="N17" s="12">
        <v>187.66</v>
      </c>
      <c r="O17" s="12">
        <v>270.52</v>
      </c>
      <c r="Q17" s="20" t="s">
        <v>28</v>
      </c>
      <c r="R17" s="12">
        <v>212.04</v>
      </c>
      <c r="S17" s="12">
        <v>323.25</v>
      </c>
      <c r="T17" s="12">
        <v>209.6</v>
      </c>
      <c r="U17" s="12">
        <v>217.88</v>
      </c>
      <c r="V17" s="12">
        <v>233.43</v>
      </c>
      <c r="W17" s="26">
        <v>235.53</v>
      </c>
      <c r="Y17" s="8" t="s">
        <v>80</v>
      </c>
      <c r="Z17" s="12">
        <v>0</v>
      </c>
      <c r="AA17" s="12">
        <v>0</v>
      </c>
      <c r="AB17" s="12">
        <v>0</v>
      </c>
      <c r="AC17" s="12">
        <v>0</v>
      </c>
      <c r="AD17" s="12">
        <v>4245.78</v>
      </c>
      <c r="AE17" s="12">
        <v>4581.6000000000004</v>
      </c>
      <c r="AG17" s="8" t="s">
        <v>28</v>
      </c>
      <c r="AH17" s="12">
        <v>0.44290000000000002</v>
      </c>
      <c r="AI17" s="12">
        <v>102.32</v>
      </c>
      <c r="AJ17" s="12">
        <v>204.68</v>
      </c>
      <c r="AK17" s="12">
        <v>255.99</v>
      </c>
      <c r="AL17" s="12">
        <v>479.63</v>
      </c>
      <c r="AM17" s="12">
        <v>0.38</v>
      </c>
    </row>
    <row r="18" spans="1:39" x14ac:dyDescent="0.3">
      <c r="A18" s="40" t="s">
        <v>26</v>
      </c>
      <c r="B18" s="41">
        <v>6.9</v>
      </c>
      <c r="C18" s="41">
        <v>89.42</v>
      </c>
      <c r="D18" s="41">
        <v>3072.08</v>
      </c>
      <c r="E18" s="41">
        <v>1552.97</v>
      </c>
      <c r="F18" s="41">
        <v>1523.53</v>
      </c>
      <c r="G18" s="42">
        <v>1633.51</v>
      </c>
      <c r="I18" s="8" t="s">
        <v>93</v>
      </c>
      <c r="J18" s="12">
        <v>7.13</v>
      </c>
      <c r="K18" s="12">
        <v>3.17</v>
      </c>
      <c r="L18" s="12">
        <v>7.18</v>
      </c>
      <c r="M18" s="12">
        <v>0.59</v>
      </c>
      <c r="N18" s="12">
        <v>1.17</v>
      </c>
      <c r="O18" s="12">
        <v>2</v>
      </c>
      <c r="Q18" s="24" t="s">
        <v>36</v>
      </c>
      <c r="R18" s="27">
        <f>SUM(R6:R17)</f>
        <v>1855.81</v>
      </c>
      <c r="S18" s="27">
        <f t="shared" ref="S18:W18" si="0">SUM(S6:S17)</f>
        <v>2164.46</v>
      </c>
      <c r="T18" s="27">
        <f t="shared" si="0"/>
        <v>2651.9900000000002</v>
      </c>
      <c r="U18" s="27">
        <f t="shared" si="0"/>
        <v>2842.9800000000005</v>
      </c>
      <c r="V18" s="27">
        <f t="shared" si="0"/>
        <v>2873.62</v>
      </c>
      <c r="W18" s="27">
        <f t="shared" si="0"/>
        <v>2793.28</v>
      </c>
      <c r="Y18" s="8" t="s">
        <v>28</v>
      </c>
      <c r="Z18" s="12">
        <v>4068.94</v>
      </c>
      <c r="AA18" s="12">
        <v>3646.05</v>
      </c>
      <c r="AB18" s="12">
        <v>6077.62</v>
      </c>
      <c r="AC18" s="12">
        <v>5989.04</v>
      </c>
      <c r="AD18" s="12">
        <v>2156.5500000000002</v>
      </c>
      <c r="AE18" s="12">
        <v>2659.78</v>
      </c>
      <c r="AG18" s="5" t="s">
        <v>36</v>
      </c>
      <c r="AH18" s="27">
        <f>SUM(AH6:AH17)</f>
        <v>3872.8759</v>
      </c>
      <c r="AI18" s="27">
        <f t="shared" ref="AI18:AM18" si="1">SUM(AI6:AI17)</f>
        <v>4236.63</v>
      </c>
      <c r="AJ18" s="27">
        <f t="shared" si="1"/>
        <v>5400.33</v>
      </c>
      <c r="AK18" s="27">
        <f t="shared" si="1"/>
        <v>9298.4699999999993</v>
      </c>
      <c r="AL18" s="27">
        <f t="shared" si="1"/>
        <v>9866.1999999999989</v>
      </c>
      <c r="AM18" s="27">
        <f t="shared" si="1"/>
        <v>8012.02</v>
      </c>
    </row>
    <row r="19" spans="1:39" x14ac:dyDescent="0.3">
      <c r="A19" s="20" t="s">
        <v>25</v>
      </c>
      <c r="B19" s="12">
        <v>5052.26</v>
      </c>
      <c r="C19" s="12">
        <v>5010.8500000000004</v>
      </c>
      <c r="D19" s="12">
        <v>4607.95</v>
      </c>
      <c r="E19" s="12">
        <v>4567.78</v>
      </c>
      <c r="F19" s="12">
        <v>3167.65</v>
      </c>
      <c r="G19" s="26">
        <v>3323.67</v>
      </c>
      <c r="I19" s="8" t="s">
        <v>28</v>
      </c>
      <c r="J19" s="12">
        <v>55.34</v>
      </c>
      <c r="K19" s="12">
        <v>72.39</v>
      </c>
      <c r="L19" s="12">
        <v>133.54</v>
      </c>
      <c r="M19" s="12">
        <v>127.19</v>
      </c>
      <c r="N19" s="12">
        <v>137.81</v>
      </c>
      <c r="O19" s="12">
        <v>148.11000000000001</v>
      </c>
      <c r="Q19" s="2" t="s">
        <v>29</v>
      </c>
      <c r="R19" s="50"/>
      <c r="S19" s="50"/>
      <c r="T19" s="50"/>
      <c r="U19" s="50"/>
      <c r="V19" s="50"/>
      <c r="W19" s="50"/>
      <c r="Y19" s="5" t="s">
        <v>36</v>
      </c>
      <c r="Z19" s="27">
        <f t="shared" ref="Z19:AE19" si="2">SUM(Z6:Z18)</f>
        <v>45921.48</v>
      </c>
      <c r="AA19" s="27">
        <f t="shared" si="2"/>
        <v>44320.770000000004</v>
      </c>
      <c r="AB19" s="27">
        <f t="shared" si="2"/>
        <v>111864.15999999999</v>
      </c>
      <c r="AC19" s="27">
        <f t="shared" si="2"/>
        <v>108147.98999999999</v>
      </c>
      <c r="AD19" s="27">
        <f t="shared" si="2"/>
        <v>121547.37000000001</v>
      </c>
      <c r="AE19" s="27">
        <f t="shared" si="2"/>
        <v>134182.38999999998</v>
      </c>
      <c r="AG19" s="23" t="s">
        <v>113</v>
      </c>
      <c r="AH19" s="28"/>
      <c r="AI19" s="28"/>
      <c r="AJ19" s="28"/>
      <c r="AK19" s="28"/>
      <c r="AL19" s="28"/>
      <c r="AM19" s="28"/>
    </row>
    <row r="20" spans="1:39" x14ac:dyDescent="0.3">
      <c r="A20" s="20" t="s">
        <v>27</v>
      </c>
      <c r="B20" s="12">
        <v>1209.6199999999999</v>
      </c>
      <c r="C20" s="12">
        <v>881.73</v>
      </c>
      <c r="D20" s="12">
        <v>1357.83</v>
      </c>
      <c r="E20" s="12">
        <v>2199.9</v>
      </c>
      <c r="F20" s="12">
        <v>1918.67</v>
      </c>
      <c r="G20" s="26">
        <v>1889.58</v>
      </c>
      <c r="I20" s="5" t="s">
        <v>36</v>
      </c>
      <c r="J20" s="27">
        <f t="shared" ref="J20:O20" si="3">SUM(J6:J19)</f>
        <v>3980.9600000000005</v>
      </c>
      <c r="K20" s="27">
        <f t="shared" si="3"/>
        <v>4032.91</v>
      </c>
      <c r="L20" s="27">
        <f t="shared" si="3"/>
        <v>4297.75</v>
      </c>
      <c r="M20" s="27">
        <f t="shared" si="3"/>
        <v>3829.6000000000004</v>
      </c>
      <c r="N20" s="27">
        <f t="shared" si="3"/>
        <v>3758.78</v>
      </c>
      <c r="O20" s="27">
        <f t="shared" si="3"/>
        <v>4073.7100000000005</v>
      </c>
      <c r="Q20" s="20" t="s">
        <v>30</v>
      </c>
      <c r="R20" s="12">
        <v>775.82</v>
      </c>
      <c r="S20" s="12">
        <v>842.2</v>
      </c>
      <c r="T20" s="12">
        <v>1066.48</v>
      </c>
      <c r="U20" s="12">
        <v>1137.1600000000001</v>
      </c>
      <c r="V20" s="12">
        <v>1213.31</v>
      </c>
      <c r="W20" s="26">
        <v>1140.46</v>
      </c>
      <c r="Y20" s="2" t="s">
        <v>29</v>
      </c>
      <c r="Z20" s="50"/>
      <c r="AA20" s="50"/>
      <c r="AB20" s="50"/>
      <c r="AC20" s="50"/>
      <c r="AD20" s="50"/>
      <c r="AE20" s="50"/>
      <c r="AG20" s="8" t="s">
        <v>114</v>
      </c>
      <c r="AH20" s="12">
        <v>9.1819000000000006</v>
      </c>
      <c r="AI20" s="12">
        <v>23.49</v>
      </c>
      <c r="AJ20" s="12">
        <v>49.91</v>
      </c>
      <c r="AK20" s="12">
        <v>58.93</v>
      </c>
      <c r="AL20" s="12">
        <v>64.72</v>
      </c>
      <c r="AM20" s="12">
        <v>0</v>
      </c>
    </row>
    <row r="21" spans="1:39" x14ac:dyDescent="0.3">
      <c r="A21" s="20" t="s">
        <v>28</v>
      </c>
      <c r="B21" s="12">
        <v>2753.66</v>
      </c>
      <c r="C21" s="12">
        <v>2593.44</v>
      </c>
      <c r="D21" s="12">
        <v>2299.36</v>
      </c>
      <c r="E21" s="12">
        <v>4338.04</v>
      </c>
      <c r="F21" s="12">
        <v>5065.37</v>
      </c>
      <c r="G21" s="26">
        <v>3583.21</v>
      </c>
      <c r="I21" s="23" t="s">
        <v>29</v>
      </c>
      <c r="J21" s="29"/>
      <c r="K21" s="29"/>
      <c r="L21" s="29"/>
      <c r="M21" s="29"/>
      <c r="N21" s="29"/>
      <c r="O21" s="29"/>
      <c r="Q21" s="20" t="s">
        <v>22</v>
      </c>
      <c r="R21" s="12">
        <v>22.5</v>
      </c>
      <c r="S21" s="12">
        <v>1.06</v>
      </c>
      <c r="T21" s="12">
        <v>12.64</v>
      </c>
      <c r="U21" s="12">
        <v>0</v>
      </c>
      <c r="V21" s="12">
        <v>0</v>
      </c>
      <c r="W21" s="26">
        <v>0</v>
      </c>
      <c r="Y21" s="8" t="s">
        <v>30</v>
      </c>
      <c r="Z21" s="12">
        <v>2769.9</v>
      </c>
      <c r="AA21" s="12">
        <v>2858.56</v>
      </c>
      <c r="AB21" s="12">
        <v>5943.32</v>
      </c>
      <c r="AC21" s="12">
        <v>6828.78</v>
      </c>
      <c r="AD21" s="12">
        <v>6620.19</v>
      </c>
      <c r="AE21" s="12">
        <v>7670.55</v>
      </c>
      <c r="AG21" s="8" t="s">
        <v>22</v>
      </c>
      <c r="AH21" s="12">
        <v>0</v>
      </c>
      <c r="AI21" s="12">
        <v>0</v>
      </c>
      <c r="AJ21" s="12">
        <v>0</v>
      </c>
      <c r="AK21" s="12">
        <v>0</v>
      </c>
      <c r="AL21" s="12">
        <v>0</v>
      </c>
      <c r="AM21" s="12">
        <v>0</v>
      </c>
    </row>
    <row r="22" spans="1:39" x14ac:dyDescent="0.3">
      <c r="A22" s="24" t="s">
        <v>36</v>
      </c>
      <c r="B22" s="27">
        <f t="shared" ref="B22:G22" si="4">SUM(B6:B21)</f>
        <v>47383.760000000009</v>
      </c>
      <c r="C22" s="27">
        <f t="shared" si="4"/>
        <v>62493.14</v>
      </c>
      <c r="D22" s="27">
        <f t="shared" si="4"/>
        <v>81597.400000000023</v>
      </c>
      <c r="E22" s="27">
        <f t="shared" si="4"/>
        <v>97457.609999999971</v>
      </c>
      <c r="F22" s="27">
        <f t="shared" si="4"/>
        <v>101445.51</v>
      </c>
      <c r="G22" s="27">
        <f t="shared" si="4"/>
        <v>116388.11</v>
      </c>
      <c r="I22" s="8" t="s">
        <v>30</v>
      </c>
      <c r="J22" s="12">
        <v>1208.55</v>
      </c>
      <c r="K22" s="12">
        <v>1071.08</v>
      </c>
      <c r="L22" s="12">
        <v>1096.03</v>
      </c>
      <c r="M22" s="12">
        <v>1228.47</v>
      </c>
      <c r="N22" s="12">
        <v>1353.36</v>
      </c>
      <c r="O22" s="12">
        <v>1428.76</v>
      </c>
      <c r="Q22" s="20" t="s">
        <v>31</v>
      </c>
      <c r="R22" s="12">
        <v>5425.88</v>
      </c>
      <c r="S22" s="12">
        <v>5384.69</v>
      </c>
      <c r="T22" s="12">
        <v>5106.1000000000004</v>
      </c>
      <c r="U22" s="12">
        <v>6896.06</v>
      </c>
      <c r="V22" s="12">
        <v>4136.62</v>
      </c>
      <c r="W22" s="26">
        <v>5051.1000000000004</v>
      </c>
      <c r="Y22" s="8" t="s">
        <v>22</v>
      </c>
      <c r="Z22" s="12">
        <v>6059.15</v>
      </c>
      <c r="AA22" s="12">
        <v>18454.400000000001</v>
      </c>
      <c r="AB22" s="12">
        <v>29799.58</v>
      </c>
      <c r="AC22" s="12">
        <v>35573.42</v>
      </c>
      <c r="AD22" s="12">
        <v>34957.629999999997</v>
      </c>
      <c r="AE22" s="12">
        <v>43360.62</v>
      </c>
      <c r="AG22" s="8" t="s">
        <v>31</v>
      </c>
      <c r="AH22" s="12">
        <v>834.75549999999998</v>
      </c>
      <c r="AI22" s="12">
        <v>979.83</v>
      </c>
      <c r="AJ22" s="12">
        <v>938.17</v>
      </c>
      <c r="AK22" s="12">
        <v>969.3</v>
      </c>
      <c r="AL22" s="12">
        <v>1077.3800000000001</v>
      </c>
      <c r="AM22" s="12">
        <v>1489.51</v>
      </c>
    </row>
    <row r="23" spans="1:39" x14ac:dyDescent="0.3">
      <c r="A23" s="23" t="s">
        <v>29</v>
      </c>
      <c r="B23" s="28"/>
      <c r="C23" s="28"/>
      <c r="D23" s="28"/>
      <c r="E23" s="28"/>
      <c r="F23" s="28"/>
      <c r="G23" s="28"/>
      <c r="I23" s="8" t="s">
        <v>22</v>
      </c>
      <c r="J23" s="12">
        <v>0</v>
      </c>
      <c r="K23" s="12">
        <v>0</v>
      </c>
      <c r="L23" s="12">
        <v>3.2</v>
      </c>
      <c r="M23" s="12">
        <v>3.08</v>
      </c>
      <c r="N23" s="12">
        <v>0</v>
      </c>
      <c r="O23" s="12">
        <v>150.11000000000001</v>
      </c>
      <c r="Q23" s="20" t="s">
        <v>33</v>
      </c>
      <c r="R23" s="12">
        <v>152.68</v>
      </c>
      <c r="S23" s="12">
        <v>199.79</v>
      </c>
      <c r="T23" s="12">
        <v>207.63</v>
      </c>
      <c r="U23" s="12">
        <v>281.16000000000003</v>
      </c>
      <c r="V23" s="12">
        <v>205.1</v>
      </c>
      <c r="W23" s="26">
        <v>545.69000000000005</v>
      </c>
      <c r="Y23" s="8" t="s">
        <v>31</v>
      </c>
      <c r="Z23" s="12">
        <v>27912.959999999999</v>
      </c>
      <c r="AA23" s="12">
        <v>29948.240000000002</v>
      </c>
      <c r="AB23" s="12">
        <v>46139.32</v>
      </c>
      <c r="AC23" s="12">
        <v>44731.53</v>
      </c>
      <c r="AD23" s="12">
        <v>48770.95</v>
      </c>
      <c r="AE23" s="12">
        <v>53713.68</v>
      </c>
      <c r="AG23" s="8" t="s">
        <v>112</v>
      </c>
      <c r="AH23" s="12">
        <v>265.74419999999998</v>
      </c>
      <c r="AI23" s="12">
        <v>230.29</v>
      </c>
      <c r="AJ23" s="12">
        <v>279.95</v>
      </c>
      <c r="AK23" s="12">
        <v>377.28</v>
      </c>
      <c r="AL23" s="12">
        <v>472</v>
      </c>
      <c r="AM23" s="12">
        <v>499.51</v>
      </c>
    </row>
    <row r="24" spans="1:39" x14ac:dyDescent="0.3">
      <c r="A24" s="8" t="s">
        <v>30</v>
      </c>
      <c r="B24" s="12">
        <v>288.27999999999997</v>
      </c>
      <c r="C24" s="12">
        <v>991.85</v>
      </c>
      <c r="D24" s="12">
        <v>395.64</v>
      </c>
      <c r="E24" s="12">
        <v>451.97</v>
      </c>
      <c r="F24" s="12">
        <v>437.51</v>
      </c>
      <c r="G24" s="12">
        <v>521.79999999999995</v>
      </c>
      <c r="I24" s="8" t="s">
        <v>31</v>
      </c>
      <c r="J24" s="12">
        <v>4616.01</v>
      </c>
      <c r="K24" s="12">
        <v>5016.82</v>
      </c>
      <c r="L24" s="12">
        <v>4578.7700000000004</v>
      </c>
      <c r="M24" s="12">
        <v>5251.25</v>
      </c>
      <c r="N24" s="12">
        <v>5805.29</v>
      </c>
      <c r="O24" s="12">
        <v>7816.87</v>
      </c>
      <c r="Q24" s="20" t="s">
        <v>79</v>
      </c>
      <c r="R24" s="12">
        <v>10.99</v>
      </c>
      <c r="S24" s="12">
        <v>49.38</v>
      </c>
      <c r="T24" s="12">
        <v>54.31</v>
      </c>
      <c r="U24" s="12">
        <v>63</v>
      </c>
      <c r="V24" s="12">
        <v>68.180000000000007</v>
      </c>
      <c r="W24" s="26">
        <v>110.24</v>
      </c>
      <c r="Y24" s="8" t="s">
        <v>33</v>
      </c>
      <c r="Z24" s="12">
        <v>3262.83</v>
      </c>
      <c r="AA24" s="12">
        <v>3112.69</v>
      </c>
      <c r="AB24" s="12">
        <v>13770.24</v>
      </c>
      <c r="AC24" s="12">
        <v>16926.689999999999</v>
      </c>
      <c r="AD24" s="12">
        <v>11958.5</v>
      </c>
      <c r="AE24" s="12">
        <v>12187</v>
      </c>
      <c r="AG24" s="8" t="s">
        <v>33</v>
      </c>
      <c r="AH24" s="12">
        <v>273.80759999999998</v>
      </c>
      <c r="AI24" s="12">
        <v>1421</v>
      </c>
      <c r="AJ24" s="12">
        <v>4607.9799999999996</v>
      </c>
      <c r="AK24" s="12">
        <v>836.67</v>
      </c>
      <c r="AL24" s="12">
        <v>1104.05</v>
      </c>
      <c r="AM24" s="12">
        <v>3044.8</v>
      </c>
    </row>
    <row r="25" spans="1:39" x14ac:dyDescent="0.3">
      <c r="A25" s="8" t="s">
        <v>22</v>
      </c>
      <c r="B25" s="12">
        <v>11.89</v>
      </c>
      <c r="C25" s="12">
        <v>1138.76</v>
      </c>
      <c r="D25" s="12">
        <v>47.79</v>
      </c>
      <c r="E25" s="12">
        <v>4028.69</v>
      </c>
      <c r="F25" s="12">
        <v>661.79</v>
      </c>
      <c r="G25" s="12">
        <v>751.88</v>
      </c>
      <c r="I25" s="8" t="s">
        <v>33</v>
      </c>
      <c r="J25" s="12">
        <v>499.48</v>
      </c>
      <c r="K25" s="12">
        <v>537.53</v>
      </c>
      <c r="L25" s="12">
        <v>1061.76</v>
      </c>
      <c r="M25" s="12">
        <v>956.43</v>
      </c>
      <c r="N25" s="12">
        <v>1009.33</v>
      </c>
      <c r="O25" s="12">
        <v>1601.69</v>
      </c>
      <c r="Q25" s="20" t="s">
        <v>23</v>
      </c>
      <c r="R25" s="12">
        <v>102.01</v>
      </c>
      <c r="S25" s="12">
        <v>99.67</v>
      </c>
      <c r="T25" s="12">
        <v>0</v>
      </c>
      <c r="U25" s="12">
        <v>0</v>
      </c>
      <c r="V25" s="12">
        <v>0</v>
      </c>
      <c r="W25" s="12">
        <v>0</v>
      </c>
      <c r="Y25" s="8" t="s">
        <v>102</v>
      </c>
      <c r="Z25" s="12">
        <v>675.56</v>
      </c>
      <c r="AA25" s="12">
        <v>650.59</v>
      </c>
      <c r="AB25" s="12">
        <v>5182.93</v>
      </c>
      <c r="AC25" s="12">
        <v>5592.91</v>
      </c>
      <c r="AD25" s="12">
        <v>3399.89</v>
      </c>
      <c r="AE25" s="12">
        <v>10778.34</v>
      </c>
      <c r="AG25" s="8" t="s">
        <v>115</v>
      </c>
      <c r="AH25" s="12">
        <v>709.47730000000001</v>
      </c>
      <c r="AI25" s="12">
        <v>625.97</v>
      </c>
      <c r="AJ25" s="12">
        <v>2215.52</v>
      </c>
      <c r="AK25" s="12">
        <v>1016.64</v>
      </c>
      <c r="AL25" s="12">
        <v>2008.59</v>
      </c>
      <c r="AM25" s="12">
        <v>718.44</v>
      </c>
    </row>
    <row r="26" spans="1:39" x14ac:dyDescent="0.3">
      <c r="A26" s="8" t="s">
        <v>31</v>
      </c>
      <c r="B26" s="12">
        <v>2589.09</v>
      </c>
      <c r="C26" s="12">
        <v>2385.9</v>
      </c>
      <c r="D26" s="12">
        <v>2221.9</v>
      </c>
      <c r="E26" s="12">
        <v>3241.67</v>
      </c>
      <c r="F26" s="12">
        <v>3666.94</v>
      </c>
      <c r="G26" s="12">
        <v>4432.3599999999997</v>
      </c>
      <c r="I26" s="8" t="s">
        <v>79</v>
      </c>
      <c r="J26" s="12">
        <v>46.62</v>
      </c>
      <c r="K26" s="12">
        <v>54.33</v>
      </c>
      <c r="L26" s="12">
        <v>132.26</v>
      </c>
      <c r="M26" s="12">
        <v>103.44</v>
      </c>
      <c r="N26" s="12">
        <v>22.66</v>
      </c>
      <c r="O26" s="12">
        <v>157.58000000000001</v>
      </c>
      <c r="Q26" s="20" t="s">
        <v>25</v>
      </c>
      <c r="R26" s="12">
        <v>6.07</v>
      </c>
      <c r="S26" s="12">
        <v>18.989999999999998</v>
      </c>
      <c r="T26" s="12">
        <v>113.74</v>
      </c>
      <c r="U26" s="12">
        <v>164.61</v>
      </c>
      <c r="V26" s="12">
        <v>148.51</v>
      </c>
      <c r="W26" s="26">
        <v>144.41999999999999</v>
      </c>
      <c r="Y26" s="8" t="s">
        <v>23</v>
      </c>
      <c r="Z26" s="12">
        <v>515.14</v>
      </c>
      <c r="AA26" s="12">
        <v>434.91</v>
      </c>
      <c r="AB26" s="12">
        <f>42269.2+280.34</f>
        <v>42549.539999999994</v>
      </c>
      <c r="AC26" s="12">
        <f>40460.55+251.15</f>
        <v>40711.700000000004</v>
      </c>
      <c r="AD26" s="12">
        <f>34814.59+106.54</f>
        <v>34921.129999999997</v>
      </c>
      <c r="AE26" s="12">
        <f>36077.51+416.85</f>
        <v>36494.36</v>
      </c>
      <c r="AG26" s="8" t="s">
        <v>23</v>
      </c>
      <c r="AH26" s="12">
        <v>9.7479999999999993</v>
      </c>
      <c r="AI26" s="12">
        <v>4.99</v>
      </c>
      <c r="AJ26" s="12">
        <v>4.51</v>
      </c>
      <c r="AK26" s="12">
        <v>4.13</v>
      </c>
      <c r="AL26" s="12">
        <v>4.1500000000000004</v>
      </c>
      <c r="AM26" s="12">
        <v>2.2799999999999998</v>
      </c>
    </row>
    <row r="27" spans="1:39" x14ac:dyDescent="0.3">
      <c r="A27" s="8" t="s">
        <v>32</v>
      </c>
      <c r="B27" s="12">
        <v>613.04999999999995</v>
      </c>
      <c r="C27" s="12">
        <v>539.80999999999995</v>
      </c>
      <c r="D27" s="12">
        <v>299.24</v>
      </c>
      <c r="E27" s="12">
        <v>699.12</v>
      </c>
      <c r="F27" s="12">
        <v>0</v>
      </c>
      <c r="G27" s="12">
        <v>0</v>
      </c>
      <c r="I27" s="8" t="s">
        <v>23</v>
      </c>
      <c r="J27" s="12">
        <v>300.67</v>
      </c>
      <c r="K27" s="12">
        <v>460.26</v>
      </c>
      <c r="L27" s="12">
        <v>151.34</v>
      </c>
      <c r="M27" s="12">
        <v>57.52</v>
      </c>
      <c r="N27" s="12">
        <v>62.82</v>
      </c>
      <c r="O27" s="12">
        <v>68.680000000000007</v>
      </c>
      <c r="Q27" s="20" t="s">
        <v>96</v>
      </c>
      <c r="R27" s="12">
        <v>3664.77</v>
      </c>
      <c r="S27" s="12">
        <v>4582.93</v>
      </c>
      <c r="T27" s="12">
        <v>6092.09</v>
      </c>
      <c r="U27" s="12">
        <v>6241.18</v>
      </c>
      <c r="V27" s="12">
        <v>9088.3700000000008</v>
      </c>
      <c r="W27" s="26">
        <v>11043.51</v>
      </c>
      <c r="Y27" s="8" t="s">
        <v>25</v>
      </c>
      <c r="Z27" s="12">
        <v>1997.59</v>
      </c>
      <c r="AA27" s="12">
        <v>1693.05</v>
      </c>
      <c r="AB27" s="12">
        <v>3655.82</v>
      </c>
      <c r="AC27" s="12">
        <v>4930.1000000000004</v>
      </c>
      <c r="AD27" s="12">
        <v>5563.92</v>
      </c>
      <c r="AE27" s="12">
        <v>5419.89</v>
      </c>
      <c r="AG27" s="8" t="s">
        <v>78</v>
      </c>
      <c r="AH27" s="12">
        <v>2558.3492000000001</v>
      </c>
      <c r="AI27" s="12">
        <v>655.89</v>
      </c>
      <c r="AJ27" s="12">
        <v>923.74</v>
      </c>
      <c r="AK27" s="12">
        <v>2597.0700000000002</v>
      </c>
      <c r="AL27" s="12">
        <v>1960.92</v>
      </c>
      <c r="AM27" s="12">
        <v>2584.1799999999998</v>
      </c>
    </row>
    <row r="28" spans="1:39" x14ac:dyDescent="0.3">
      <c r="A28" s="8" t="s">
        <v>33</v>
      </c>
      <c r="B28" s="12">
        <v>7195.46</v>
      </c>
      <c r="C28" s="12">
        <v>4198.04</v>
      </c>
      <c r="D28" s="12">
        <v>8653.02</v>
      </c>
      <c r="E28" s="12">
        <v>931.99</v>
      </c>
      <c r="F28" s="12">
        <v>1575.73</v>
      </c>
      <c r="G28" s="12">
        <v>3406.32</v>
      </c>
      <c r="I28" s="8" t="s">
        <v>78</v>
      </c>
      <c r="J28" s="12">
        <v>119.14</v>
      </c>
      <c r="K28" s="12">
        <v>122.68</v>
      </c>
      <c r="L28" s="12">
        <v>271.75</v>
      </c>
      <c r="M28" s="12">
        <v>422.87</v>
      </c>
      <c r="N28" s="12">
        <v>465.63</v>
      </c>
      <c r="O28" s="12">
        <v>403.02</v>
      </c>
      <c r="Q28" s="20" t="s">
        <v>80</v>
      </c>
      <c r="R28" s="12">
        <v>23.01</v>
      </c>
      <c r="S28" s="12">
        <v>14.21</v>
      </c>
      <c r="T28" s="12">
        <v>28.42</v>
      </c>
      <c r="U28" s="12">
        <v>53.16</v>
      </c>
      <c r="V28" s="12">
        <v>179.89</v>
      </c>
      <c r="W28" s="26">
        <v>16.7</v>
      </c>
      <c r="Y28" s="8" t="s">
        <v>35</v>
      </c>
      <c r="Z28" s="12">
        <v>49661.61</v>
      </c>
      <c r="AA28" s="12">
        <v>46479.35</v>
      </c>
      <c r="AB28" s="12">
        <v>60331.55</v>
      </c>
      <c r="AC28" s="12">
        <v>65920.39</v>
      </c>
      <c r="AD28" s="12">
        <v>71391.03</v>
      </c>
      <c r="AE28" s="12">
        <v>75559.83</v>
      </c>
      <c r="AG28" s="8" t="s">
        <v>80</v>
      </c>
      <c r="AH28" s="12">
        <v>24.6419</v>
      </c>
      <c r="AI28" s="12">
        <v>0</v>
      </c>
      <c r="AJ28" s="12">
        <v>2.2200000000000002</v>
      </c>
      <c r="AK28" s="12">
        <v>12.03</v>
      </c>
      <c r="AL28" s="12">
        <v>0</v>
      </c>
      <c r="AM28" s="12">
        <v>58.65</v>
      </c>
    </row>
    <row r="29" spans="1:39" x14ac:dyDescent="0.3">
      <c r="A29" s="8" t="s">
        <v>34</v>
      </c>
      <c r="B29" s="12">
        <v>118.4</v>
      </c>
      <c r="C29" s="12">
        <v>502.74</v>
      </c>
      <c r="D29" s="12">
        <v>2014.39</v>
      </c>
      <c r="E29" s="12">
        <v>3316.79</v>
      </c>
      <c r="F29" s="12">
        <v>6056.15</v>
      </c>
      <c r="G29" s="12">
        <v>3199.65</v>
      </c>
      <c r="I29" s="8" t="s">
        <v>80</v>
      </c>
      <c r="J29" s="12">
        <v>66.02</v>
      </c>
      <c r="K29" s="12">
        <v>67.06</v>
      </c>
      <c r="L29" s="12">
        <v>122.2</v>
      </c>
      <c r="M29" s="12">
        <v>185.78</v>
      </c>
      <c r="N29" s="12">
        <v>161.49</v>
      </c>
      <c r="O29" s="12">
        <v>191.85</v>
      </c>
      <c r="Q29" s="20" t="s">
        <v>35</v>
      </c>
      <c r="R29" s="12">
        <v>837.41</v>
      </c>
      <c r="S29" s="12">
        <v>690.57</v>
      </c>
      <c r="T29" s="12">
        <v>1008.37</v>
      </c>
      <c r="U29" s="12">
        <v>989.24</v>
      </c>
      <c r="V29" s="12">
        <v>1117.8699999999999</v>
      </c>
      <c r="W29" s="26">
        <v>1334.52</v>
      </c>
      <c r="Y29" s="8" t="s">
        <v>82</v>
      </c>
      <c r="Z29" s="12">
        <v>2780.37</v>
      </c>
      <c r="AA29" s="12">
        <v>0</v>
      </c>
      <c r="AB29" s="12">
        <v>830.78</v>
      </c>
      <c r="AC29" s="12">
        <v>988.8</v>
      </c>
      <c r="AD29" s="12">
        <v>1005.36</v>
      </c>
      <c r="AE29" s="12">
        <v>157.44</v>
      </c>
      <c r="AG29" s="8" t="s">
        <v>35</v>
      </c>
      <c r="AH29" s="12">
        <v>3832.6669000000002</v>
      </c>
      <c r="AI29" s="12">
        <v>6043.04</v>
      </c>
      <c r="AJ29" s="12">
        <v>5458.7</v>
      </c>
      <c r="AK29" s="12">
        <v>3173.27</v>
      </c>
      <c r="AL29" s="12">
        <v>3053.98</v>
      </c>
      <c r="AM29" s="12">
        <v>3075.13</v>
      </c>
    </row>
    <row r="30" spans="1:39" x14ac:dyDescent="0.3">
      <c r="A30" s="8" t="s">
        <v>23</v>
      </c>
      <c r="B30" s="12">
        <v>1784.88</v>
      </c>
      <c r="C30" s="12">
        <v>1014.81</v>
      </c>
      <c r="D30" s="12">
        <v>1240.6500000000001</v>
      </c>
      <c r="E30" s="12">
        <v>107.77</v>
      </c>
      <c r="F30" s="12">
        <v>64</v>
      </c>
      <c r="G30" s="12">
        <v>70.599999999999994</v>
      </c>
      <c r="I30" s="8" t="s">
        <v>35</v>
      </c>
      <c r="J30" s="12">
        <v>3636.18</v>
      </c>
      <c r="K30" s="12">
        <v>3615.53</v>
      </c>
      <c r="L30" s="12">
        <v>4979.58</v>
      </c>
      <c r="M30" s="12">
        <v>6519.77</v>
      </c>
      <c r="N30" s="12">
        <v>8379.7800000000007</v>
      </c>
      <c r="O30" s="12">
        <v>8667.99</v>
      </c>
      <c r="Q30" s="24" t="s">
        <v>37</v>
      </c>
      <c r="R30" s="27">
        <f>SUM(R20:R29)</f>
        <v>11021.14</v>
      </c>
      <c r="S30" s="27">
        <f t="shared" ref="S30:W30" si="5">SUM(S20:S29)</f>
        <v>11883.489999999998</v>
      </c>
      <c r="T30" s="27">
        <f>SUM(T20:T29)</f>
        <v>13689.780000000002</v>
      </c>
      <c r="U30" s="27">
        <f>SUM(U20:U29)</f>
        <v>15825.570000000002</v>
      </c>
      <c r="V30" s="27">
        <f t="shared" si="5"/>
        <v>16157.850000000002</v>
      </c>
      <c r="W30" s="27">
        <f t="shared" si="5"/>
        <v>19386.64</v>
      </c>
      <c r="Y30" s="5" t="s">
        <v>110</v>
      </c>
      <c r="Z30" s="27">
        <f>SUM(Z21:Z29)</f>
        <v>95635.109999999986</v>
      </c>
      <c r="AA30" s="27">
        <f t="shared" ref="AA30:AE30" si="6">SUM(AA21:AA29)</f>
        <v>103631.79000000001</v>
      </c>
      <c r="AB30" s="27">
        <f t="shared" si="6"/>
        <v>208203.08</v>
      </c>
      <c r="AC30" s="27">
        <f t="shared" si="6"/>
        <v>222204.32</v>
      </c>
      <c r="AD30" s="27">
        <f t="shared" si="6"/>
        <v>218588.59999999998</v>
      </c>
      <c r="AE30" s="27">
        <f t="shared" si="6"/>
        <v>245341.71000000002</v>
      </c>
      <c r="AG30" s="5" t="s">
        <v>37</v>
      </c>
      <c r="AH30" s="27">
        <f>SUM(AH20:AH29)</f>
        <v>8518.3725000000013</v>
      </c>
      <c r="AI30" s="27">
        <f t="shared" ref="AI30:AM30" si="7">SUM(AI20:AI29)</f>
        <v>9984.5</v>
      </c>
      <c r="AJ30" s="27">
        <f t="shared" si="7"/>
        <v>14480.699999999997</v>
      </c>
      <c r="AK30" s="27">
        <f t="shared" si="7"/>
        <v>9045.32</v>
      </c>
      <c r="AL30" s="27">
        <f t="shared" si="7"/>
        <v>9745.7899999999991</v>
      </c>
      <c r="AM30" s="27">
        <f t="shared" si="7"/>
        <v>11472.5</v>
      </c>
    </row>
    <row r="31" spans="1:39" x14ac:dyDescent="0.3">
      <c r="A31" s="8" t="s">
        <v>24</v>
      </c>
      <c r="B31" s="12">
        <v>68</v>
      </c>
      <c r="C31" s="12">
        <v>68</v>
      </c>
      <c r="D31" s="12">
        <v>61.77</v>
      </c>
      <c r="E31" s="12">
        <v>300.33</v>
      </c>
      <c r="F31" s="12">
        <v>205.01</v>
      </c>
      <c r="G31" s="12">
        <v>102.57</v>
      </c>
      <c r="I31" s="5" t="s">
        <v>37</v>
      </c>
      <c r="J31" s="27">
        <f t="shared" ref="J31:O31" si="8">SUM(J22:J30)</f>
        <v>10492.670000000002</v>
      </c>
      <c r="K31" s="27">
        <f t="shared" si="8"/>
        <v>10945.29</v>
      </c>
      <c r="L31" s="27">
        <f t="shared" si="8"/>
        <v>12396.89</v>
      </c>
      <c r="M31" s="27">
        <f t="shared" si="8"/>
        <v>14728.61</v>
      </c>
      <c r="N31" s="27">
        <f t="shared" si="8"/>
        <v>17260.36</v>
      </c>
      <c r="O31" s="27">
        <f t="shared" si="8"/>
        <v>20486.550000000003</v>
      </c>
      <c r="Q31" s="24" t="s">
        <v>81</v>
      </c>
      <c r="R31" s="27">
        <f>R18+R30</f>
        <v>12876.949999999999</v>
      </c>
      <c r="S31" s="27">
        <f t="shared" ref="S31:W31" si="9">S18+S30</f>
        <v>14047.949999999997</v>
      </c>
      <c r="T31" s="27">
        <f t="shared" si="9"/>
        <v>16341.770000000002</v>
      </c>
      <c r="U31" s="27">
        <f t="shared" si="9"/>
        <v>18668.550000000003</v>
      </c>
      <c r="V31" s="27">
        <f t="shared" si="9"/>
        <v>19031.47</v>
      </c>
      <c r="W31" s="27">
        <f t="shared" si="9"/>
        <v>22179.919999999998</v>
      </c>
      <c r="Y31" s="5" t="s">
        <v>39</v>
      </c>
      <c r="Z31" s="27">
        <f>Z19+Z30</f>
        <v>141556.59</v>
      </c>
      <c r="AA31" s="27">
        <f t="shared" ref="AA31:AE31" si="10">AA19+AA30</f>
        <v>147952.56</v>
      </c>
      <c r="AB31" s="27">
        <f t="shared" si="10"/>
        <v>320067.24</v>
      </c>
      <c r="AC31" s="27">
        <f t="shared" si="10"/>
        <v>330352.31</v>
      </c>
      <c r="AD31" s="27">
        <f t="shared" si="10"/>
        <v>340135.97</v>
      </c>
      <c r="AE31" s="27">
        <f t="shared" si="10"/>
        <v>379524.1</v>
      </c>
      <c r="AG31" s="5" t="s">
        <v>81</v>
      </c>
      <c r="AH31" s="27">
        <f>AH18+AH30</f>
        <v>12391.2484</v>
      </c>
      <c r="AI31" s="27">
        <f t="shared" ref="AI31:AM31" si="11">AI18+AI30</f>
        <v>14221.130000000001</v>
      </c>
      <c r="AJ31" s="27">
        <f t="shared" si="11"/>
        <v>19881.03</v>
      </c>
      <c r="AK31" s="27">
        <f t="shared" si="11"/>
        <v>18343.79</v>
      </c>
      <c r="AL31" s="27">
        <f t="shared" si="11"/>
        <v>19611.989999999998</v>
      </c>
      <c r="AM31" s="27">
        <f t="shared" si="11"/>
        <v>19484.52</v>
      </c>
    </row>
    <row r="32" spans="1:39" x14ac:dyDescent="0.3">
      <c r="A32" s="8" t="s">
        <v>25</v>
      </c>
      <c r="B32" s="12">
        <v>986.69</v>
      </c>
      <c r="C32" s="12">
        <v>622.66999999999996</v>
      </c>
      <c r="D32" s="12">
        <v>525.45000000000005</v>
      </c>
      <c r="E32" s="12">
        <v>1263.8499999999999</v>
      </c>
      <c r="F32" s="12">
        <v>3441.08</v>
      </c>
      <c r="G32" s="12">
        <v>4471.8</v>
      </c>
      <c r="I32" s="8" t="s">
        <v>82</v>
      </c>
      <c r="J32" s="12">
        <v>1305.52</v>
      </c>
      <c r="K32" s="12">
        <v>375.33</v>
      </c>
      <c r="L32" s="12">
        <v>516.87</v>
      </c>
      <c r="M32" s="12">
        <v>1022.64</v>
      </c>
      <c r="N32" s="12">
        <v>1018.57</v>
      </c>
      <c r="O32" s="12">
        <v>1023.83</v>
      </c>
      <c r="Q32" s="2" t="s">
        <v>40</v>
      </c>
      <c r="R32" s="50"/>
      <c r="S32" s="50"/>
      <c r="T32" s="50"/>
      <c r="U32" s="50"/>
      <c r="V32" s="50"/>
      <c r="W32" s="50"/>
      <c r="Y32" s="23" t="s">
        <v>103</v>
      </c>
      <c r="Z32" s="28"/>
      <c r="AA32" s="28"/>
      <c r="AB32" s="28"/>
      <c r="AC32" s="28"/>
      <c r="AD32" s="28"/>
      <c r="AE32" s="28"/>
      <c r="AG32" s="2" t="s">
        <v>40</v>
      </c>
      <c r="AH32" s="50"/>
      <c r="AI32" s="50"/>
      <c r="AJ32" s="50"/>
      <c r="AK32" s="50"/>
      <c r="AL32" s="50"/>
      <c r="AM32" s="50"/>
    </row>
    <row r="33" spans="1:39" x14ac:dyDescent="0.3">
      <c r="A33" s="8" t="s">
        <v>35</v>
      </c>
      <c r="B33" s="12">
        <v>1164.17</v>
      </c>
      <c r="C33" s="12">
        <v>1013.2</v>
      </c>
      <c r="D33" s="12">
        <v>730.09</v>
      </c>
      <c r="E33" s="12">
        <v>1164.08</v>
      </c>
      <c r="F33" s="12">
        <v>1177.4000000000001</v>
      </c>
      <c r="G33" s="12">
        <v>1800.39</v>
      </c>
      <c r="I33" s="5" t="s">
        <v>39</v>
      </c>
      <c r="J33" s="27">
        <f>J31+J32+J20</f>
        <v>15779.150000000003</v>
      </c>
      <c r="K33" s="27">
        <f t="shared" ref="K33:O33" si="12">K31+K32+K20</f>
        <v>15353.53</v>
      </c>
      <c r="L33" s="27">
        <f t="shared" si="12"/>
        <v>17211.510000000002</v>
      </c>
      <c r="M33" s="27">
        <f t="shared" si="12"/>
        <v>19580.849999999999</v>
      </c>
      <c r="N33" s="27">
        <f t="shared" si="12"/>
        <v>22037.71</v>
      </c>
      <c r="O33" s="27">
        <f t="shared" si="12"/>
        <v>25584.090000000004</v>
      </c>
      <c r="Q33" s="25" t="s">
        <v>41</v>
      </c>
      <c r="R33" s="30"/>
      <c r="S33" s="30"/>
      <c r="T33" s="30"/>
      <c r="U33" s="30"/>
      <c r="V33" s="30"/>
      <c r="W33" s="31"/>
      <c r="Y33" s="33" t="s">
        <v>41</v>
      </c>
      <c r="Z33" s="34"/>
      <c r="AA33" s="34"/>
      <c r="AB33" s="34"/>
      <c r="AC33" s="34"/>
      <c r="AD33" s="34"/>
      <c r="AE33" s="35"/>
      <c r="AG33" s="33" t="s">
        <v>41</v>
      </c>
      <c r="AH33" s="34"/>
      <c r="AI33" s="34"/>
      <c r="AJ33" s="34"/>
      <c r="AK33" s="34"/>
      <c r="AL33" s="34"/>
      <c r="AM33" s="35"/>
    </row>
    <row r="34" spans="1:39" x14ac:dyDescent="0.3">
      <c r="A34" s="5" t="s">
        <v>37</v>
      </c>
      <c r="B34" s="27">
        <f>SUM(B24:B33)</f>
        <v>14819.91</v>
      </c>
      <c r="C34" s="27">
        <f t="shared" ref="C34:G34" si="13">SUM(C24:C33)</f>
        <v>12475.78</v>
      </c>
      <c r="D34" s="27">
        <f t="shared" si="13"/>
        <v>16189.94</v>
      </c>
      <c r="E34" s="27">
        <f t="shared" si="13"/>
        <v>15506.26</v>
      </c>
      <c r="F34" s="27">
        <f t="shared" si="13"/>
        <v>17285.61</v>
      </c>
      <c r="G34" s="27">
        <f t="shared" si="13"/>
        <v>18757.37</v>
      </c>
      <c r="I34" s="25" t="s">
        <v>40</v>
      </c>
      <c r="J34" s="30"/>
      <c r="K34" s="30"/>
      <c r="L34" s="30"/>
      <c r="M34" s="30"/>
      <c r="N34" s="30"/>
      <c r="O34" s="31"/>
      <c r="Q34" s="20" t="s">
        <v>42</v>
      </c>
      <c r="R34" s="12">
        <v>51.42</v>
      </c>
      <c r="S34" s="12">
        <v>51.42</v>
      </c>
      <c r="T34" s="12">
        <v>51.42</v>
      </c>
      <c r="U34" s="12">
        <v>51.42</v>
      </c>
      <c r="V34" s="12">
        <v>51.42</v>
      </c>
      <c r="W34" s="26">
        <v>53.24</v>
      </c>
      <c r="Y34" s="8" t="s">
        <v>42</v>
      </c>
      <c r="Z34" s="12">
        <v>280.77999999999997</v>
      </c>
      <c r="AA34" s="12">
        <v>280.91000000000003</v>
      </c>
      <c r="AB34" s="12">
        <v>281.01</v>
      </c>
      <c r="AC34" s="12">
        <v>281.10000000000002</v>
      </c>
      <c r="AD34" s="12">
        <v>274.93</v>
      </c>
      <c r="AE34" s="12">
        <v>275.04000000000002</v>
      </c>
      <c r="AG34" s="8" t="s">
        <v>42</v>
      </c>
      <c r="AH34" s="12">
        <v>2085.0201000000002</v>
      </c>
      <c r="AI34" s="12">
        <v>2085.02</v>
      </c>
      <c r="AJ34" s="12">
        <v>2085.02</v>
      </c>
      <c r="AK34" s="12">
        <v>2085.02</v>
      </c>
      <c r="AL34" s="12">
        <v>2085.02</v>
      </c>
      <c r="AM34" s="12">
        <v>2085.02</v>
      </c>
    </row>
    <row r="35" spans="1:39" x14ac:dyDescent="0.3">
      <c r="A35" s="8" t="s">
        <v>38</v>
      </c>
      <c r="B35" s="12">
        <v>0</v>
      </c>
      <c r="C35" s="12">
        <v>354.86</v>
      </c>
      <c r="D35" s="12">
        <v>1898.48</v>
      </c>
      <c r="E35" s="12">
        <v>1941.26</v>
      </c>
      <c r="F35" s="12">
        <v>186.75</v>
      </c>
      <c r="G35" s="12">
        <v>186.75</v>
      </c>
      <c r="I35" s="23" t="s">
        <v>41</v>
      </c>
      <c r="J35" s="28"/>
      <c r="K35" s="28"/>
      <c r="L35" s="28"/>
      <c r="M35" s="28"/>
      <c r="N35" s="28"/>
      <c r="O35" s="28"/>
      <c r="Q35" s="20" t="s">
        <v>83</v>
      </c>
      <c r="R35" s="12">
        <v>2746.16</v>
      </c>
      <c r="S35" s="12">
        <v>3308.27</v>
      </c>
      <c r="T35" s="12">
        <v>3568.51</v>
      </c>
      <c r="U35" s="12">
        <v>3720</v>
      </c>
      <c r="V35" s="12">
        <v>4044.28</v>
      </c>
      <c r="W35" s="26">
        <v>5294.21</v>
      </c>
      <c r="Y35" s="8" t="s">
        <v>83</v>
      </c>
      <c r="Z35" s="12">
        <v>51894.57</v>
      </c>
      <c r="AA35" s="12">
        <v>60132.63</v>
      </c>
      <c r="AB35" s="12">
        <v>82126.649999999994</v>
      </c>
      <c r="AC35" s="12">
        <v>89044.85</v>
      </c>
      <c r="AD35" s="12">
        <v>86084.31</v>
      </c>
      <c r="AE35" s="12">
        <v>97380.56</v>
      </c>
      <c r="AG35" s="8" t="s">
        <v>83</v>
      </c>
      <c r="AH35" s="12">
        <v>3030.8791000000001</v>
      </c>
      <c r="AI35" s="12">
        <v>3551.06</v>
      </c>
      <c r="AJ35" s="12">
        <v>4312.38</v>
      </c>
      <c r="AK35" s="12">
        <v>5161.18</v>
      </c>
      <c r="AL35" s="12">
        <f>6660.66+0.17</f>
        <v>6660.83</v>
      </c>
      <c r="AM35" s="12">
        <v>6538.7</v>
      </c>
    </row>
    <row r="36" spans="1:39" x14ac:dyDescent="0.3">
      <c r="A36" s="5" t="s">
        <v>39</v>
      </c>
      <c r="B36" s="27">
        <f>B22+B34+B35</f>
        <v>62203.670000000013</v>
      </c>
      <c r="C36" s="27">
        <f t="shared" ref="C36:G36" si="14">C22+C34+C35</f>
        <v>75323.78</v>
      </c>
      <c r="D36" s="27">
        <f t="shared" si="14"/>
        <v>99685.820000000022</v>
      </c>
      <c r="E36" s="27">
        <f t="shared" si="14"/>
        <v>114905.12999999996</v>
      </c>
      <c r="F36" s="27">
        <f t="shared" si="14"/>
        <v>118917.87</v>
      </c>
      <c r="G36" s="27">
        <f t="shared" si="14"/>
        <v>135332.23000000001</v>
      </c>
      <c r="I36" s="8" t="s">
        <v>42</v>
      </c>
      <c r="J36" s="12">
        <v>30.94</v>
      </c>
      <c r="K36" s="12">
        <v>29.78</v>
      </c>
      <c r="L36" s="12">
        <v>29.78</v>
      </c>
      <c r="M36" s="12">
        <v>32.49</v>
      </c>
      <c r="N36" s="12">
        <v>32.49</v>
      </c>
      <c r="O36" s="12">
        <v>34.159999999999997</v>
      </c>
      <c r="Q36" s="24" t="s">
        <v>85</v>
      </c>
      <c r="R36" s="27">
        <f>R34+R35</f>
        <v>2797.58</v>
      </c>
      <c r="S36" s="27">
        <f t="shared" ref="S36:W36" si="15">S34+S35</f>
        <v>3359.69</v>
      </c>
      <c r="T36" s="27">
        <f t="shared" si="15"/>
        <v>3619.9300000000003</v>
      </c>
      <c r="U36" s="27">
        <f t="shared" si="15"/>
        <v>3771.42</v>
      </c>
      <c r="V36" s="27">
        <f t="shared" si="15"/>
        <v>4095.7000000000003</v>
      </c>
      <c r="W36" s="27">
        <f t="shared" si="15"/>
        <v>5347.45</v>
      </c>
      <c r="Y36" s="8" t="s">
        <v>45</v>
      </c>
      <c r="Z36" s="12">
        <v>0</v>
      </c>
      <c r="AA36" s="12">
        <v>0</v>
      </c>
      <c r="AB36" s="12">
        <v>12966.07</v>
      </c>
      <c r="AC36" s="12">
        <v>14241.27</v>
      </c>
      <c r="AD36" s="12">
        <v>16190.42</v>
      </c>
      <c r="AE36" s="12">
        <v>17748.080000000002</v>
      </c>
      <c r="AG36" s="5" t="s">
        <v>85</v>
      </c>
      <c r="AH36" s="27">
        <f>AH34+AH35</f>
        <v>5115.8991999999998</v>
      </c>
      <c r="AI36" s="27">
        <f t="shared" ref="AI36:AM36" si="16">AI34+AI35</f>
        <v>5636.08</v>
      </c>
      <c r="AJ36" s="27">
        <f t="shared" si="16"/>
        <v>6397.4</v>
      </c>
      <c r="AK36" s="27">
        <f t="shared" si="16"/>
        <v>7246.2000000000007</v>
      </c>
      <c r="AL36" s="27">
        <f t="shared" si="16"/>
        <v>8745.85</v>
      </c>
      <c r="AM36" s="27">
        <f t="shared" si="16"/>
        <v>8623.7199999999993</v>
      </c>
    </row>
    <row r="37" spans="1:39" x14ac:dyDescent="0.3">
      <c r="A37" s="23" t="s">
        <v>40</v>
      </c>
      <c r="B37" s="29"/>
      <c r="C37" s="29"/>
      <c r="D37" s="29"/>
      <c r="E37" s="29"/>
      <c r="F37" s="29"/>
      <c r="G37" s="29"/>
      <c r="I37" s="8" t="s">
        <v>83</v>
      </c>
      <c r="J37" s="12">
        <v>3327.48</v>
      </c>
      <c r="K37" s="12">
        <v>3708.72</v>
      </c>
      <c r="L37" s="12">
        <v>4248.79</v>
      </c>
      <c r="M37" s="12">
        <v>4688.13</v>
      </c>
      <c r="N37" s="12">
        <v>5105.5</v>
      </c>
      <c r="O37" s="12">
        <v>6479.17</v>
      </c>
      <c r="Q37" s="25" t="s">
        <v>47</v>
      </c>
      <c r="R37" s="55"/>
      <c r="S37" s="55"/>
      <c r="T37" s="55"/>
      <c r="U37" s="55"/>
      <c r="V37" s="55"/>
      <c r="W37" s="56"/>
      <c r="Y37" s="5" t="s">
        <v>85</v>
      </c>
      <c r="Z37" s="27">
        <f>Z34+Z35+Z36</f>
        <v>52175.35</v>
      </c>
      <c r="AA37" s="27">
        <f t="shared" ref="AA37:AE37" si="17">AA34+AA35+AA36</f>
        <v>60413.54</v>
      </c>
      <c r="AB37" s="27">
        <f t="shared" si="17"/>
        <v>95373.729999999981</v>
      </c>
      <c r="AC37" s="27">
        <f t="shared" si="17"/>
        <v>103567.22000000002</v>
      </c>
      <c r="AD37" s="27">
        <f t="shared" si="17"/>
        <v>102549.65999999999</v>
      </c>
      <c r="AE37" s="27">
        <f t="shared" si="17"/>
        <v>115403.68</v>
      </c>
      <c r="AG37" s="23" t="s">
        <v>47</v>
      </c>
      <c r="AH37" s="29"/>
      <c r="AI37" s="29"/>
      <c r="AJ37" s="29"/>
      <c r="AK37" s="29"/>
      <c r="AL37" s="29"/>
      <c r="AM37" s="29"/>
    </row>
    <row r="38" spans="1:39" x14ac:dyDescent="0.3">
      <c r="A38" s="25" t="s">
        <v>41</v>
      </c>
      <c r="B38" s="30"/>
      <c r="C38" s="30"/>
      <c r="D38" s="30"/>
      <c r="E38" s="30"/>
      <c r="F38" s="30"/>
      <c r="G38" s="31"/>
      <c r="I38" s="5" t="s">
        <v>84</v>
      </c>
      <c r="J38" s="27">
        <f>J36+J37</f>
        <v>3358.42</v>
      </c>
      <c r="K38" s="27">
        <f t="shared" ref="K38:O38" si="18">K36+K37</f>
        <v>3738.5</v>
      </c>
      <c r="L38" s="27">
        <f t="shared" si="18"/>
        <v>4278.57</v>
      </c>
      <c r="M38" s="27">
        <f t="shared" si="18"/>
        <v>4720.62</v>
      </c>
      <c r="N38" s="27">
        <f t="shared" si="18"/>
        <v>5137.99</v>
      </c>
      <c r="O38" s="27">
        <f t="shared" si="18"/>
        <v>6513.33</v>
      </c>
      <c r="Q38" s="2" t="s">
        <v>48</v>
      </c>
      <c r="R38" s="32"/>
      <c r="S38" s="32"/>
      <c r="T38" s="32"/>
      <c r="U38" s="32"/>
      <c r="V38" s="32"/>
      <c r="W38" s="32"/>
      <c r="Y38" s="33" t="s">
        <v>47</v>
      </c>
      <c r="Z38" s="34"/>
      <c r="AA38" s="34"/>
      <c r="AB38" s="34"/>
      <c r="AC38" s="34"/>
      <c r="AD38" s="34"/>
      <c r="AE38" s="35"/>
      <c r="AG38" s="25" t="s">
        <v>48</v>
      </c>
      <c r="AH38" s="30"/>
      <c r="AI38" s="30"/>
      <c r="AJ38" s="30"/>
      <c r="AK38" s="30"/>
      <c r="AL38" s="30"/>
      <c r="AM38" s="31"/>
    </row>
    <row r="39" spans="1:39" x14ac:dyDescent="0.3">
      <c r="A39" s="8" t="s">
        <v>42</v>
      </c>
      <c r="B39" s="12">
        <v>406.35</v>
      </c>
      <c r="C39" s="12">
        <v>406.35</v>
      </c>
      <c r="D39" s="12">
        <v>422.47</v>
      </c>
      <c r="E39" s="12">
        <v>432.03</v>
      </c>
      <c r="F39" s="12">
        <v>432.03</v>
      </c>
      <c r="G39" s="12">
        <v>432.03</v>
      </c>
      <c r="I39" s="8" t="s">
        <v>45</v>
      </c>
      <c r="J39" s="12">
        <v>136.75</v>
      </c>
      <c r="K39" s="12">
        <v>120.44</v>
      </c>
      <c r="L39" s="12">
        <v>138.9</v>
      </c>
      <c r="M39" s="12">
        <v>-26.76</v>
      </c>
      <c r="N39" s="12">
        <v>-25.18</v>
      </c>
      <c r="O39" s="12">
        <v>-44.47</v>
      </c>
      <c r="Q39" s="20" t="s">
        <v>49</v>
      </c>
      <c r="R39" s="12">
        <v>152.66</v>
      </c>
      <c r="S39" s="12">
        <v>218.71</v>
      </c>
      <c r="T39" s="12">
        <v>393.26</v>
      </c>
      <c r="U39" s="12">
        <v>493.16</v>
      </c>
      <c r="V39" s="12">
        <v>236.01</v>
      </c>
      <c r="W39" s="26">
        <v>358.46</v>
      </c>
      <c r="Y39" s="23" t="s">
        <v>48</v>
      </c>
      <c r="Z39" s="29"/>
      <c r="AA39" s="29"/>
      <c r="AB39" s="29"/>
      <c r="AC39" s="29"/>
      <c r="AD39" s="29"/>
      <c r="AE39" s="29"/>
      <c r="AG39" s="8" t="s">
        <v>49</v>
      </c>
      <c r="AH39" s="12">
        <v>4256.6540000000005</v>
      </c>
      <c r="AI39" s="12">
        <v>5671.51</v>
      </c>
      <c r="AJ39" s="12">
        <v>6315.43</v>
      </c>
      <c r="AK39" s="12">
        <v>6030.59</v>
      </c>
      <c r="AL39" s="12">
        <v>5515.77</v>
      </c>
      <c r="AM39" s="12">
        <v>4889.51</v>
      </c>
    </row>
    <row r="40" spans="1:39" x14ac:dyDescent="0.3">
      <c r="A40" s="8" t="s">
        <v>43</v>
      </c>
      <c r="B40" s="12">
        <v>25217.14</v>
      </c>
      <c r="C40" s="12">
        <v>30221.91</v>
      </c>
      <c r="D40" s="12">
        <v>41565.75</v>
      </c>
      <c r="E40" s="12">
        <v>45151.55</v>
      </c>
      <c r="F40" s="12">
        <v>52512.74</v>
      </c>
      <c r="G40" s="12">
        <v>62003.360000000001</v>
      </c>
      <c r="I40" s="5" t="s">
        <v>85</v>
      </c>
      <c r="J40" s="27">
        <f>J38+J39</f>
        <v>3495.17</v>
      </c>
      <c r="K40" s="27">
        <f t="shared" ref="K40:O40" si="19">K38+K39</f>
        <v>3858.94</v>
      </c>
      <c r="L40" s="27">
        <f t="shared" si="19"/>
        <v>4417.4699999999993</v>
      </c>
      <c r="M40" s="27">
        <f t="shared" si="19"/>
        <v>4693.8599999999997</v>
      </c>
      <c r="N40" s="27">
        <f t="shared" si="19"/>
        <v>5112.8099999999995</v>
      </c>
      <c r="O40" s="27">
        <f t="shared" si="19"/>
        <v>6468.86</v>
      </c>
      <c r="Q40" s="20" t="s">
        <v>72</v>
      </c>
      <c r="R40" s="12">
        <v>111.08</v>
      </c>
      <c r="S40" s="12">
        <v>113.06</v>
      </c>
      <c r="T40" s="12">
        <v>167.44</v>
      </c>
      <c r="U40" s="12">
        <v>163.16999999999999</v>
      </c>
      <c r="V40" s="12">
        <v>148.13999999999999</v>
      </c>
      <c r="W40" s="26">
        <v>211.48</v>
      </c>
      <c r="Y40" s="8" t="s">
        <v>49</v>
      </c>
      <c r="Z40" s="12">
        <v>7185.71</v>
      </c>
      <c r="AA40" s="12">
        <v>15868.21</v>
      </c>
      <c r="AB40" s="12">
        <v>61618.31</v>
      </c>
      <c r="AC40" s="12">
        <v>61217.68</v>
      </c>
      <c r="AD40" s="12">
        <v>56506.97</v>
      </c>
      <c r="AE40" s="12">
        <v>57503.34</v>
      </c>
      <c r="AG40" s="8" t="s">
        <v>117</v>
      </c>
      <c r="AH40" s="12">
        <v>0</v>
      </c>
      <c r="AI40" s="12">
        <v>11.2</v>
      </c>
      <c r="AJ40" s="12">
        <v>27.91</v>
      </c>
      <c r="AK40" s="12">
        <v>11.15</v>
      </c>
      <c r="AL40" s="12">
        <v>27.85</v>
      </c>
      <c r="AM40" s="12">
        <v>12.03</v>
      </c>
    </row>
    <row r="41" spans="1:39" x14ac:dyDescent="0.3">
      <c r="A41" s="5" t="s">
        <v>44</v>
      </c>
      <c r="B41" s="27">
        <f>B39+B40</f>
        <v>25623.489999999998</v>
      </c>
      <c r="C41" s="27">
        <f t="shared" ref="C41:G41" si="20">C39+C40</f>
        <v>30628.26</v>
      </c>
      <c r="D41" s="27">
        <f t="shared" si="20"/>
        <v>41988.22</v>
      </c>
      <c r="E41" s="27">
        <f t="shared" si="20"/>
        <v>45583.58</v>
      </c>
      <c r="F41" s="27">
        <f t="shared" si="20"/>
        <v>52944.77</v>
      </c>
      <c r="G41" s="27">
        <f t="shared" si="20"/>
        <v>62435.39</v>
      </c>
      <c r="I41" s="23" t="s">
        <v>47</v>
      </c>
      <c r="J41" s="29"/>
      <c r="K41" s="29"/>
      <c r="L41" s="29"/>
      <c r="M41" s="29"/>
      <c r="N41" s="29"/>
      <c r="O41" s="29"/>
      <c r="Q41" s="8" t="s">
        <v>51</v>
      </c>
      <c r="R41" s="12">
        <v>16.87</v>
      </c>
      <c r="S41" s="12">
        <v>13.93</v>
      </c>
      <c r="T41" s="12">
        <v>13.74</v>
      </c>
      <c r="U41" s="12">
        <v>24.12</v>
      </c>
      <c r="V41" s="12">
        <v>17.489999999999998</v>
      </c>
      <c r="W41" s="12">
        <v>19.690000000000001</v>
      </c>
      <c r="Y41" s="8" t="s">
        <v>104</v>
      </c>
      <c r="Z41" s="12">
        <v>24.18</v>
      </c>
      <c r="AA41" s="12">
        <v>59.99</v>
      </c>
      <c r="AB41" s="12">
        <v>1633.31</v>
      </c>
      <c r="AC41" s="12">
        <v>1646.31</v>
      </c>
      <c r="AD41" s="12">
        <v>1734.78</v>
      </c>
      <c r="AE41" s="12">
        <v>2265.2399999999998</v>
      </c>
      <c r="AG41" s="8" t="s">
        <v>87</v>
      </c>
      <c r="AH41" s="12">
        <v>256.78120000000001</v>
      </c>
      <c r="AI41" s="12">
        <v>334.57</v>
      </c>
      <c r="AJ41" s="12">
        <v>246.49</v>
      </c>
      <c r="AK41" s="12">
        <v>521.91</v>
      </c>
      <c r="AL41" s="12">
        <v>710.5</v>
      </c>
      <c r="AM41" s="12">
        <v>322.04000000000002</v>
      </c>
    </row>
    <row r="42" spans="1:39" x14ac:dyDescent="0.3">
      <c r="A42" s="8" t="s">
        <v>45</v>
      </c>
      <c r="B42" s="12">
        <v>219.59</v>
      </c>
      <c r="C42" s="12">
        <v>1468.47</v>
      </c>
      <c r="D42" s="12">
        <v>392.77</v>
      </c>
      <c r="E42" s="12">
        <v>1338.51</v>
      </c>
      <c r="F42" s="12">
        <v>1598.23</v>
      </c>
      <c r="G42" s="12">
        <v>2537.9499999999998</v>
      </c>
      <c r="I42" s="25" t="s">
        <v>48</v>
      </c>
      <c r="J42" s="30"/>
      <c r="K42" s="30"/>
      <c r="L42" s="30"/>
      <c r="M42" s="30"/>
      <c r="N42" s="30"/>
      <c r="O42" s="31"/>
      <c r="Q42" s="8" t="s">
        <v>52</v>
      </c>
      <c r="R42" s="12">
        <v>75.08</v>
      </c>
      <c r="S42" s="12">
        <v>55.15</v>
      </c>
      <c r="T42" s="12">
        <v>43.8</v>
      </c>
      <c r="U42" s="12">
        <v>7.21</v>
      </c>
      <c r="V42" s="12">
        <v>0</v>
      </c>
      <c r="W42" s="12">
        <v>15.55</v>
      </c>
      <c r="Y42" s="8" t="s">
        <v>87</v>
      </c>
      <c r="Z42" s="12">
        <v>179.62</v>
      </c>
      <c r="AA42" s="12">
        <v>82.63</v>
      </c>
      <c r="AB42" s="12">
        <v>122.94</v>
      </c>
      <c r="AC42" s="12">
        <v>272.95999999999998</v>
      </c>
      <c r="AD42" s="12">
        <v>96.07</v>
      </c>
      <c r="AE42" s="12">
        <v>252.18</v>
      </c>
      <c r="AG42" s="8" t="s">
        <v>51</v>
      </c>
      <c r="AH42" s="12">
        <v>21.6755</v>
      </c>
      <c r="AI42" s="12">
        <v>27.09</v>
      </c>
      <c r="AJ42" s="12">
        <v>30.27</v>
      </c>
      <c r="AK42" s="12">
        <v>31.84</v>
      </c>
      <c r="AL42" s="12">
        <v>15.49</v>
      </c>
      <c r="AM42" s="12">
        <v>28.92</v>
      </c>
    </row>
    <row r="43" spans="1:39" x14ac:dyDescent="0.3">
      <c r="A43" s="5" t="s">
        <v>46</v>
      </c>
      <c r="B43" s="27">
        <f>B41+B42</f>
        <v>25843.079999999998</v>
      </c>
      <c r="C43" s="27">
        <f t="shared" ref="C43:G43" si="21">C41+C42</f>
        <v>32096.73</v>
      </c>
      <c r="D43" s="27">
        <f t="shared" si="21"/>
        <v>42380.99</v>
      </c>
      <c r="E43" s="27">
        <f t="shared" si="21"/>
        <v>46922.090000000004</v>
      </c>
      <c r="F43" s="27">
        <f t="shared" si="21"/>
        <v>54543</v>
      </c>
      <c r="G43" s="27">
        <f t="shared" si="21"/>
        <v>64973.34</v>
      </c>
      <c r="I43" s="8" t="s">
        <v>49</v>
      </c>
      <c r="J43" s="12">
        <v>1797.07</v>
      </c>
      <c r="K43" s="12">
        <v>1607.12</v>
      </c>
      <c r="L43" s="12">
        <v>1553.45</v>
      </c>
      <c r="M43" s="12">
        <v>1214.83</v>
      </c>
      <c r="N43" s="12">
        <v>1447.54</v>
      </c>
      <c r="O43" s="12">
        <v>1467.38</v>
      </c>
      <c r="Q43" s="8" t="s">
        <v>53</v>
      </c>
      <c r="R43" s="12">
        <v>0</v>
      </c>
      <c r="S43" s="12">
        <v>0</v>
      </c>
      <c r="T43" s="12">
        <v>0.47</v>
      </c>
      <c r="U43" s="12">
        <v>0.45</v>
      </c>
      <c r="V43" s="12">
        <v>0.43</v>
      </c>
      <c r="W43" s="12">
        <v>0.41</v>
      </c>
      <c r="Y43" s="8" t="s">
        <v>51</v>
      </c>
      <c r="Z43" s="12">
        <v>611.23</v>
      </c>
      <c r="AA43" s="12">
        <v>639.02</v>
      </c>
      <c r="AB43" s="12">
        <v>817.77</v>
      </c>
      <c r="AC43" s="12">
        <v>869.99</v>
      </c>
      <c r="AD43" s="12">
        <v>987.38</v>
      </c>
      <c r="AE43" s="12">
        <v>1124.01</v>
      </c>
      <c r="AG43" s="59" t="s">
        <v>53</v>
      </c>
      <c r="AH43" s="38">
        <v>43.088200000000001</v>
      </c>
      <c r="AI43" s="38">
        <v>32.01</v>
      </c>
      <c r="AJ43" s="38">
        <v>17.78</v>
      </c>
      <c r="AK43" s="38">
        <v>59.6</v>
      </c>
      <c r="AL43" s="38">
        <v>17.21</v>
      </c>
      <c r="AM43" s="38">
        <v>0</v>
      </c>
    </row>
    <row r="44" spans="1:39" x14ac:dyDescent="0.3">
      <c r="A44" s="2" t="s">
        <v>47</v>
      </c>
      <c r="B44" s="32"/>
      <c r="C44" s="32"/>
      <c r="D44" s="32"/>
      <c r="E44" s="32"/>
      <c r="F44" s="32"/>
      <c r="G44" s="32"/>
      <c r="I44" s="8" t="s">
        <v>72</v>
      </c>
      <c r="J44" s="12">
        <v>0</v>
      </c>
      <c r="K44" s="12">
        <v>0</v>
      </c>
      <c r="L44" s="12">
        <v>74.31</v>
      </c>
      <c r="M44" s="12">
        <v>54.8</v>
      </c>
      <c r="N44" s="12">
        <v>45.76</v>
      </c>
      <c r="O44" s="12">
        <v>68.14</v>
      </c>
      <c r="Q44" s="52" t="s">
        <v>54</v>
      </c>
      <c r="R44" s="57">
        <f t="shared" ref="R44:W44" si="22">SUM(R39:R42)</f>
        <v>355.69</v>
      </c>
      <c r="S44" s="57">
        <f t="shared" si="22"/>
        <v>400.84999999999997</v>
      </c>
      <c r="T44" s="57">
        <f t="shared" si="22"/>
        <v>618.24</v>
      </c>
      <c r="U44" s="57">
        <f t="shared" si="22"/>
        <v>687.66000000000008</v>
      </c>
      <c r="V44" s="57">
        <f t="shared" si="22"/>
        <v>401.64</v>
      </c>
      <c r="W44" s="57">
        <f t="shared" si="22"/>
        <v>605.17999999999995</v>
      </c>
      <c r="Y44" s="1" t="s">
        <v>52</v>
      </c>
      <c r="Z44" s="12">
        <v>0</v>
      </c>
      <c r="AA44" s="12">
        <v>0</v>
      </c>
      <c r="AB44" s="12">
        <v>1039.33</v>
      </c>
      <c r="AC44" s="12">
        <v>630.42999999999995</v>
      </c>
      <c r="AD44" s="12">
        <v>533.63</v>
      </c>
      <c r="AE44" s="12">
        <v>410.01</v>
      </c>
      <c r="AG44" s="5" t="s">
        <v>54</v>
      </c>
      <c r="AH44" s="27">
        <f t="shared" ref="AH44:AM44" si="23">SUM(AH39:AH43)</f>
        <v>4578.1989000000012</v>
      </c>
      <c r="AI44" s="27">
        <f t="shared" si="23"/>
        <v>6076.38</v>
      </c>
      <c r="AJ44" s="27">
        <f t="shared" si="23"/>
        <v>6637.88</v>
      </c>
      <c r="AK44" s="27">
        <f t="shared" si="23"/>
        <v>6655.09</v>
      </c>
      <c r="AL44" s="27">
        <f t="shared" si="23"/>
        <v>6286.8200000000006</v>
      </c>
      <c r="AM44" s="27">
        <f t="shared" si="23"/>
        <v>5252.5</v>
      </c>
    </row>
    <row r="45" spans="1:39" x14ac:dyDescent="0.3">
      <c r="A45" s="33" t="s">
        <v>48</v>
      </c>
      <c r="B45" s="34"/>
      <c r="C45" s="34"/>
      <c r="D45" s="34"/>
      <c r="E45" s="34"/>
      <c r="F45" s="34"/>
      <c r="G45" s="35"/>
      <c r="I45" s="8" t="s">
        <v>86</v>
      </c>
      <c r="J45" s="12">
        <v>0</v>
      </c>
      <c r="K45" s="12">
        <v>0</v>
      </c>
      <c r="L45" s="12">
        <v>0</v>
      </c>
      <c r="M45" s="12">
        <v>0</v>
      </c>
      <c r="N45" s="12">
        <v>0</v>
      </c>
      <c r="O45" s="12">
        <v>0</v>
      </c>
      <c r="Q45" s="25" t="s">
        <v>55</v>
      </c>
      <c r="R45" s="30"/>
      <c r="S45" s="30"/>
      <c r="T45" s="30"/>
      <c r="U45" s="30"/>
      <c r="V45" s="30"/>
      <c r="W45" s="31"/>
      <c r="Y45" s="8" t="s">
        <v>53</v>
      </c>
      <c r="Z45" s="12">
        <v>0.22</v>
      </c>
      <c r="AA45" s="12">
        <v>0</v>
      </c>
      <c r="AB45" s="12">
        <v>21.27</v>
      </c>
      <c r="AC45" s="12">
        <v>81.73</v>
      </c>
      <c r="AD45" s="12">
        <v>618.02</v>
      </c>
      <c r="AE45" s="12">
        <v>594.74</v>
      </c>
      <c r="AG45" s="33" t="s">
        <v>55</v>
      </c>
      <c r="AH45" s="44"/>
      <c r="AI45" s="44"/>
      <c r="AJ45" s="44"/>
      <c r="AK45" s="44"/>
      <c r="AL45" s="44"/>
      <c r="AM45" s="45"/>
    </row>
    <row r="46" spans="1:39" x14ac:dyDescent="0.3">
      <c r="A46" s="8" t="s">
        <v>49</v>
      </c>
      <c r="B46" s="12">
        <v>26181.33</v>
      </c>
      <c r="C46" s="12">
        <v>32935.53</v>
      </c>
      <c r="D46" s="12">
        <v>39691.480000000003</v>
      </c>
      <c r="E46" s="12">
        <v>46516.94</v>
      </c>
      <c r="F46" s="12">
        <v>37662.93</v>
      </c>
      <c r="G46" s="12">
        <v>35830.68</v>
      </c>
      <c r="I46" s="8" t="s">
        <v>57</v>
      </c>
      <c r="J46" s="12">
        <v>349.8</v>
      </c>
      <c r="K46" s="12">
        <v>338.2</v>
      </c>
      <c r="L46" s="12">
        <v>325.72000000000003</v>
      </c>
      <c r="M46" s="12">
        <v>161.4</v>
      </c>
      <c r="N46" s="12">
        <v>115.6</v>
      </c>
      <c r="O46" s="12">
        <v>79.430000000000007</v>
      </c>
      <c r="Q46" s="58" t="s">
        <v>49</v>
      </c>
      <c r="R46" s="41">
        <v>1909.14</v>
      </c>
      <c r="S46" s="41">
        <v>1624.71</v>
      </c>
      <c r="T46" s="41">
        <v>2469.4499999999998</v>
      </c>
      <c r="U46" s="41">
        <v>2701.29</v>
      </c>
      <c r="V46" s="41">
        <v>3552.27</v>
      </c>
      <c r="W46" s="41">
        <v>3342.64</v>
      </c>
      <c r="Y46" s="5" t="s">
        <v>54</v>
      </c>
      <c r="Z46" s="27">
        <f t="shared" ref="Z46:AE46" si="24">SUM(Z40:Z45)</f>
        <v>8000.96</v>
      </c>
      <c r="AA46" s="27">
        <f t="shared" si="24"/>
        <v>16649.849999999999</v>
      </c>
      <c r="AB46" s="27">
        <f t="shared" si="24"/>
        <v>65252.929999999993</v>
      </c>
      <c r="AC46" s="27">
        <f t="shared" si="24"/>
        <v>64719.1</v>
      </c>
      <c r="AD46" s="27">
        <f t="shared" si="24"/>
        <v>60476.849999999991</v>
      </c>
      <c r="AE46" s="27">
        <f t="shared" si="24"/>
        <v>62149.52</v>
      </c>
      <c r="AG46" s="8" t="s">
        <v>49</v>
      </c>
      <c r="AH46" s="12">
        <v>0</v>
      </c>
      <c r="AI46" s="12">
        <v>230.29</v>
      </c>
      <c r="AJ46" s="12">
        <v>279.95</v>
      </c>
      <c r="AK46" s="12">
        <v>377.28</v>
      </c>
      <c r="AL46" s="12">
        <v>471.99</v>
      </c>
      <c r="AM46" s="12">
        <v>499.51</v>
      </c>
    </row>
    <row r="47" spans="1:39" x14ac:dyDescent="0.3">
      <c r="A47" s="8" t="s">
        <v>72</v>
      </c>
      <c r="B47" s="12">
        <v>0</v>
      </c>
      <c r="C47" s="12">
        <v>0</v>
      </c>
      <c r="D47" s="12">
        <v>1983.78</v>
      </c>
      <c r="E47" s="12">
        <v>2681.74</v>
      </c>
      <c r="F47" s="12">
        <v>2953.28</v>
      </c>
      <c r="G47" s="12">
        <v>5389.61</v>
      </c>
      <c r="I47" s="5" t="s">
        <v>88</v>
      </c>
      <c r="J47" s="27">
        <f>J45+J46</f>
        <v>349.8</v>
      </c>
      <c r="K47" s="27">
        <f t="shared" ref="K47:O47" si="25">K45+K46</f>
        <v>338.2</v>
      </c>
      <c r="L47" s="27">
        <f t="shared" si="25"/>
        <v>325.72000000000003</v>
      </c>
      <c r="M47" s="27">
        <f t="shared" si="25"/>
        <v>161.4</v>
      </c>
      <c r="N47" s="27">
        <f t="shared" si="25"/>
        <v>115.6</v>
      </c>
      <c r="O47" s="27">
        <f t="shared" si="25"/>
        <v>79.430000000000007</v>
      </c>
      <c r="Q47" s="8" t="s">
        <v>72</v>
      </c>
      <c r="R47" s="12">
        <v>34.549999999999997</v>
      </c>
      <c r="S47" s="12">
        <v>27.35</v>
      </c>
      <c r="T47" s="12">
        <v>34.46</v>
      </c>
      <c r="U47" s="12">
        <v>25.75</v>
      </c>
      <c r="V47" s="12">
        <v>24.57</v>
      </c>
      <c r="W47" s="12">
        <v>44.9</v>
      </c>
      <c r="Y47" s="2" t="s">
        <v>55</v>
      </c>
      <c r="Z47" s="50"/>
      <c r="AA47" s="50"/>
      <c r="AB47" s="50"/>
      <c r="AC47" s="50"/>
      <c r="AD47" s="50"/>
      <c r="AE47" s="50"/>
      <c r="AG47" s="8" t="s">
        <v>117</v>
      </c>
      <c r="AH47" s="12">
        <v>0</v>
      </c>
      <c r="AI47" s="12">
        <v>17.690000000000001</v>
      </c>
      <c r="AJ47" s="12">
        <v>20.18</v>
      </c>
      <c r="AK47" s="12">
        <v>22.32</v>
      </c>
      <c r="AL47" s="12">
        <v>16.91</v>
      </c>
      <c r="AM47" s="12">
        <v>18.309999999999999</v>
      </c>
    </row>
    <row r="48" spans="1:39" x14ac:dyDescent="0.3">
      <c r="A48" s="8" t="s">
        <v>50</v>
      </c>
      <c r="B48" s="12">
        <v>734.33</v>
      </c>
      <c r="C48" s="12">
        <v>779.94</v>
      </c>
      <c r="D48" s="12">
        <v>227.56</v>
      </c>
      <c r="E48" s="12">
        <v>322.83999999999997</v>
      </c>
      <c r="F48" s="12">
        <v>360.11</v>
      </c>
      <c r="G48" s="12">
        <v>207.45</v>
      </c>
      <c r="I48" s="8" t="s">
        <v>87</v>
      </c>
      <c r="J48" s="12">
        <v>486.36</v>
      </c>
      <c r="K48" s="12">
        <v>516.41999999999996</v>
      </c>
      <c r="L48" s="12">
        <v>444.6</v>
      </c>
      <c r="M48" s="12">
        <v>393.17</v>
      </c>
      <c r="N48" s="12">
        <v>428.87</v>
      </c>
      <c r="O48" s="12">
        <v>466.21</v>
      </c>
      <c r="Q48" s="8" t="s">
        <v>86</v>
      </c>
      <c r="R48" s="12">
        <v>137.19999999999999</v>
      </c>
      <c r="S48" s="12">
        <v>129.29</v>
      </c>
      <c r="T48" s="12">
        <v>154.83000000000001</v>
      </c>
      <c r="U48" s="12">
        <v>171.98</v>
      </c>
      <c r="V48" s="12">
        <v>167.62</v>
      </c>
      <c r="W48" s="12">
        <v>164.64</v>
      </c>
      <c r="Y48" s="8" t="s">
        <v>49</v>
      </c>
      <c r="Z48" s="12">
        <v>15044.11</v>
      </c>
      <c r="AA48" s="12">
        <v>6940.94</v>
      </c>
      <c r="AB48" s="12">
        <v>30476.959999999999</v>
      </c>
      <c r="AC48" s="12">
        <v>30896.32</v>
      </c>
      <c r="AD48" s="12">
        <v>27834.27</v>
      </c>
      <c r="AE48" s="12">
        <v>35861.300000000003</v>
      </c>
      <c r="AG48" s="58" t="s">
        <v>86</v>
      </c>
      <c r="AH48" s="41">
        <v>0</v>
      </c>
      <c r="AI48" s="41">
        <v>0.45</v>
      </c>
      <c r="AJ48" s="41">
        <v>1.1200000000000001</v>
      </c>
      <c r="AK48" s="41">
        <v>35.53</v>
      </c>
      <c r="AL48" s="41">
        <v>9.32</v>
      </c>
      <c r="AM48" s="41">
        <v>2.52</v>
      </c>
    </row>
    <row r="49" spans="1:39" x14ac:dyDescent="0.3">
      <c r="A49" s="8" t="s">
        <v>51</v>
      </c>
      <c r="B49" s="12">
        <v>8.23</v>
      </c>
      <c r="C49" s="12">
        <v>26.68</v>
      </c>
      <c r="D49" s="12">
        <v>34.229999999999997</v>
      </c>
      <c r="E49" s="12">
        <v>1201.75</v>
      </c>
      <c r="F49" s="12">
        <v>1100.75</v>
      </c>
      <c r="G49" s="12">
        <v>1149.3599999999999</v>
      </c>
      <c r="I49" s="8" t="s">
        <v>51</v>
      </c>
      <c r="J49" s="12">
        <v>128.37</v>
      </c>
      <c r="K49" s="12">
        <v>127.82</v>
      </c>
      <c r="L49" s="12">
        <v>92.65</v>
      </c>
      <c r="M49" s="12">
        <v>76.05</v>
      </c>
      <c r="N49" s="12">
        <v>52.12</v>
      </c>
      <c r="O49" s="12">
        <v>60.1</v>
      </c>
      <c r="Q49" s="20" t="s">
        <v>97</v>
      </c>
      <c r="R49" s="12">
        <v>4870.05</v>
      </c>
      <c r="S49" s="12">
        <v>6045.63</v>
      </c>
      <c r="T49" s="12">
        <v>6692.5</v>
      </c>
      <c r="U49" s="12">
        <v>8216.35</v>
      </c>
      <c r="V49" s="12">
        <v>7502.6</v>
      </c>
      <c r="W49" s="26">
        <v>8831.57</v>
      </c>
      <c r="Y49" s="8" t="s">
        <v>105</v>
      </c>
      <c r="Z49" s="12">
        <v>3555.48</v>
      </c>
      <c r="AA49" s="12">
        <v>999.56</v>
      </c>
      <c r="AB49" s="12">
        <v>31372.959999999999</v>
      </c>
      <c r="AC49" s="12">
        <v>26399.38</v>
      </c>
      <c r="AD49" s="12">
        <v>29698.53</v>
      </c>
      <c r="AE49" s="12">
        <v>36194.699999999997</v>
      </c>
      <c r="AG49" s="8" t="s">
        <v>57</v>
      </c>
      <c r="AH49" s="12">
        <v>690.01610000000005</v>
      </c>
      <c r="AI49" s="12">
        <v>271.27999999999997</v>
      </c>
      <c r="AJ49" s="12">
        <v>222.84</v>
      </c>
      <c r="AK49" s="12">
        <v>585.03</v>
      </c>
      <c r="AL49" s="12">
        <v>240.68</v>
      </c>
      <c r="AM49" s="12">
        <v>342.35</v>
      </c>
    </row>
    <row r="50" spans="1:39" x14ac:dyDescent="0.3">
      <c r="A50" s="8" t="s">
        <v>52</v>
      </c>
      <c r="B50" s="12">
        <v>286.97000000000003</v>
      </c>
      <c r="C50" s="12">
        <v>1203.1600000000001</v>
      </c>
      <c r="D50" s="12">
        <v>3010.86</v>
      </c>
      <c r="E50" s="12">
        <v>3186.37</v>
      </c>
      <c r="F50" s="12">
        <v>4169.87</v>
      </c>
      <c r="G50" s="12">
        <v>4653.26</v>
      </c>
      <c r="I50" s="8" t="s">
        <v>52</v>
      </c>
      <c r="J50" s="12">
        <v>38.21</v>
      </c>
      <c r="K50" s="12">
        <v>32.51</v>
      </c>
      <c r="L50" s="12">
        <v>95.71</v>
      </c>
      <c r="M50" s="12">
        <v>60.21</v>
      </c>
      <c r="N50" s="12">
        <v>23.3</v>
      </c>
      <c r="O50" s="12">
        <v>11.27</v>
      </c>
      <c r="Q50" s="24" t="s">
        <v>98</v>
      </c>
      <c r="R50" s="27">
        <f>R48+R49</f>
        <v>5007.25</v>
      </c>
      <c r="S50" s="27">
        <f t="shared" ref="S50:W50" si="26">S48+S49</f>
        <v>6174.92</v>
      </c>
      <c r="T50" s="27">
        <f t="shared" si="26"/>
        <v>6847.33</v>
      </c>
      <c r="U50" s="27">
        <f t="shared" si="26"/>
        <v>8388.33</v>
      </c>
      <c r="V50" s="27">
        <f t="shared" si="26"/>
        <v>7670.22</v>
      </c>
      <c r="W50" s="27">
        <f t="shared" si="26"/>
        <v>8996.2099999999991</v>
      </c>
      <c r="Y50" s="8" t="s">
        <v>104</v>
      </c>
      <c r="Z50" s="12">
        <v>132.27000000000001</v>
      </c>
      <c r="AA50" s="12">
        <v>104.18</v>
      </c>
      <c r="AB50" s="12">
        <v>406.54</v>
      </c>
      <c r="AC50" s="12">
        <v>490.75</v>
      </c>
      <c r="AD50" s="12">
        <v>547.66999999999996</v>
      </c>
      <c r="AE50" s="12">
        <v>584.34</v>
      </c>
      <c r="AG50" s="5" t="s">
        <v>98</v>
      </c>
      <c r="AH50" s="27">
        <f>AH48+AH49</f>
        <v>690.01610000000005</v>
      </c>
      <c r="AI50" s="27">
        <f t="shared" ref="AI50:AM50" si="27">AI48+AI49</f>
        <v>271.72999999999996</v>
      </c>
      <c r="AJ50" s="27">
        <f t="shared" si="27"/>
        <v>223.96</v>
      </c>
      <c r="AK50" s="27">
        <f t="shared" si="27"/>
        <v>620.55999999999995</v>
      </c>
      <c r="AL50" s="27">
        <f t="shared" si="27"/>
        <v>250</v>
      </c>
      <c r="AM50" s="27">
        <f t="shared" si="27"/>
        <v>344.87</v>
      </c>
    </row>
    <row r="51" spans="1:39" x14ac:dyDescent="0.3">
      <c r="A51" s="8" t="s">
        <v>53</v>
      </c>
      <c r="B51" s="12">
        <v>1453.26</v>
      </c>
      <c r="C51" s="12">
        <v>1065.79</v>
      </c>
      <c r="D51" s="12">
        <v>988.21</v>
      </c>
      <c r="E51" s="12">
        <v>1148.8399999999999</v>
      </c>
      <c r="F51" s="12">
        <v>1664.99</v>
      </c>
      <c r="G51" s="12">
        <v>2142.54</v>
      </c>
      <c r="I51" s="8" t="s">
        <v>53</v>
      </c>
      <c r="J51" s="12">
        <v>345.41</v>
      </c>
      <c r="K51" s="12">
        <v>529.79</v>
      </c>
      <c r="L51" s="12">
        <v>673.77</v>
      </c>
      <c r="M51" s="12">
        <v>326.51</v>
      </c>
      <c r="N51" s="12">
        <v>24.08</v>
      </c>
      <c r="O51" s="12">
        <v>19.3</v>
      </c>
      <c r="Q51" s="8" t="s">
        <v>100</v>
      </c>
      <c r="R51" s="12">
        <v>0</v>
      </c>
      <c r="S51" s="12">
        <v>0</v>
      </c>
      <c r="T51" s="12">
        <v>0</v>
      </c>
      <c r="U51" s="12">
        <v>0</v>
      </c>
      <c r="V51" s="12">
        <v>1560.79</v>
      </c>
      <c r="W51" s="12">
        <v>1507.27</v>
      </c>
      <c r="Y51" s="8" t="s">
        <v>106</v>
      </c>
      <c r="Z51" s="12">
        <v>379.88</v>
      </c>
      <c r="AA51" s="12">
        <v>351.47</v>
      </c>
      <c r="AB51" s="12">
        <v>575.91</v>
      </c>
      <c r="AC51" s="12">
        <v>851.7</v>
      </c>
      <c r="AD51" s="12">
        <v>1018.71</v>
      </c>
      <c r="AE51" s="12">
        <v>1417.65</v>
      </c>
      <c r="AG51" s="8" t="s">
        <v>87</v>
      </c>
      <c r="AH51" s="12">
        <v>1464.1432</v>
      </c>
      <c r="AI51" s="12">
        <v>1257.82</v>
      </c>
      <c r="AJ51" s="12">
        <v>1752.59</v>
      </c>
      <c r="AK51" s="12">
        <v>1929.84</v>
      </c>
      <c r="AL51" s="12">
        <v>1472.45</v>
      </c>
      <c r="AM51" s="12">
        <v>2228.35</v>
      </c>
    </row>
    <row r="52" spans="1:39" x14ac:dyDescent="0.3">
      <c r="A52" s="5" t="s">
        <v>54</v>
      </c>
      <c r="B52" s="27">
        <f t="shared" ref="B52:G52" si="28">SUM(B46:B51)</f>
        <v>28664.120000000003</v>
      </c>
      <c r="C52" s="27">
        <f t="shared" si="28"/>
        <v>36011.100000000006</v>
      </c>
      <c r="D52" s="27">
        <f t="shared" si="28"/>
        <v>45936.12</v>
      </c>
      <c r="E52" s="27">
        <f t="shared" si="28"/>
        <v>55058.479999999996</v>
      </c>
      <c r="F52" s="27">
        <f t="shared" si="28"/>
        <v>47911.93</v>
      </c>
      <c r="G52" s="27">
        <f t="shared" si="28"/>
        <v>49372.9</v>
      </c>
      <c r="I52" s="5" t="s">
        <v>54</v>
      </c>
      <c r="J52" s="27">
        <f>SUM(J43,J47,J48:J51,J44)</f>
        <v>3145.22</v>
      </c>
      <c r="K52" s="27">
        <f t="shared" ref="K52:O52" si="29">SUM(K43,K47,K48:K51,K44)</f>
        <v>3151.86</v>
      </c>
      <c r="L52" s="27">
        <f t="shared" si="29"/>
        <v>3260.21</v>
      </c>
      <c r="M52" s="27">
        <f t="shared" si="29"/>
        <v>2286.9700000000003</v>
      </c>
      <c r="N52" s="27">
        <f t="shared" si="29"/>
        <v>2137.27</v>
      </c>
      <c r="O52" s="27">
        <f t="shared" si="29"/>
        <v>2171.8300000000004</v>
      </c>
      <c r="Q52" s="20" t="s">
        <v>87</v>
      </c>
      <c r="R52" s="12">
        <v>368.21</v>
      </c>
      <c r="S52" s="12">
        <v>102.81</v>
      </c>
      <c r="T52" s="12">
        <v>41.6</v>
      </c>
      <c r="U52" s="12">
        <v>54.17</v>
      </c>
      <c r="V52" s="12">
        <v>29.69</v>
      </c>
      <c r="W52" s="26">
        <v>97.28</v>
      </c>
      <c r="Y52" s="8" t="s">
        <v>107</v>
      </c>
      <c r="Z52" s="12">
        <v>36249.51</v>
      </c>
      <c r="AA52" s="12">
        <v>37118.33</v>
      </c>
      <c r="AB52" s="12">
        <v>50789.71</v>
      </c>
      <c r="AC52" s="12">
        <v>48932.42</v>
      </c>
      <c r="AD52" s="12">
        <v>52274.17</v>
      </c>
      <c r="AE52" s="12">
        <v>51041.69</v>
      </c>
      <c r="AG52" s="8" t="s">
        <v>89</v>
      </c>
      <c r="AH52" s="12">
        <v>472.61779999999999</v>
      </c>
      <c r="AI52" s="12">
        <v>702.04</v>
      </c>
      <c r="AJ52" s="12">
        <v>4543.72</v>
      </c>
      <c r="AK52" s="12">
        <v>1464.25</v>
      </c>
      <c r="AL52" s="12">
        <v>2321.66</v>
      </c>
      <c r="AM52" s="12">
        <v>2416.9299999999998</v>
      </c>
    </row>
    <row r="53" spans="1:39" x14ac:dyDescent="0.3">
      <c r="A53" s="2" t="s">
        <v>55</v>
      </c>
      <c r="B53" s="32"/>
      <c r="C53" s="32"/>
      <c r="D53" s="32"/>
      <c r="E53" s="32"/>
      <c r="F53" s="32"/>
      <c r="G53" s="32"/>
      <c r="I53" s="2" t="s">
        <v>55</v>
      </c>
      <c r="J53" s="50"/>
      <c r="K53" s="50"/>
      <c r="L53" s="50"/>
      <c r="M53" s="50"/>
      <c r="N53" s="50"/>
      <c r="O53" s="50"/>
      <c r="Q53" s="20" t="s">
        <v>99</v>
      </c>
      <c r="R53" s="12">
        <v>2210.27</v>
      </c>
      <c r="S53" s="12">
        <v>2078.63</v>
      </c>
      <c r="T53" s="12">
        <v>2410.87</v>
      </c>
      <c r="U53" s="12">
        <v>2620.3000000000002</v>
      </c>
      <c r="V53" s="12">
        <v>1211.49</v>
      </c>
      <c r="W53" s="26">
        <v>1659.36</v>
      </c>
      <c r="Y53" s="5" t="s">
        <v>98</v>
      </c>
      <c r="Z53" s="27">
        <f>Z51+Z52</f>
        <v>36629.39</v>
      </c>
      <c r="AA53" s="27">
        <f t="shared" ref="AA53:AE53" si="30">AA51+AA52</f>
        <v>37469.800000000003</v>
      </c>
      <c r="AB53" s="27">
        <f t="shared" si="30"/>
        <v>51365.62</v>
      </c>
      <c r="AC53" s="27">
        <f t="shared" si="30"/>
        <v>49784.119999999995</v>
      </c>
      <c r="AD53" s="27">
        <f t="shared" si="30"/>
        <v>53292.88</v>
      </c>
      <c r="AE53" s="27">
        <f t="shared" si="30"/>
        <v>52459.340000000004</v>
      </c>
      <c r="AG53" s="8" t="s">
        <v>51</v>
      </c>
      <c r="AH53" s="12">
        <v>70.373199999999997</v>
      </c>
      <c r="AI53" s="12">
        <v>21.46</v>
      </c>
      <c r="AJ53" s="12">
        <v>25.35</v>
      </c>
      <c r="AK53" s="12">
        <v>28.25</v>
      </c>
      <c r="AL53" s="12">
        <v>38.92</v>
      </c>
      <c r="AM53" s="12">
        <v>100.33</v>
      </c>
    </row>
    <row r="54" spans="1:39" x14ac:dyDescent="0.3">
      <c r="A54" s="8" t="s">
        <v>49</v>
      </c>
      <c r="B54" s="12">
        <v>1544.12</v>
      </c>
      <c r="C54" s="12">
        <v>400</v>
      </c>
      <c r="D54" s="12">
        <v>5761.56</v>
      </c>
      <c r="E54" s="12">
        <v>3302.37</v>
      </c>
      <c r="F54" s="12">
        <v>8616.2999999999993</v>
      </c>
      <c r="G54" s="12">
        <v>9979.35</v>
      </c>
      <c r="I54" s="8" t="s">
        <v>49</v>
      </c>
      <c r="J54" s="12">
        <v>1131.71</v>
      </c>
      <c r="K54" s="12">
        <v>894.91</v>
      </c>
      <c r="L54" s="12">
        <v>2155.4899999999998</v>
      </c>
      <c r="M54" s="12">
        <v>2467.63</v>
      </c>
      <c r="N54" s="12">
        <v>2461.66</v>
      </c>
      <c r="O54" s="12">
        <v>2721.24</v>
      </c>
      <c r="Q54" s="20" t="s">
        <v>89</v>
      </c>
      <c r="R54" s="12">
        <v>86.74</v>
      </c>
      <c r="S54" s="12">
        <v>94.89</v>
      </c>
      <c r="T54" s="12">
        <v>121.96</v>
      </c>
      <c r="U54" s="12">
        <v>216.76</v>
      </c>
      <c r="V54" s="12">
        <v>281.36</v>
      </c>
      <c r="W54" s="26">
        <v>305.45</v>
      </c>
      <c r="Y54" s="8" t="s">
        <v>87</v>
      </c>
      <c r="Z54" s="12">
        <v>1709.09</v>
      </c>
      <c r="AA54" s="12">
        <v>2159.41</v>
      </c>
      <c r="AB54" s="12">
        <v>6664.35</v>
      </c>
      <c r="AC54" s="12">
        <v>7441.94</v>
      </c>
      <c r="AD54" s="12">
        <v>7575.67</v>
      </c>
      <c r="AE54" s="12">
        <v>6273.37</v>
      </c>
      <c r="AG54" s="8" t="s">
        <v>116</v>
      </c>
      <c r="AH54" s="12">
        <v>0</v>
      </c>
      <c r="AI54" s="12">
        <v>7.64</v>
      </c>
      <c r="AJ54" s="12">
        <v>0</v>
      </c>
      <c r="AK54" s="12">
        <v>0</v>
      </c>
      <c r="AL54" s="12">
        <v>7.39</v>
      </c>
      <c r="AM54" s="12">
        <v>0</v>
      </c>
    </row>
    <row r="55" spans="1:39" x14ac:dyDescent="0.3">
      <c r="A55" s="8" t="s">
        <v>32</v>
      </c>
      <c r="B55" s="12">
        <v>613.04999999999995</v>
      </c>
      <c r="C55" s="12">
        <v>539.80999999999995</v>
      </c>
      <c r="D55" s="12">
        <v>299.24</v>
      </c>
      <c r="E55" s="12">
        <v>699.12</v>
      </c>
      <c r="F55" s="12">
        <v>0</v>
      </c>
      <c r="G55" s="12">
        <v>0</v>
      </c>
      <c r="I55" s="8" t="s">
        <v>72</v>
      </c>
      <c r="J55" s="12">
        <v>0</v>
      </c>
      <c r="K55" s="12">
        <v>0</v>
      </c>
      <c r="L55" s="12">
        <v>54.53</v>
      </c>
      <c r="M55" s="12">
        <v>48.87</v>
      </c>
      <c r="N55" s="12">
        <v>53.24</v>
      </c>
      <c r="O55" s="12">
        <v>56.75</v>
      </c>
      <c r="Q55" s="20" t="s">
        <v>51</v>
      </c>
      <c r="R55" s="12">
        <v>59.25</v>
      </c>
      <c r="S55" s="12">
        <v>65.05</v>
      </c>
      <c r="T55" s="12">
        <v>87.8</v>
      </c>
      <c r="U55" s="12">
        <v>94.44</v>
      </c>
      <c r="V55" s="12">
        <v>102.23</v>
      </c>
      <c r="W55" s="26">
        <v>100.87</v>
      </c>
      <c r="Y55" s="8" t="s">
        <v>89</v>
      </c>
      <c r="Z55" s="12">
        <v>20758.05</v>
      </c>
      <c r="AA55" s="12">
        <v>21499.49</v>
      </c>
      <c r="AB55" s="12">
        <v>34408.74</v>
      </c>
      <c r="AC55" s="12">
        <v>42166.55</v>
      </c>
      <c r="AD55" s="12">
        <v>52184.08</v>
      </c>
      <c r="AE55" s="12">
        <v>63326.97</v>
      </c>
      <c r="AG55" s="5" t="s">
        <v>90</v>
      </c>
      <c r="AH55" s="27">
        <f>SUM(AH46:AH47,AH50,AH51:AH54)</f>
        <v>2697.1503000000002</v>
      </c>
      <c r="AI55" s="27">
        <f t="shared" ref="AI55:AM55" si="31">SUM(AI46:AI47,AI50,AI51:AI54)</f>
        <v>2508.6699999999996</v>
      </c>
      <c r="AJ55" s="27">
        <f t="shared" si="31"/>
        <v>6845.75</v>
      </c>
      <c r="AK55" s="27">
        <f t="shared" si="31"/>
        <v>4442.5</v>
      </c>
      <c r="AL55" s="27">
        <f t="shared" si="31"/>
        <v>4579.3200000000006</v>
      </c>
      <c r="AM55" s="27">
        <f t="shared" si="31"/>
        <v>5608.2999999999993</v>
      </c>
    </row>
    <row r="56" spans="1:39" x14ac:dyDescent="0.3">
      <c r="A56" s="8" t="s">
        <v>56</v>
      </c>
      <c r="B56" s="12">
        <v>1.96</v>
      </c>
      <c r="C56" s="12">
        <v>11.5</v>
      </c>
      <c r="D56" s="12">
        <v>41.86</v>
      </c>
      <c r="E56" s="12">
        <v>98.88</v>
      </c>
      <c r="F56" s="12">
        <v>152.5</v>
      </c>
      <c r="G56" s="12">
        <v>166.73</v>
      </c>
      <c r="I56" s="8" t="s">
        <v>86</v>
      </c>
      <c r="J56" s="12">
        <v>102</v>
      </c>
      <c r="K56" s="12">
        <v>175.24</v>
      </c>
      <c r="L56" s="12">
        <v>159.09</v>
      </c>
      <c r="M56" s="12">
        <v>153.4</v>
      </c>
      <c r="N56" s="12">
        <v>224.89</v>
      </c>
      <c r="O56" s="12">
        <v>273.45999999999998</v>
      </c>
      <c r="Q56" s="20" t="s">
        <v>60</v>
      </c>
      <c r="R56" s="12">
        <v>48.27</v>
      </c>
      <c r="S56" s="12">
        <v>119.05</v>
      </c>
      <c r="T56" s="12">
        <v>89.66</v>
      </c>
      <c r="U56" s="12">
        <v>107.98</v>
      </c>
      <c r="V56" s="12">
        <v>101.08</v>
      </c>
      <c r="W56" s="26">
        <v>172.9</v>
      </c>
      <c r="Y56" s="8" t="s">
        <v>51</v>
      </c>
      <c r="Z56" s="12">
        <v>1555.39</v>
      </c>
      <c r="AA56" s="12">
        <v>1320.01</v>
      </c>
      <c r="AB56" s="12">
        <v>3355.86</v>
      </c>
      <c r="AC56" s="12">
        <v>3493.47</v>
      </c>
      <c r="AD56" s="12">
        <v>4115.8900000000003</v>
      </c>
      <c r="AE56" s="12">
        <v>4691.67</v>
      </c>
      <c r="AG56" s="5" t="s">
        <v>64</v>
      </c>
      <c r="AH56" s="27">
        <f t="shared" ref="AH56:AM56" si="32">AH36+AH44+AH55</f>
        <v>12391.2484</v>
      </c>
      <c r="AI56" s="27">
        <f t="shared" si="32"/>
        <v>14221.13</v>
      </c>
      <c r="AJ56" s="27">
        <f t="shared" si="32"/>
        <v>19881.03</v>
      </c>
      <c r="AK56" s="27">
        <f t="shared" si="32"/>
        <v>18343.79</v>
      </c>
      <c r="AL56" s="27">
        <f t="shared" si="32"/>
        <v>19611.990000000002</v>
      </c>
      <c r="AM56" s="27">
        <f t="shared" si="32"/>
        <v>19484.519999999997</v>
      </c>
    </row>
    <row r="57" spans="1:39" x14ac:dyDescent="0.3">
      <c r="A57" s="8" t="s">
        <v>57</v>
      </c>
      <c r="B57" s="12">
        <v>726.78</v>
      </c>
      <c r="C57" s="12">
        <v>1002.35</v>
      </c>
      <c r="D57" s="12">
        <v>1117.71</v>
      </c>
      <c r="E57" s="12">
        <v>1729.35</v>
      </c>
      <c r="F57" s="12">
        <v>1759.6</v>
      </c>
      <c r="G57" s="12">
        <v>2553.77</v>
      </c>
      <c r="I57" s="8" t="s">
        <v>57</v>
      </c>
      <c r="J57" s="12">
        <v>3343.17</v>
      </c>
      <c r="K57" s="12">
        <v>3563.9</v>
      </c>
      <c r="L57" s="12">
        <v>4094.24</v>
      </c>
      <c r="M57" s="12">
        <v>4750.4399999999996</v>
      </c>
      <c r="N57" s="12">
        <v>5630.58</v>
      </c>
      <c r="O57" s="12">
        <v>6314.47</v>
      </c>
      <c r="Q57" s="24" t="s">
        <v>61</v>
      </c>
      <c r="R57" s="27">
        <f>SUM(R46:R47,R50,R52:R56)</f>
        <v>9723.68</v>
      </c>
      <c r="S57" s="27">
        <f>SUM(S46:S47,S50,S52:S56)</f>
        <v>10287.409999999998</v>
      </c>
      <c r="T57" s="27">
        <f>SUM(T46:T47,T50,T52:T56)</f>
        <v>12103.129999999997</v>
      </c>
      <c r="U57" s="27">
        <f>SUM(U46:U47,U50,U52:U56)</f>
        <v>14209.02</v>
      </c>
      <c r="V57" s="27">
        <f>SUM(V46:V47,V50,V51:V56)</f>
        <v>14533.700000000003</v>
      </c>
      <c r="W57" s="27">
        <f>SUM(W46:W47,W50,W51:W56)</f>
        <v>16226.880000000003</v>
      </c>
      <c r="Y57" s="8" t="s">
        <v>60</v>
      </c>
      <c r="Z57" s="12">
        <v>628.91999999999996</v>
      </c>
      <c r="AA57" s="12">
        <v>395.78</v>
      </c>
      <c r="AB57" s="12">
        <v>1309.82</v>
      </c>
      <c r="AC57" s="12">
        <v>1393.46</v>
      </c>
      <c r="AD57" s="12">
        <v>1860.47</v>
      </c>
      <c r="AE57" s="12">
        <v>2579.21</v>
      </c>
    </row>
    <row r="58" spans="1:39" x14ac:dyDescent="0.3">
      <c r="A58" s="5" t="s">
        <v>58</v>
      </c>
      <c r="B58" s="27">
        <f>B56+B57</f>
        <v>728.74</v>
      </c>
      <c r="C58" s="27">
        <f t="shared" ref="C58:G58" si="33">C56+C57</f>
        <v>1013.85</v>
      </c>
      <c r="D58" s="27">
        <f t="shared" si="33"/>
        <v>1159.57</v>
      </c>
      <c r="E58" s="27">
        <f t="shared" si="33"/>
        <v>1828.23</v>
      </c>
      <c r="F58" s="27">
        <f t="shared" si="33"/>
        <v>1912.1</v>
      </c>
      <c r="G58" s="27">
        <f t="shared" si="33"/>
        <v>2720.5</v>
      </c>
      <c r="I58" s="5" t="s">
        <v>88</v>
      </c>
      <c r="J58" s="27">
        <f>J56+J57</f>
        <v>3445.17</v>
      </c>
      <c r="K58" s="27">
        <f t="shared" ref="K58:O58" si="34">K56+K57</f>
        <v>3739.1400000000003</v>
      </c>
      <c r="L58" s="27">
        <f t="shared" si="34"/>
        <v>4253.33</v>
      </c>
      <c r="M58" s="27">
        <f t="shared" si="34"/>
        <v>4903.8399999999992</v>
      </c>
      <c r="N58" s="27">
        <f t="shared" si="34"/>
        <v>5855.47</v>
      </c>
      <c r="O58" s="27">
        <f t="shared" si="34"/>
        <v>6587.93</v>
      </c>
      <c r="Q58" s="51" t="s">
        <v>64</v>
      </c>
      <c r="R58" s="57">
        <f t="shared" ref="R58:W58" si="35">R36+R44+R57</f>
        <v>12876.95</v>
      </c>
      <c r="S58" s="57">
        <f t="shared" si="35"/>
        <v>14047.949999999997</v>
      </c>
      <c r="T58" s="57">
        <f t="shared" si="35"/>
        <v>16341.299999999997</v>
      </c>
      <c r="U58" s="57">
        <f t="shared" si="35"/>
        <v>18668.099999999999</v>
      </c>
      <c r="V58" s="57">
        <f t="shared" si="35"/>
        <v>19031.04</v>
      </c>
      <c r="W58" s="57">
        <f t="shared" si="35"/>
        <v>22179.510000000002</v>
      </c>
      <c r="Y58" s="8" t="s">
        <v>108</v>
      </c>
      <c r="Z58" s="12">
        <v>1367.58</v>
      </c>
      <c r="AA58" s="12">
        <v>0</v>
      </c>
      <c r="AB58" s="12">
        <v>79.73</v>
      </c>
      <c r="AC58" s="12">
        <v>0</v>
      </c>
      <c r="AD58" s="12">
        <v>0</v>
      </c>
      <c r="AE58" s="12">
        <v>0</v>
      </c>
    </row>
    <row r="59" spans="1:39" x14ac:dyDescent="0.3">
      <c r="A59" s="8" t="s">
        <v>72</v>
      </c>
      <c r="B59" s="12">
        <v>0</v>
      </c>
      <c r="C59" s="12">
        <v>0</v>
      </c>
      <c r="D59" s="12">
        <v>32.159999999999997</v>
      </c>
      <c r="E59" s="12">
        <v>61.97</v>
      </c>
      <c r="F59" s="12">
        <v>71.2</v>
      </c>
      <c r="G59" s="12">
        <v>254.56</v>
      </c>
      <c r="I59" s="8" t="s">
        <v>87</v>
      </c>
      <c r="J59" s="12">
        <v>923.3</v>
      </c>
      <c r="K59" s="12">
        <v>1284.49</v>
      </c>
      <c r="L59" s="12">
        <v>699.44</v>
      </c>
      <c r="M59" s="12">
        <v>563.21</v>
      </c>
      <c r="N59" s="12">
        <v>856.55</v>
      </c>
      <c r="O59" s="12">
        <v>1048.46</v>
      </c>
      <c r="Y59" s="2" t="s">
        <v>109</v>
      </c>
      <c r="Z59" s="27">
        <f>SUM(Z48:Z50,Z53,Z54:Z58)</f>
        <v>81380.28</v>
      </c>
      <c r="AA59" s="27">
        <f t="shared" ref="AA59:AE59" si="36">SUM(AA48:AA50,AA53,AA54:AA58)</f>
        <v>70889.17</v>
      </c>
      <c r="AB59" s="27">
        <f t="shared" si="36"/>
        <v>159440.58000000002</v>
      </c>
      <c r="AC59" s="27">
        <f t="shared" si="36"/>
        <v>162065.99</v>
      </c>
      <c r="AD59" s="27">
        <f t="shared" si="36"/>
        <v>177109.46000000002</v>
      </c>
      <c r="AE59" s="27">
        <f t="shared" si="36"/>
        <v>201970.9</v>
      </c>
    </row>
    <row r="60" spans="1:39" x14ac:dyDescent="0.3">
      <c r="A60" s="8" t="s">
        <v>50</v>
      </c>
      <c r="B60" s="12">
        <v>3336.14</v>
      </c>
      <c r="C60" s="12">
        <v>3292.34</v>
      </c>
      <c r="D60" s="12">
        <v>1954.51</v>
      </c>
      <c r="E60" s="12">
        <v>2620.7600000000002</v>
      </c>
      <c r="F60" s="12">
        <v>3756.8</v>
      </c>
      <c r="G60" s="12">
        <v>5359.74</v>
      </c>
      <c r="I60" s="8" t="s">
        <v>89</v>
      </c>
      <c r="J60" s="12">
        <v>2378.98</v>
      </c>
      <c r="K60" s="12">
        <v>1769.95</v>
      </c>
      <c r="L60" s="12">
        <v>1908.85</v>
      </c>
      <c r="M60" s="12">
        <v>3613.3</v>
      </c>
      <c r="N60" s="12">
        <v>4636.91</v>
      </c>
      <c r="O60" s="12">
        <v>5469.42</v>
      </c>
      <c r="Y60" s="5" t="s">
        <v>64</v>
      </c>
      <c r="Z60" s="27">
        <f t="shared" ref="Z60:AE60" si="37">Z37+Z46+Z59</f>
        <v>141556.59</v>
      </c>
      <c r="AA60" s="27">
        <f t="shared" si="37"/>
        <v>147952.56</v>
      </c>
      <c r="AB60" s="27">
        <f t="shared" si="37"/>
        <v>320067.24</v>
      </c>
      <c r="AC60" s="27">
        <f t="shared" si="37"/>
        <v>330352.31</v>
      </c>
      <c r="AD60" s="27">
        <f t="shared" si="37"/>
        <v>340135.97</v>
      </c>
      <c r="AE60" s="27">
        <f t="shared" si="37"/>
        <v>379524.1</v>
      </c>
    </row>
    <row r="61" spans="1:39" x14ac:dyDescent="0.3">
      <c r="A61" s="8" t="s">
        <v>59</v>
      </c>
      <c r="B61" s="12">
        <v>1346.66</v>
      </c>
      <c r="C61" s="12">
        <v>1721.19</v>
      </c>
      <c r="D61" s="12">
        <v>1654.87</v>
      </c>
      <c r="E61" s="12">
        <v>1814.19</v>
      </c>
      <c r="F61" s="12">
        <v>1832.45</v>
      </c>
      <c r="G61" s="12">
        <v>2242.6799999999998</v>
      </c>
      <c r="I61" s="8" t="s">
        <v>51</v>
      </c>
      <c r="J61" s="12">
        <v>450.88</v>
      </c>
      <c r="K61" s="12">
        <v>620.6</v>
      </c>
      <c r="L61" s="12">
        <v>433.78</v>
      </c>
      <c r="M61" s="12">
        <v>416.6</v>
      </c>
      <c r="N61" s="12">
        <v>470.53</v>
      </c>
      <c r="O61" s="12">
        <v>616.58000000000004</v>
      </c>
    </row>
    <row r="62" spans="1:39" x14ac:dyDescent="0.3">
      <c r="A62" s="8" t="s">
        <v>51</v>
      </c>
      <c r="B62" s="12">
        <v>106.3</v>
      </c>
      <c r="C62" s="12">
        <v>95.73</v>
      </c>
      <c r="D62" s="12">
        <v>107.52</v>
      </c>
      <c r="E62" s="12">
        <v>548.03</v>
      </c>
      <c r="F62" s="12">
        <v>193.44</v>
      </c>
      <c r="G62" s="12">
        <v>236.77</v>
      </c>
      <c r="I62" s="8" t="s">
        <v>60</v>
      </c>
      <c r="J62" s="12">
        <v>2.96</v>
      </c>
      <c r="K62" s="12">
        <v>33.64</v>
      </c>
      <c r="L62" s="12">
        <v>28.41</v>
      </c>
      <c r="M62" s="12">
        <v>121.9</v>
      </c>
      <c r="N62" s="12">
        <v>43.83</v>
      </c>
      <c r="O62" s="12">
        <v>112.68</v>
      </c>
    </row>
    <row r="63" spans="1:39" x14ac:dyDescent="0.3">
      <c r="A63" s="8" t="s">
        <v>60</v>
      </c>
      <c r="B63" s="12">
        <v>21.46</v>
      </c>
      <c r="C63" s="12">
        <v>38.49</v>
      </c>
      <c r="D63" s="12">
        <v>93.92</v>
      </c>
      <c r="E63" s="12">
        <v>528.42999999999995</v>
      </c>
      <c r="F63" s="12">
        <v>33.1</v>
      </c>
      <c r="G63" s="12">
        <v>144.84</v>
      </c>
      <c r="I63" s="5" t="s">
        <v>90</v>
      </c>
      <c r="J63" s="27">
        <f>SUM(J54,J58,J59:J62,J55)</f>
        <v>8332.9999999999982</v>
      </c>
      <c r="K63" s="27">
        <f t="shared" ref="K63:O63" si="38">SUM(K54,K58,K59:K62,K55)</f>
        <v>8342.73</v>
      </c>
      <c r="L63" s="27">
        <f t="shared" si="38"/>
        <v>9533.8300000000017</v>
      </c>
      <c r="M63" s="27">
        <f t="shared" si="38"/>
        <v>12135.35</v>
      </c>
      <c r="N63" s="27">
        <f t="shared" si="38"/>
        <v>14378.19</v>
      </c>
      <c r="O63" s="27">
        <f t="shared" si="38"/>
        <v>16613.060000000001</v>
      </c>
    </row>
    <row r="64" spans="1:39" x14ac:dyDescent="0.3">
      <c r="A64" s="5" t="s">
        <v>61</v>
      </c>
      <c r="B64" s="27">
        <f>SUM(B54:B55,B58,B60:B63,B59)</f>
        <v>7696.4699999999993</v>
      </c>
      <c r="C64" s="27">
        <f t="shared" ref="C64:G64" si="39">SUM(C54:C55,C58,C60:C63,C59)</f>
        <v>7101.41</v>
      </c>
      <c r="D64" s="27">
        <f t="shared" si="39"/>
        <v>11063.35</v>
      </c>
      <c r="E64" s="27">
        <f t="shared" si="39"/>
        <v>11403.1</v>
      </c>
      <c r="F64" s="27">
        <f t="shared" si="39"/>
        <v>16415.390000000003</v>
      </c>
      <c r="G64" s="27">
        <f t="shared" si="39"/>
        <v>20938.440000000002</v>
      </c>
      <c r="I64" s="8" t="s">
        <v>91</v>
      </c>
      <c r="J64" s="12">
        <v>805.76</v>
      </c>
      <c r="K64" s="12">
        <v>0</v>
      </c>
      <c r="L64" s="12">
        <v>0</v>
      </c>
      <c r="M64" s="12">
        <v>464.67</v>
      </c>
      <c r="N64" s="12">
        <v>409.44</v>
      </c>
      <c r="O64" s="12">
        <v>330.34</v>
      </c>
    </row>
    <row r="65" spans="1:39" x14ac:dyDescent="0.3">
      <c r="A65" s="8" t="s">
        <v>62</v>
      </c>
      <c r="B65" s="12">
        <v>0</v>
      </c>
      <c r="C65" s="12">
        <v>114.54</v>
      </c>
      <c r="D65" s="12">
        <v>305.36</v>
      </c>
      <c r="E65" s="12">
        <v>1521.46</v>
      </c>
      <c r="F65" s="12">
        <v>47.55</v>
      </c>
      <c r="G65" s="12">
        <v>47.55</v>
      </c>
      <c r="I65" s="5" t="s">
        <v>92</v>
      </c>
      <c r="J65" s="27">
        <f t="shared" ref="J65:O65" si="40">J40+J52+J63+J64</f>
        <v>15779.149999999998</v>
      </c>
      <c r="K65" s="27">
        <f t="shared" si="40"/>
        <v>15353.529999999999</v>
      </c>
      <c r="L65" s="27">
        <f t="shared" si="40"/>
        <v>17211.510000000002</v>
      </c>
      <c r="M65" s="27">
        <f t="shared" si="40"/>
        <v>19580.849999999999</v>
      </c>
      <c r="N65" s="27">
        <f t="shared" si="40"/>
        <v>22037.71</v>
      </c>
      <c r="O65" s="27">
        <f t="shared" si="40"/>
        <v>25584.09</v>
      </c>
    </row>
    <row r="66" spans="1:39" x14ac:dyDescent="0.3">
      <c r="A66" s="5" t="s">
        <v>63</v>
      </c>
      <c r="B66" s="27">
        <f t="shared" ref="B66:G66" si="41">B52+B64+B65</f>
        <v>36360.590000000004</v>
      </c>
      <c r="C66" s="27">
        <f t="shared" si="41"/>
        <v>43227.05000000001</v>
      </c>
      <c r="D66" s="27">
        <f t="shared" si="41"/>
        <v>57304.83</v>
      </c>
      <c r="E66" s="27">
        <f t="shared" si="41"/>
        <v>67983.040000000008</v>
      </c>
      <c r="F66" s="27">
        <f t="shared" si="41"/>
        <v>64374.87000000001</v>
      </c>
      <c r="G66" s="27">
        <f t="shared" si="41"/>
        <v>70358.89</v>
      </c>
    </row>
    <row r="67" spans="1:39" x14ac:dyDescent="0.3">
      <c r="A67" s="5" t="s">
        <v>64</v>
      </c>
      <c r="B67" s="27">
        <f t="shared" ref="B67:G67" si="42">B43+B66</f>
        <v>62203.67</v>
      </c>
      <c r="C67" s="27">
        <f t="shared" si="42"/>
        <v>75323.780000000013</v>
      </c>
      <c r="D67" s="27">
        <f t="shared" si="42"/>
        <v>99685.82</v>
      </c>
      <c r="E67" s="27">
        <f t="shared" si="42"/>
        <v>114905.13</v>
      </c>
      <c r="F67" s="27">
        <f t="shared" si="42"/>
        <v>118917.87000000001</v>
      </c>
      <c r="G67" s="27">
        <f t="shared" si="42"/>
        <v>135332.22999999998</v>
      </c>
    </row>
    <row r="69" spans="1:39" x14ac:dyDescent="0.3">
      <c r="A69" s="1" t="s">
        <v>496</v>
      </c>
      <c r="B69" s="4">
        <v>2020</v>
      </c>
      <c r="C69" s="4">
        <v>2021</v>
      </c>
      <c r="D69" s="4">
        <v>2022</v>
      </c>
      <c r="E69" s="4">
        <v>2023</v>
      </c>
      <c r="F69" s="4">
        <v>2024</v>
      </c>
      <c r="G69" s="4">
        <v>2025</v>
      </c>
      <c r="I69" s="1" t="s">
        <v>496</v>
      </c>
      <c r="J69" s="4">
        <v>2020</v>
      </c>
      <c r="K69" s="4">
        <v>2021</v>
      </c>
      <c r="L69" s="4">
        <v>2022</v>
      </c>
      <c r="M69" s="4">
        <v>2023</v>
      </c>
      <c r="N69" s="4">
        <v>2024</v>
      </c>
      <c r="O69" s="4">
        <v>2025</v>
      </c>
      <c r="Q69" s="1" t="s">
        <v>496</v>
      </c>
      <c r="R69" s="4">
        <v>2020</v>
      </c>
      <c r="S69" s="4">
        <v>2021</v>
      </c>
      <c r="T69" s="4">
        <v>2022</v>
      </c>
      <c r="U69" s="4">
        <v>2023</v>
      </c>
      <c r="V69" s="4">
        <v>2024</v>
      </c>
      <c r="W69" s="4">
        <v>2025</v>
      </c>
      <c r="Y69" s="1" t="s">
        <v>496</v>
      </c>
      <c r="Z69" s="4">
        <v>2020</v>
      </c>
      <c r="AA69" s="4">
        <v>2021</v>
      </c>
      <c r="AB69" s="4">
        <v>2022</v>
      </c>
      <c r="AC69" s="4">
        <v>2023</v>
      </c>
      <c r="AD69" s="4">
        <v>2024</v>
      </c>
      <c r="AE69" s="4">
        <v>2025</v>
      </c>
      <c r="AG69" s="1" t="s">
        <v>496</v>
      </c>
      <c r="AH69" s="4">
        <v>2020</v>
      </c>
      <c r="AI69" s="4">
        <v>2021</v>
      </c>
      <c r="AJ69" s="4">
        <v>2022</v>
      </c>
      <c r="AK69" s="4">
        <v>2023</v>
      </c>
      <c r="AL69" s="4">
        <v>2024</v>
      </c>
      <c r="AM69" s="4">
        <v>2025</v>
      </c>
    </row>
    <row r="70" spans="1:39" x14ac:dyDescent="0.3">
      <c r="A70" s="1" t="s">
        <v>497</v>
      </c>
      <c r="B70" s="64">
        <f>B34-B64</f>
        <v>7123.4400000000005</v>
      </c>
      <c r="C70" s="64">
        <f t="shared" ref="C70:G70" si="43">C34-C64</f>
        <v>5374.3700000000008</v>
      </c>
      <c r="D70" s="64">
        <f t="shared" si="43"/>
        <v>5126.59</v>
      </c>
      <c r="E70" s="64">
        <f t="shared" si="43"/>
        <v>4103.16</v>
      </c>
      <c r="F70" s="64">
        <f t="shared" si="43"/>
        <v>870.21999999999753</v>
      </c>
      <c r="G70" s="64">
        <f t="shared" si="43"/>
        <v>-2181.0700000000033</v>
      </c>
      <c r="I70" s="1" t="s">
        <v>497</v>
      </c>
      <c r="J70" s="64">
        <f>J31-J63</f>
        <v>2159.6700000000037</v>
      </c>
      <c r="K70" s="64">
        <f t="shared" ref="K70:O70" si="44">K31-K63</f>
        <v>2602.5600000000013</v>
      </c>
      <c r="L70" s="64">
        <f t="shared" si="44"/>
        <v>2863.0599999999977</v>
      </c>
      <c r="M70" s="64">
        <f t="shared" si="44"/>
        <v>2593.2600000000002</v>
      </c>
      <c r="N70" s="64">
        <f t="shared" si="44"/>
        <v>2882.17</v>
      </c>
      <c r="O70" s="64">
        <f t="shared" si="44"/>
        <v>3873.4900000000016</v>
      </c>
      <c r="Q70" s="1" t="s">
        <v>497</v>
      </c>
      <c r="R70" s="64">
        <f>R30-R57</f>
        <v>1297.4599999999991</v>
      </c>
      <c r="S70" s="64">
        <f t="shared" ref="S70:W70" si="45">S30-S57</f>
        <v>1596.08</v>
      </c>
      <c r="T70" s="64">
        <f t="shared" si="45"/>
        <v>1586.6500000000051</v>
      </c>
      <c r="U70" s="64">
        <f t="shared" si="45"/>
        <v>1616.5500000000011</v>
      </c>
      <c r="V70" s="64">
        <f t="shared" si="45"/>
        <v>1624.1499999999996</v>
      </c>
      <c r="W70" s="64">
        <f t="shared" si="45"/>
        <v>3159.7599999999966</v>
      </c>
      <c r="Y70" s="1" t="s">
        <v>497</v>
      </c>
      <c r="Z70" s="64">
        <f>Z30-Z59</f>
        <v>14254.829999999987</v>
      </c>
      <c r="AA70" s="64">
        <f t="shared" ref="AA70:AE70" si="46">AA30-AA59</f>
        <v>32742.62000000001</v>
      </c>
      <c r="AB70" s="64">
        <f t="shared" si="46"/>
        <v>48762.499999999971</v>
      </c>
      <c r="AC70" s="64">
        <f t="shared" si="46"/>
        <v>60138.330000000016</v>
      </c>
      <c r="AD70" s="64">
        <f t="shared" si="46"/>
        <v>41479.139999999956</v>
      </c>
      <c r="AE70" s="64">
        <f t="shared" si="46"/>
        <v>43370.810000000027</v>
      </c>
      <c r="AG70" s="1" t="s">
        <v>497</v>
      </c>
      <c r="AH70" s="64">
        <f>AH30-AH55</f>
        <v>5821.2222000000011</v>
      </c>
      <c r="AI70" s="64">
        <f t="shared" ref="AI70:AM70" si="47">AI30-AI55</f>
        <v>7475.83</v>
      </c>
      <c r="AJ70" s="64">
        <f t="shared" si="47"/>
        <v>7634.9499999999971</v>
      </c>
      <c r="AK70" s="64">
        <f t="shared" si="47"/>
        <v>4602.82</v>
      </c>
      <c r="AL70" s="64">
        <f t="shared" si="47"/>
        <v>5166.4699999999984</v>
      </c>
      <c r="AM70" s="64">
        <f t="shared" si="47"/>
        <v>5864.2000000000007</v>
      </c>
    </row>
  </sheetData>
  <mergeCells count="5">
    <mergeCell ref="E2:G2"/>
    <mergeCell ref="M2:O2"/>
    <mergeCell ref="U2:W2"/>
    <mergeCell ref="AC2:AE2"/>
    <mergeCell ref="AK2:AM2"/>
  </mergeCells>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7093-E569-4A3A-BDF9-5919636D1A53}">
  <sheetPr codeName="Sheet3"/>
  <dimension ref="A1:AM44"/>
  <sheetViews>
    <sheetView topLeftCell="AG20" workbookViewId="0">
      <selection activeCell="AG7" sqref="AG7"/>
    </sheetView>
  </sheetViews>
  <sheetFormatPr defaultRowHeight="14.4" x14ac:dyDescent="0.3"/>
  <cols>
    <col min="1" max="1" width="52.77734375" style="1" bestFit="1" customWidth="1"/>
    <col min="2" max="7" width="9.88671875" style="1" bestFit="1" customWidth="1"/>
    <col min="8" max="8" width="8.88671875" style="1"/>
    <col min="9" max="9" width="51.21875" style="1" bestFit="1" customWidth="1"/>
    <col min="10" max="15" width="9.88671875" style="1" bestFit="1" customWidth="1"/>
    <col min="16" max="16" width="8.88671875" style="1"/>
    <col min="17" max="17" width="41.44140625" style="1" bestFit="1" customWidth="1"/>
    <col min="18" max="23" width="9.88671875" style="1" bestFit="1" customWidth="1"/>
    <col min="24" max="24" width="8.88671875" style="1"/>
    <col min="25" max="25" width="58.88671875" style="1" bestFit="1" customWidth="1"/>
    <col min="26" max="31" width="10.88671875" style="1" bestFit="1" customWidth="1"/>
    <col min="32" max="32" width="8.88671875" style="1"/>
    <col min="33" max="33" width="44.21875" style="1" bestFit="1" customWidth="1"/>
    <col min="34" max="39" width="9.88671875" style="1" bestFit="1" customWidth="1"/>
    <col min="40" max="16384" width="8.88671875" style="1"/>
  </cols>
  <sheetData>
    <row r="1" spans="1:39" ht="31.2" x14ac:dyDescent="0.3">
      <c r="A1" s="17" t="s">
        <v>118</v>
      </c>
    </row>
    <row r="2" spans="1:39" ht="43.2" customHeight="1" x14ac:dyDescent="0.3">
      <c r="E2" s="127" t="e" vm="1">
        <v>#VALUE!</v>
      </c>
      <c r="F2" s="127"/>
      <c r="G2" s="127"/>
      <c r="M2" s="127" t="e" vm="2">
        <v>#VALUE!</v>
      </c>
      <c r="N2" s="127"/>
      <c r="O2" s="127"/>
      <c r="U2" s="126" t="e" vm="3">
        <v>#VALUE!</v>
      </c>
      <c r="V2" s="126"/>
      <c r="W2" s="126"/>
      <c r="AC2" s="126" t="e" vm="4">
        <v>#VALUE!</v>
      </c>
      <c r="AD2" s="126"/>
      <c r="AE2" s="126"/>
      <c r="AK2" s="126" t="e" vm="5">
        <v>#VALUE!</v>
      </c>
      <c r="AL2" s="126"/>
      <c r="AM2" s="126"/>
    </row>
    <row r="3" spans="1:39" x14ac:dyDescent="0.3">
      <c r="A3" s="18" t="s">
        <v>13</v>
      </c>
      <c r="B3" s="53" t="s">
        <v>65</v>
      </c>
      <c r="C3" s="53" t="s">
        <v>66</v>
      </c>
      <c r="D3" s="53" t="s">
        <v>67</v>
      </c>
      <c r="E3" s="53" t="s">
        <v>68</v>
      </c>
      <c r="F3" s="53" t="s">
        <v>69</v>
      </c>
      <c r="G3" s="54" t="s">
        <v>70</v>
      </c>
      <c r="I3" s="18" t="s">
        <v>13</v>
      </c>
      <c r="J3" s="53" t="s">
        <v>65</v>
      </c>
      <c r="K3" s="53" t="s">
        <v>66</v>
      </c>
      <c r="L3" s="53" t="s">
        <v>67</v>
      </c>
      <c r="M3" s="53" t="s">
        <v>68</v>
      </c>
      <c r="N3" s="53" t="s">
        <v>69</v>
      </c>
      <c r="O3" s="54" t="s">
        <v>70</v>
      </c>
      <c r="Q3" s="18" t="s">
        <v>13</v>
      </c>
      <c r="R3" s="53" t="s">
        <v>65</v>
      </c>
      <c r="S3" s="53" t="s">
        <v>66</v>
      </c>
      <c r="T3" s="53" t="s">
        <v>67</v>
      </c>
      <c r="U3" s="53" t="s">
        <v>68</v>
      </c>
      <c r="V3" s="53" t="s">
        <v>69</v>
      </c>
      <c r="W3" s="54" t="s">
        <v>70</v>
      </c>
      <c r="Y3" s="18" t="s">
        <v>13</v>
      </c>
      <c r="Z3" s="53" t="s">
        <v>65</v>
      </c>
      <c r="AA3" s="53" t="s">
        <v>66</v>
      </c>
      <c r="AB3" s="53" t="s">
        <v>67</v>
      </c>
      <c r="AC3" s="53" t="s">
        <v>68</v>
      </c>
      <c r="AD3" s="53" t="s">
        <v>69</v>
      </c>
      <c r="AE3" s="54" t="s">
        <v>70</v>
      </c>
      <c r="AG3" s="18" t="s">
        <v>13</v>
      </c>
      <c r="AH3" s="53" t="s">
        <v>65</v>
      </c>
      <c r="AI3" s="53" t="s">
        <v>66</v>
      </c>
      <c r="AJ3" s="53" t="s">
        <v>67</v>
      </c>
      <c r="AK3" s="53" t="s">
        <v>68</v>
      </c>
      <c r="AL3" s="53" t="s">
        <v>69</v>
      </c>
      <c r="AM3" s="54" t="s">
        <v>70</v>
      </c>
    </row>
    <row r="4" spans="1:39" x14ac:dyDescent="0.3">
      <c r="A4" s="23" t="s">
        <v>119</v>
      </c>
      <c r="B4" s="23"/>
      <c r="C4" s="23"/>
      <c r="D4" s="23"/>
      <c r="E4" s="23"/>
      <c r="F4" s="23"/>
      <c r="G4" s="23"/>
      <c r="I4" s="2" t="s">
        <v>146</v>
      </c>
      <c r="Q4" s="2" t="s">
        <v>146</v>
      </c>
      <c r="Y4" s="25" t="s">
        <v>165</v>
      </c>
      <c r="Z4" s="19"/>
      <c r="AA4" s="19"/>
      <c r="AB4" s="19"/>
      <c r="AC4" s="19"/>
      <c r="AD4" s="19"/>
      <c r="AE4" s="20"/>
      <c r="AG4" s="2" t="s">
        <v>191</v>
      </c>
    </row>
    <row r="5" spans="1:39" x14ac:dyDescent="0.3">
      <c r="A5" s="20" t="s">
        <v>120</v>
      </c>
      <c r="B5" s="12">
        <v>11438.77</v>
      </c>
      <c r="C5" s="12">
        <v>12549.6</v>
      </c>
      <c r="D5" s="12">
        <v>17118.79</v>
      </c>
      <c r="E5" s="12">
        <v>20851.91</v>
      </c>
      <c r="F5" s="12">
        <v>26710.560000000001</v>
      </c>
      <c r="G5" s="26">
        <v>30475.33</v>
      </c>
      <c r="I5" s="8" t="s">
        <v>147</v>
      </c>
      <c r="J5" s="12">
        <v>12675.84</v>
      </c>
      <c r="K5" s="12">
        <v>12949.44</v>
      </c>
      <c r="L5" s="12">
        <v>14777.38</v>
      </c>
      <c r="M5" s="12">
        <v>16361.44</v>
      </c>
      <c r="N5" s="12">
        <v>19626.43</v>
      </c>
      <c r="O5" s="12">
        <v>22315.78</v>
      </c>
      <c r="Q5" s="8" t="s">
        <v>120</v>
      </c>
      <c r="R5" s="12">
        <v>11965.37</v>
      </c>
      <c r="S5" s="12">
        <v>13114.2</v>
      </c>
      <c r="T5" s="12">
        <v>13742.26</v>
      </c>
      <c r="U5" s="12">
        <v>17281.71</v>
      </c>
      <c r="V5" s="12">
        <v>19914.169999999998</v>
      </c>
      <c r="W5" s="12">
        <v>21846.7</v>
      </c>
      <c r="Y5" s="23" t="s">
        <v>119</v>
      </c>
      <c r="Z5" s="21"/>
      <c r="AA5" s="21"/>
      <c r="AB5" s="21"/>
      <c r="AC5" s="21"/>
      <c r="AD5" s="21"/>
      <c r="AE5" s="21"/>
      <c r="AG5" s="8" t="s">
        <v>147</v>
      </c>
      <c r="AH5" s="12">
        <v>10068.6813</v>
      </c>
      <c r="AI5" s="12">
        <v>14530.5797</v>
      </c>
      <c r="AJ5" s="12">
        <v>15403.76</v>
      </c>
      <c r="AK5" s="12">
        <v>19381.71</v>
      </c>
      <c r="AL5" s="12">
        <v>20281.57</v>
      </c>
      <c r="AM5" s="12">
        <v>21889.23</v>
      </c>
    </row>
    <row r="6" spans="1:39" x14ac:dyDescent="0.3">
      <c r="A6" s="20" t="s">
        <v>121</v>
      </c>
      <c r="B6" s="12">
        <v>434.3</v>
      </c>
      <c r="C6" s="12">
        <v>0</v>
      </c>
      <c r="D6" s="12">
        <v>0</v>
      </c>
      <c r="E6" s="12">
        <v>0</v>
      </c>
      <c r="F6" s="12">
        <v>0</v>
      </c>
      <c r="G6" s="26">
        <v>603.27</v>
      </c>
      <c r="I6" s="8" t="s">
        <v>122</v>
      </c>
      <c r="J6" s="12">
        <v>44.04</v>
      </c>
      <c r="K6" s="12">
        <v>67.02</v>
      </c>
      <c r="L6" s="12">
        <v>88.92</v>
      </c>
      <c r="M6" s="12">
        <v>39.700000000000003</v>
      </c>
      <c r="N6" s="12">
        <v>63.99</v>
      </c>
      <c r="O6" s="12">
        <v>62.48</v>
      </c>
      <c r="Q6" s="8" t="s">
        <v>122</v>
      </c>
      <c r="R6" s="12">
        <v>11.1</v>
      </c>
      <c r="S6" s="12">
        <v>29.92</v>
      </c>
      <c r="T6" s="12">
        <v>13.43</v>
      </c>
      <c r="U6" s="12">
        <v>31.32</v>
      </c>
      <c r="V6" s="12">
        <v>52.41</v>
      </c>
      <c r="W6" s="12">
        <v>70.86</v>
      </c>
      <c r="Y6" s="8" t="s">
        <v>147</v>
      </c>
      <c r="Z6" s="12">
        <v>145452.35999999999</v>
      </c>
      <c r="AA6" s="12">
        <v>135979.03</v>
      </c>
      <c r="AB6" s="12">
        <v>156521.23000000001</v>
      </c>
      <c r="AC6" s="12">
        <v>183340.7</v>
      </c>
      <c r="AD6" s="12">
        <v>221112.91</v>
      </c>
      <c r="AE6" s="12">
        <v>255734.45</v>
      </c>
      <c r="AG6" s="8" t="s">
        <v>122</v>
      </c>
      <c r="AH6" s="12">
        <v>255.24189999999999</v>
      </c>
      <c r="AI6" s="12">
        <v>245.68450000000001</v>
      </c>
      <c r="AJ6" s="12">
        <v>739.19</v>
      </c>
      <c r="AK6" s="12">
        <v>800.23</v>
      </c>
      <c r="AL6" s="12">
        <v>996.44</v>
      </c>
      <c r="AM6" s="12">
        <v>1185.57</v>
      </c>
    </row>
    <row r="7" spans="1:39" x14ac:dyDescent="0.3">
      <c r="A7" s="20" t="s">
        <v>122</v>
      </c>
      <c r="B7" s="12">
        <v>1861.35</v>
      </c>
      <c r="C7" s="12">
        <v>1970.23</v>
      </c>
      <c r="D7" s="12">
        <v>2223.7199999999998</v>
      </c>
      <c r="E7" s="12">
        <v>1553.48</v>
      </c>
      <c r="F7" s="12">
        <v>1499.42</v>
      </c>
      <c r="G7" s="26">
        <v>1304.48</v>
      </c>
      <c r="I7" s="5" t="s">
        <v>148</v>
      </c>
      <c r="J7" s="27">
        <f>J5+J6</f>
        <v>12719.880000000001</v>
      </c>
      <c r="K7" s="27">
        <f t="shared" ref="K7:O7" si="0">K5+K6</f>
        <v>13016.460000000001</v>
      </c>
      <c r="L7" s="27">
        <f t="shared" si="0"/>
        <v>14866.3</v>
      </c>
      <c r="M7" s="27">
        <f t="shared" si="0"/>
        <v>16401.14</v>
      </c>
      <c r="N7" s="27">
        <f t="shared" si="0"/>
        <v>19690.420000000002</v>
      </c>
      <c r="O7" s="27">
        <f t="shared" si="0"/>
        <v>22378.26</v>
      </c>
      <c r="Q7" s="5" t="s">
        <v>123</v>
      </c>
      <c r="R7" s="27">
        <f>R5+R6</f>
        <v>11976.470000000001</v>
      </c>
      <c r="S7" s="27">
        <f t="shared" ref="S7:W7" si="1">S5+S6</f>
        <v>13144.12</v>
      </c>
      <c r="T7" s="27">
        <f t="shared" si="1"/>
        <v>13755.69</v>
      </c>
      <c r="U7" s="27">
        <f t="shared" si="1"/>
        <v>17313.03</v>
      </c>
      <c r="V7" s="27">
        <f t="shared" si="1"/>
        <v>19966.579999999998</v>
      </c>
      <c r="W7" s="27">
        <f t="shared" si="1"/>
        <v>21917.56</v>
      </c>
      <c r="Y7" s="8" t="s">
        <v>122</v>
      </c>
      <c r="Z7" s="12">
        <v>2360.9</v>
      </c>
      <c r="AA7" s="12">
        <v>3429.35</v>
      </c>
      <c r="AB7" s="12">
        <v>2267.08</v>
      </c>
      <c r="AC7" s="12">
        <v>2929.17</v>
      </c>
      <c r="AD7" s="12">
        <v>4158.03</v>
      </c>
      <c r="AE7" s="12">
        <v>4124.82</v>
      </c>
      <c r="AG7" s="5" t="s">
        <v>123</v>
      </c>
      <c r="AH7" s="27">
        <f>AH5+AH6</f>
        <v>10323.923200000001</v>
      </c>
      <c r="AI7" s="27">
        <f t="shared" ref="AI7:AM7" si="2">AI5+AI6</f>
        <v>14776.2642</v>
      </c>
      <c r="AJ7" s="27">
        <f t="shared" si="2"/>
        <v>16142.95</v>
      </c>
      <c r="AK7" s="27">
        <f t="shared" si="2"/>
        <v>20181.939999999999</v>
      </c>
      <c r="AL7" s="27">
        <f t="shared" si="2"/>
        <v>21278.01</v>
      </c>
      <c r="AM7" s="27">
        <f t="shared" si="2"/>
        <v>23074.799999999999</v>
      </c>
    </row>
    <row r="8" spans="1:39" x14ac:dyDescent="0.3">
      <c r="A8" s="24" t="s">
        <v>123</v>
      </c>
      <c r="B8" s="27">
        <f>SUM(B5:B7)</f>
        <v>13734.42</v>
      </c>
      <c r="C8" s="27">
        <f t="shared" ref="C8:G8" si="3">SUM(C5:C7)</f>
        <v>14519.83</v>
      </c>
      <c r="D8" s="27">
        <f t="shared" si="3"/>
        <v>19342.510000000002</v>
      </c>
      <c r="E8" s="27">
        <f t="shared" si="3"/>
        <v>22405.39</v>
      </c>
      <c r="F8" s="27">
        <f t="shared" si="3"/>
        <v>28209.980000000003</v>
      </c>
      <c r="G8" s="27">
        <f t="shared" si="3"/>
        <v>32383.08</v>
      </c>
      <c r="I8" s="2" t="s">
        <v>149</v>
      </c>
      <c r="J8" s="50"/>
      <c r="K8" s="50"/>
      <c r="L8" s="50"/>
      <c r="M8" s="50"/>
      <c r="N8" s="50"/>
      <c r="O8" s="50"/>
      <c r="Q8" s="2" t="s">
        <v>124</v>
      </c>
      <c r="R8" s="32"/>
      <c r="S8" s="32"/>
      <c r="T8" s="32"/>
      <c r="U8" s="32"/>
      <c r="V8" s="32"/>
      <c r="W8" s="32"/>
      <c r="Y8" s="5" t="s">
        <v>123</v>
      </c>
      <c r="Z8" s="27">
        <f>SUM(Z6:Z7)</f>
        <v>147813.25999999998</v>
      </c>
      <c r="AA8" s="27">
        <f t="shared" ref="AA8:AE8" si="4">SUM(AA6:AA7)</f>
        <v>139408.38</v>
      </c>
      <c r="AB8" s="27">
        <f t="shared" si="4"/>
        <v>158788.31</v>
      </c>
      <c r="AC8" s="27">
        <f t="shared" si="4"/>
        <v>186269.87000000002</v>
      </c>
      <c r="AD8" s="27">
        <f t="shared" si="4"/>
        <v>225270.94</v>
      </c>
      <c r="AE8" s="27">
        <f t="shared" si="4"/>
        <v>259859.27000000002</v>
      </c>
      <c r="AG8" s="2" t="s">
        <v>124</v>
      </c>
      <c r="AH8" s="32"/>
      <c r="AI8" s="32"/>
      <c r="AJ8" s="32"/>
      <c r="AK8" s="32"/>
      <c r="AL8" s="32"/>
      <c r="AM8" s="32"/>
    </row>
    <row r="9" spans="1:39" x14ac:dyDescent="0.3">
      <c r="A9" s="23" t="s">
        <v>124</v>
      </c>
      <c r="B9" s="28"/>
      <c r="C9" s="28"/>
      <c r="D9" s="28"/>
      <c r="E9" s="28"/>
      <c r="F9" s="28"/>
      <c r="G9" s="28"/>
      <c r="I9" s="8" t="s">
        <v>150</v>
      </c>
      <c r="J9" s="12">
        <v>5329.84</v>
      </c>
      <c r="K9" s="12">
        <v>4745.01</v>
      </c>
      <c r="L9" s="12">
        <v>6421.34</v>
      </c>
      <c r="M9" s="12">
        <v>6983.77</v>
      </c>
      <c r="N9" s="12">
        <v>8187.39</v>
      </c>
      <c r="O9" s="12">
        <v>8584.51</v>
      </c>
      <c r="Q9" s="8" t="s">
        <v>150</v>
      </c>
      <c r="R9" s="12">
        <v>5669.62</v>
      </c>
      <c r="S9" s="12">
        <v>5696.99</v>
      </c>
      <c r="T9" s="12">
        <v>6090.81</v>
      </c>
      <c r="U9" s="12">
        <v>6969.83</v>
      </c>
      <c r="V9" s="12">
        <v>8413.69</v>
      </c>
      <c r="W9" s="12">
        <v>9912.15</v>
      </c>
      <c r="Y9" s="23" t="s">
        <v>124</v>
      </c>
      <c r="Z9" s="29"/>
      <c r="AA9" s="29"/>
      <c r="AB9" s="29"/>
      <c r="AC9" s="29"/>
      <c r="AD9" s="29"/>
      <c r="AE9" s="29"/>
      <c r="AG9" s="8" t="s">
        <v>192</v>
      </c>
      <c r="AH9" s="12">
        <v>9307.6556999999993</v>
      </c>
      <c r="AI9" s="12">
        <v>13415.8192</v>
      </c>
      <c r="AJ9" s="12">
        <v>14229.41</v>
      </c>
      <c r="AK9" s="12">
        <v>17903.330000000002</v>
      </c>
      <c r="AL9" s="12">
        <v>18720.07</v>
      </c>
      <c r="AM9" s="12">
        <v>20181.86</v>
      </c>
    </row>
    <row r="10" spans="1:39" x14ac:dyDescent="0.3">
      <c r="A10" s="8" t="s">
        <v>125</v>
      </c>
      <c r="B10" s="12">
        <v>3097.26</v>
      </c>
      <c r="C10" s="12">
        <v>3259.49</v>
      </c>
      <c r="D10" s="12">
        <v>4865.1099999999997</v>
      </c>
      <c r="E10" s="12">
        <v>5654.56</v>
      </c>
      <c r="F10" s="12">
        <v>7116.34</v>
      </c>
      <c r="G10" s="12">
        <v>8069.75</v>
      </c>
      <c r="I10" s="8" t="s">
        <v>151</v>
      </c>
      <c r="J10" s="12">
        <v>-62.15</v>
      </c>
      <c r="K10" s="12">
        <v>13.9</v>
      </c>
      <c r="L10" s="12">
        <v>24.66</v>
      </c>
      <c r="M10" s="12">
        <v>-13.46</v>
      </c>
      <c r="N10" s="12">
        <v>17.71</v>
      </c>
      <c r="O10" s="12">
        <v>-3.72</v>
      </c>
      <c r="Q10" s="8" t="s">
        <v>161</v>
      </c>
      <c r="R10" s="12">
        <v>-78.03</v>
      </c>
      <c r="S10" s="12">
        <v>3.61</v>
      </c>
      <c r="T10" s="12">
        <v>-141.79</v>
      </c>
      <c r="U10" s="12">
        <v>98.77</v>
      </c>
      <c r="V10" s="12">
        <v>-5.7</v>
      </c>
      <c r="W10" s="12">
        <v>166.52</v>
      </c>
      <c r="Y10" s="25" t="s">
        <v>166</v>
      </c>
      <c r="Z10" s="30"/>
      <c r="AA10" s="30"/>
      <c r="AB10" s="30"/>
      <c r="AC10" s="30"/>
      <c r="AD10" s="30"/>
      <c r="AE10" s="31"/>
      <c r="AG10" s="8" t="s">
        <v>126</v>
      </c>
      <c r="AH10" s="12">
        <v>161.10640000000001</v>
      </c>
      <c r="AI10" s="12">
        <v>189.93819999999999</v>
      </c>
      <c r="AJ10" s="12">
        <v>207.78</v>
      </c>
      <c r="AK10" s="12">
        <v>204.36</v>
      </c>
      <c r="AL10" s="12">
        <v>190.98</v>
      </c>
      <c r="AM10" s="12">
        <v>188.91</v>
      </c>
    </row>
    <row r="11" spans="1:39" x14ac:dyDescent="0.3">
      <c r="A11" s="8" t="s">
        <v>126</v>
      </c>
      <c r="B11" s="12">
        <v>546.52</v>
      </c>
      <c r="C11" s="12">
        <v>615.04999999999995</v>
      </c>
      <c r="D11" s="12">
        <v>779.43</v>
      </c>
      <c r="E11" s="12">
        <v>1178.17</v>
      </c>
      <c r="F11" s="12">
        <v>1896.4</v>
      </c>
      <c r="G11" s="12">
        <v>2008.66</v>
      </c>
      <c r="I11" s="8" t="s">
        <v>152</v>
      </c>
      <c r="J11" s="12">
        <v>3978.06</v>
      </c>
      <c r="K11" s="12">
        <v>4553.3500000000004</v>
      </c>
      <c r="L11" s="12">
        <v>4693.16</v>
      </c>
      <c r="M11" s="12">
        <v>5413.5</v>
      </c>
      <c r="N11" s="12">
        <v>6595.43</v>
      </c>
      <c r="O11" s="12">
        <v>8357.68</v>
      </c>
      <c r="Q11" s="8" t="s">
        <v>162</v>
      </c>
      <c r="R11" s="12">
        <v>2826.65</v>
      </c>
      <c r="S11" s="12">
        <v>3907.01</v>
      </c>
      <c r="T11" s="12">
        <v>4509.1499999999996</v>
      </c>
      <c r="U11" s="12">
        <v>6552.24</v>
      </c>
      <c r="V11" s="12">
        <v>7176.82</v>
      </c>
      <c r="W11" s="12">
        <v>6831.64</v>
      </c>
      <c r="Y11" s="8" t="s">
        <v>167</v>
      </c>
      <c r="Z11" s="12">
        <v>15548.66</v>
      </c>
      <c r="AA11" s="12">
        <v>15571.4</v>
      </c>
      <c r="AB11" s="12">
        <v>17100.84</v>
      </c>
      <c r="AC11" s="12">
        <v>18995.11</v>
      </c>
      <c r="AD11" s="12">
        <v>19442.25</v>
      </c>
      <c r="AE11" s="12">
        <v>27655.02</v>
      </c>
      <c r="AG11" s="8" t="s">
        <v>127</v>
      </c>
      <c r="AH11" s="12">
        <v>51.979799999999997</v>
      </c>
      <c r="AI11" s="12">
        <v>40.985500000000002</v>
      </c>
      <c r="AJ11" s="12">
        <v>458.14</v>
      </c>
      <c r="AK11" s="12">
        <v>563.71</v>
      </c>
      <c r="AL11" s="12">
        <v>581.37</v>
      </c>
      <c r="AM11" s="12">
        <v>568.49</v>
      </c>
    </row>
    <row r="12" spans="1:39" x14ac:dyDescent="0.3">
      <c r="A12" s="23" t="s">
        <v>127</v>
      </c>
      <c r="B12" s="28"/>
      <c r="C12" s="28"/>
      <c r="D12" s="28"/>
      <c r="E12" s="28"/>
      <c r="F12" s="28"/>
      <c r="G12" s="28"/>
      <c r="I12" s="8" t="s">
        <v>126</v>
      </c>
      <c r="J12" s="12">
        <v>996.54</v>
      </c>
      <c r="K12" s="12">
        <v>1041.3599999999999</v>
      </c>
      <c r="L12" s="12">
        <v>1299.08</v>
      </c>
      <c r="M12" s="12">
        <v>1446.88</v>
      </c>
      <c r="N12" s="12">
        <v>1717.63</v>
      </c>
      <c r="O12" s="12">
        <v>2113.4699999999998</v>
      </c>
      <c r="Q12" s="8" t="s">
        <v>127</v>
      </c>
      <c r="R12" s="12">
        <v>307.98</v>
      </c>
      <c r="S12" s="12">
        <v>262.69</v>
      </c>
      <c r="T12" s="12">
        <v>316</v>
      </c>
      <c r="U12" s="12">
        <v>538.59</v>
      </c>
      <c r="V12" s="12">
        <v>655.13</v>
      </c>
      <c r="W12" s="12">
        <v>663.59</v>
      </c>
      <c r="Y12" s="8" t="s">
        <v>189</v>
      </c>
      <c r="Z12" s="12">
        <v>30316.12</v>
      </c>
      <c r="AA12" s="12">
        <v>24558.23</v>
      </c>
      <c r="AB12" s="12">
        <v>33506.21</v>
      </c>
      <c r="AC12" s="12">
        <v>43237.35</v>
      </c>
      <c r="AD12" s="12">
        <v>54813.97</v>
      </c>
      <c r="AE12" s="12">
        <v>63526.44</v>
      </c>
      <c r="AG12" s="8" t="s">
        <v>193</v>
      </c>
      <c r="AH12" s="12">
        <v>5.7371999999999996</v>
      </c>
      <c r="AI12" s="12">
        <v>20.285599999999999</v>
      </c>
      <c r="AJ12" s="12">
        <v>22.92</v>
      </c>
      <c r="AK12" s="12">
        <v>20.91</v>
      </c>
      <c r="AL12" s="12">
        <v>22.32</v>
      </c>
      <c r="AM12" s="12">
        <v>20.94</v>
      </c>
    </row>
    <row r="13" spans="1:39" x14ac:dyDescent="0.3">
      <c r="A13" s="8" t="s">
        <v>128</v>
      </c>
      <c r="B13" s="12">
        <v>1950.64</v>
      </c>
      <c r="C13" s="12">
        <v>2129.16</v>
      </c>
      <c r="D13" s="12">
        <v>2559.61</v>
      </c>
      <c r="E13" s="12">
        <v>2593.62</v>
      </c>
      <c r="F13" s="12">
        <v>2784.41</v>
      </c>
      <c r="G13" s="12">
        <v>2778</v>
      </c>
      <c r="I13" s="8" t="s">
        <v>127</v>
      </c>
      <c r="J13" s="12">
        <v>520.89</v>
      </c>
      <c r="K13" s="12">
        <v>435.73</v>
      </c>
      <c r="L13" s="12">
        <v>396.33</v>
      </c>
      <c r="M13" s="12">
        <v>466.75</v>
      </c>
      <c r="N13" s="12">
        <v>518.08000000000004</v>
      </c>
      <c r="O13" s="12">
        <v>576.53</v>
      </c>
      <c r="Q13" s="8" t="s">
        <v>163</v>
      </c>
      <c r="R13" s="12">
        <v>1104.3599999999999</v>
      </c>
      <c r="S13" s="12">
        <v>1115.0899999999999</v>
      </c>
      <c r="T13" s="12">
        <v>1258.6600000000001</v>
      </c>
      <c r="U13" s="12">
        <v>1356.24</v>
      </c>
      <c r="V13" s="12">
        <v>1440.63</v>
      </c>
      <c r="W13" s="12">
        <v>1540.2</v>
      </c>
      <c r="Y13" s="8" t="s">
        <v>168</v>
      </c>
      <c r="Z13" s="12">
        <v>841.09</v>
      </c>
      <c r="AA13" s="12">
        <v>1213.58</v>
      </c>
      <c r="AB13" s="12">
        <v>1069.5</v>
      </c>
      <c r="AC13" s="12">
        <v>1052.8599999999999</v>
      </c>
      <c r="AD13" s="12">
        <v>1063.77</v>
      </c>
      <c r="AE13" s="12">
        <v>1402.14</v>
      </c>
      <c r="AG13" s="8" t="s">
        <v>132</v>
      </c>
      <c r="AH13" s="12">
        <v>57.520299999999999</v>
      </c>
      <c r="AI13" s="12">
        <v>119.28570000000001</v>
      </c>
      <c r="AJ13" s="12">
        <v>86.71</v>
      </c>
      <c r="AK13" s="12">
        <v>90.98</v>
      </c>
      <c r="AL13" s="12">
        <v>124.1</v>
      </c>
      <c r="AM13" s="12">
        <v>165.63</v>
      </c>
    </row>
    <row r="14" spans="1:39" x14ac:dyDescent="0.3">
      <c r="A14" s="8" t="s">
        <v>129</v>
      </c>
      <c r="B14" s="12">
        <v>-137.5</v>
      </c>
      <c r="C14" s="12">
        <v>126.13</v>
      </c>
      <c r="D14" s="12">
        <v>-15.69</v>
      </c>
      <c r="E14" s="12">
        <v>-230.98</v>
      </c>
      <c r="F14" s="12">
        <v>-51.47</v>
      </c>
      <c r="G14" s="12">
        <v>-246.18</v>
      </c>
      <c r="I14" s="8" t="s">
        <v>153</v>
      </c>
      <c r="J14" s="12">
        <v>339.64</v>
      </c>
      <c r="K14" s="12">
        <v>373.45</v>
      </c>
      <c r="L14" s="12">
        <v>350.78</v>
      </c>
      <c r="M14" s="12">
        <v>391.75</v>
      </c>
      <c r="N14" s="12">
        <v>473.29</v>
      </c>
      <c r="O14" s="12">
        <v>497.27</v>
      </c>
      <c r="Q14" s="8" t="s">
        <v>130</v>
      </c>
      <c r="R14" s="12">
        <v>147.19999999999999</v>
      </c>
      <c r="S14" s="12">
        <v>152.53</v>
      </c>
      <c r="T14" s="12">
        <v>157.86000000000001</v>
      </c>
      <c r="U14" s="12">
        <v>161.47999999999999</v>
      </c>
      <c r="V14" s="12">
        <v>185.36</v>
      </c>
      <c r="W14" s="12">
        <v>183.68</v>
      </c>
      <c r="Y14" s="8" t="s">
        <v>169</v>
      </c>
      <c r="Z14" s="12">
        <v>2184.46</v>
      </c>
      <c r="AA14" s="12">
        <v>2023.54</v>
      </c>
      <c r="AB14" s="12">
        <v>3091.07</v>
      </c>
      <c r="AC14" s="12">
        <v>4814.8900000000003</v>
      </c>
      <c r="AD14" s="12">
        <v>4432.0200000000004</v>
      </c>
      <c r="AE14" s="12">
        <v>4393.3900000000003</v>
      </c>
      <c r="AG14" s="8" t="s">
        <v>194</v>
      </c>
      <c r="AH14" s="12">
        <v>11.4846</v>
      </c>
      <c r="AI14" s="12">
        <v>19.052</v>
      </c>
      <c r="AJ14" s="12">
        <v>0</v>
      </c>
      <c r="AK14" s="12">
        <v>0</v>
      </c>
      <c r="AL14" s="12">
        <v>0</v>
      </c>
      <c r="AM14" s="12">
        <v>0</v>
      </c>
    </row>
    <row r="15" spans="1:39" x14ac:dyDescent="0.3">
      <c r="A15" s="5" t="s">
        <v>145</v>
      </c>
      <c r="B15" s="27">
        <f>B13+B14</f>
        <v>1813.14</v>
      </c>
      <c r="C15" s="27">
        <f t="shared" ref="C15:G15" si="5">C13+C14</f>
        <v>2255.29</v>
      </c>
      <c r="D15" s="27">
        <f t="shared" si="5"/>
        <v>2543.92</v>
      </c>
      <c r="E15" s="27">
        <f t="shared" si="5"/>
        <v>2362.64</v>
      </c>
      <c r="F15" s="27">
        <f t="shared" si="5"/>
        <v>2732.94</v>
      </c>
      <c r="G15" s="27">
        <f t="shared" si="5"/>
        <v>2531.8200000000002</v>
      </c>
      <c r="I15" s="8" t="s">
        <v>154</v>
      </c>
      <c r="J15" s="12">
        <v>79.47</v>
      </c>
      <c r="K15" s="12">
        <v>0</v>
      </c>
      <c r="L15" s="12">
        <v>95.26</v>
      </c>
      <c r="M15" s="12">
        <v>2.81</v>
      </c>
      <c r="N15" s="12">
        <v>0</v>
      </c>
      <c r="O15" s="12">
        <v>0</v>
      </c>
      <c r="Q15" s="8" t="s">
        <v>132</v>
      </c>
      <c r="R15" s="12">
        <v>1208.42</v>
      </c>
      <c r="S15" s="12">
        <v>1250.29</v>
      </c>
      <c r="T15" s="12">
        <v>1121.93</v>
      </c>
      <c r="U15" s="12">
        <v>1474.9</v>
      </c>
      <c r="V15" s="12">
        <v>1674.16</v>
      </c>
      <c r="W15" s="12">
        <v>1892.29</v>
      </c>
      <c r="Y15" s="8" t="s">
        <v>170</v>
      </c>
      <c r="Z15" s="12">
        <v>26454.05</v>
      </c>
      <c r="AA15" s="12">
        <v>22316.18</v>
      </c>
      <c r="AB15" s="12">
        <v>24772.33</v>
      </c>
      <c r="AC15" s="12">
        <v>25624.45</v>
      </c>
      <c r="AD15" s="12">
        <v>35054.35</v>
      </c>
      <c r="AE15" s="12">
        <v>40570.92</v>
      </c>
      <c r="AG15" s="5" t="s">
        <v>133</v>
      </c>
      <c r="AH15" s="27">
        <f>SUM(AH9:AH14)</f>
        <v>9595.4839999999986</v>
      </c>
      <c r="AI15" s="27">
        <f t="shared" ref="AI15:AM15" si="6">SUM(AI9:AI14)</f>
        <v>13805.3662</v>
      </c>
      <c r="AJ15" s="27">
        <f t="shared" si="6"/>
        <v>15004.96</v>
      </c>
      <c r="AK15" s="27">
        <f t="shared" si="6"/>
        <v>18783.29</v>
      </c>
      <c r="AL15" s="27">
        <f t="shared" si="6"/>
        <v>19638.839999999997</v>
      </c>
      <c r="AM15" s="27">
        <f t="shared" si="6"/>
        <v>21125.83</v>
      </c>
    </row>
    <row r="16" spans="1:39" x14ac:dyDescent="0.3">
      <c r="A16" s="8" t="s">
        <v>130</v>
      </c>
      <c r="B16" s="12">
        <v>1680.28</v>
      </c>
      <c r="C16" s="12">
        <v>2107.34</v>
      </c>
      <c r="D16" s="12">
        <v>3099.3</v>
      </c>
      <c r="E16" s="12">
        <v>3423.24</v>
      </c>
      <c r="F16" s="12">
        <v>3888.46</v>
      </c>
      <c r="G16" s="12">
        <v>4378.93</v>
      </c>
      <c r="I16" s="8" t="s">
        <v>132</v>
      </c>
      <c r="J16" s="12">
        <v>870.58</v>
      </c>
      <c r="K16" s="12">
        <v>1085.8399999999999</v>
      </c>
      <c r="L16" s="12">
        <v>1054.32</v>
      </c>
      <c r="M16" s="12">
        <v>1158.4000000000001</v>
      </c>
      <c r="N16" s="12">
        <v>1479.7</v>
      </c>
      <c r="O16" s="12">
        <v>1429.72</v>
      </c>
      <c r="Q16" s="5" t="s">
        <v>133</v>
      </c>
      <c r="R16" s="27">
        <f t="shared" ref="R16:W16" si="7">SUM(R9:R15)</f>
        <v>11186.2</v>
      </c>
      <c r="S16" s="27">
        <f t="shared" si="7"/>
        <v>12388.210000000003</v>
      </c>
      <c r="T16" s="27">
        <f t="shared" si="7"/>
        <v>13312.62</v>
      </c>
      <c r="U16" s="27">
        <f t="shared" si="7"/>
        <v>17152.05</v>
      </c>
      <c r="V16" s="27">
        <f t="shared" si="7"/>
        <v>19540.09</v>
      </c>
      <c r="W16" s="27">
        <f t="shared" si="7"/>
        <v>21190.070000000003</v>
      </c>
      <c r="Y16" s="8" t="s">
        <v>171</v>
      </c>
      <c r="Z16" s="12">
        <v>647.70000000000005</v>
      </c>
      <c r="AA16" s="12">
        <v>343.37</v>
      </c>
      <c r="AB16" s="12">
        <v>-2076.6</v>
      </c>
      <c r="AC16" s="12">
        <v>-3156.64</v>
      </c>
      <c r="AD16" s="12">
        <v>1021.07</v>
      </c>
      <c r="AE16" s="12">
        <v>-410.79</v>
      </c>
      <c r="AG16" s="5" t="s">
        <v>195</v>
      </c>
      <c r="AH16" s="27">
        <f>AH7-AH15</f>
        <v>728.43920000000253</v>
      </c>
      <c r="AI16" s="27">
        <f t="shared" ref="AI16:AM16" si="8">AI7-AI15</f>
        <v>970.89799999999923</v>
      </c>
      <c r="AJ16" s="27">
        <f t="shared" si="8"/>
        <v>1137.9900000000016</v>
      </c>
      <c r="AK16" s="27">
        <f t="shared" si="8"/>
        <v>1398.6499999999978</v>
      </c>
      <c r="AL16" s="27">
        <f t="shared" si="8"/>
        <v>1639.1700000000019</v>
      </c>
      <c r="AM16" s="27">
        <f t="shared" si="8"/>
        <v>1948.9699999999975</v>
      </c>
    </row>
    <row r="17" spans="1:39" x14ac:dyDescent="0.3">
      <c r="A17" s="8" t="s">
        <v>131</v>
      </c>
      <c r="B17" s="12">
        <v>1626.38</v>
      </c>
      <c r="C17" s="12">
        <v>-715.24</v>
      </c>
      <c r="D17" s="12">
        <v>872.07</v>
      </c>
      <c r="E17" s="12">
        <v>1886.32</v>
      </c>
      <c r="F17" s="12">
        <v>112.82</v>
      </c>
      <c r="G17" s="12">
        <v>280.85000000000002</v>
      </c>
      <c r="I17" s="5" t="s">
        <v>155</v>
      </c>
      <c r="J17" s="27">
        <f>SUM(J9:J16)</f>
        <v>12052.869999999999</v>
      </c>
      <c r="K17" s="27">
        <f t="shared" ref="K17:O17" si="9">SUM(K9:K16)</f>
        <v>12248.640000000001</v>
      </c>
      <c r="L17" s="27">
        <f t="shared" si="9"/>
        <v>14334.93</v>
      </c>
      <c r="M17" s="27">
        <f t="shared" si="9"/>
        <v>15850.400000000001</v>
      </c>
      <c r="N17" s="27">
        <f t="shared" si="9"/>
        <v>18989.230000000003</v>
      </c>
      <c r="O17" s="27">
        <f t="shared" si="9"/>
        <v>21555.460000000003</v>
      </c>
      <c r="Q17" s="5" t="s">
        <v>136</v>
      </c>
      <c r="R17" s="27">
        <f t="shared" ref="R17:W17" si="10">R7-R16</f>
        <v>790.27000000000044</v>
      </c>
      <c r="S17" s="27">
        <f t="shared" si="10"/>
        <v>755.90999999999804</v>
      </c>
      <c r="T17" s="27">
        <f t="shared" si="10"/>
        <v>443.06999999999971</v>
      </c>
      <c r="U17" s="27">
        <f t="shared" si="10"/>
        <v>160.97999999999956</v>
      </c>
      <c r="V17" s="27">
        <f t="shared" si="10"/>
        <v>426.48999999999796</v>
      </c>
      <c r="W17" s="27">
        <f t="shared" si="10"/>
        <v>727.48999999999796</v>
      </c>
      <c r="Y17" s="8" t="s">
        <v>172</v>
      </c>
      <c r="Z17" s="12">
        <v>13328.71</v>
      </c>
      <c r="AA17" s="12">
        <v>12983.56</v>
      </c>
      <c r="AB17" s="12">
        <v>16471.05</v>
      </c>
      <c r="AC17" s="12">
        <v>20020.810000000001</v>
      </c>
      <c r="AD17" s="12">
        <v>24486.49</v>
      </c>
      <c r="AE17" s="12">
        <v>27533.55</v>
      </c>
      <c r="AG17" s="8" t="s">
        <v>137</v>
      </c>
      <c r="AH17" s="12">
        <v>12.423500000000001</v>
      </c>
      <c r="AI17" s="12">
        <v>0</v>
      </c>
      <c r="AJ17" s="12">
        <v>0</v>
      </c>
      <c r="AK17" s="12">
        <v>0</v>
      </c>
      <c r="AL17" s="12">
        <v>0</v>
      </c>
      <c r="AM17" s="12">
        <v>0</v>
      </c>
    </row>
    <row r="18" spans="1:39" x14ac:dyDescent="0.3">
      <c r="A18" s="8" t="s">
        <v>132</v>
      </c>
      <c r="B18" s="12">
        <v>663.9</v>
      </c>
      <c r="C18" s="12">
        <v>691.62</v>
      </c>
      <c r="D18" s="12">
        <v>1077.74</v>
      </c>
      <c r="E18" s="12">
        <v>1185.73</v>
      </c>
      <c r="F18" s="12">
        <v>1833.9</v>
      </c>
      <c r="G18" s="12">
        <v>1975.55</v>
      </c>
      <c r="I18" s="5" t="s">
        <v>156</v>
      </c>
      <c r="J18" s="27">
        <f>J7-J17</f>
        <v>667.01000000000204</v>
      </c>
      <c r="K18" s="27">
        <f t="shared" ref="K18:O18" si="11">K7-K17</f>
        <v>767.81999999999971</v>
      </c>
      <c r="L18" s="27">
        <f t="shared" si="11"/>
        <v>531.36999999999898</v>
      </c>
      <c r="M18" s="27">
        <f t="shared" si="11"/>
        <v>550.73999999999796</v>
      </c>
      <c r="N18" s="27">
        <f t="shared" si="11"/>
        <v>701.18999999999869</v>
      </c>
      <c r="O18" s="27">
        <f t="shared" si="11"/>
        <v>822.79999999999563</v>
      </c>
      <c r="Q18" s="8" t="s">
        <v>137</v>
      </c>
      <c r="R18" s="12">
        <v>0</v>
      </c>
      <c r="S18" s="12">
        <v>0</v>
      </c>
      <c r="T18" s="12">
        <v>43.64</v>
      </c>
      <c r="U18" s="12">
        <v>0</v>
      </c>
      <c r="V18" s="12">
        <v>0</v>
      </c>
      <c r="W18" s="12">
        <v>0</v>
      </c>
      <c r="Y18" s="8" t="s">
        <v>173</v>
      </c>
      <c r="Z18" s="12">
        <v>8041.88</v>
      </c>
      <c r="AA18" s="12">
        <v>7691.04</v>
      </c>
      <c r="AB18" s="12">
        <v>5952.54</v>
      </c>
      <c r="AC18" s="12">
        <v>6026.44</v>
      </c>
      <c r="AD18" s="12">
        <v>5714.9</v>
      </c>
      <c r="AE18" s="12">
        <v>6302.23</v>
      </c>
      <c r="AG18" s="8" t="s">
        <v>196</v>
      </c>
      <c r="AH18" s="12">
        <v>98.619900000000001</v>
      </c>
      <c r="AI18" s="12">
        <v>-16.581399999999999</v>
      </c>
      <c r="AJ18" s="12">
        <v>68.72</v>
      </c>
      <c r="AK18" s="12">
        <v>103.52</v>
      </c>
      <c r="AL18" s="12">
        <v>80.11</v>
      </c>
      <c r="AM18" s="12">
        <v>104.94</v>
      </c>
    </row>
    <row r="19" spans="1:39" x14ac:dyDescent="0.3">
      <c r="A19" s="5" t="s">
        <v>133</v>
      </c>
      <c r="B19" s="27">
        <f>SUM(B10:B11,B15,B16:B18)</f>
        <v>9427.48</v>
      </c>
      <c r="C19" s="27">
        <f t="shared" ref="C19:G19" si="12">SUM(C10:C11,C15,C16:C18)</f>
        <v>8213.5500000000011</v>
      </c>
      <c r="D19" s="27">
        <f t="shared" si="12"/>
        <v>13237.57</v>
      </c>
      <c r="E19" s="27">
        <f t="shared" si="12"/>
        <v>15690.66</v>
      </c>
      <c r="F19" s="27">
        <f t="shared" si="12"/>
        <v>17580.86</v>
      </c>
      <c r="G19" s="27">
        <f t="shared" si="12"/>
        <v>19245.559999999998</v>
      </c>
      <c r="I19" s="8" t="s">
        <v>157</v>
      </c>
      <c r="J19" s="12">
        <v>-23.38</v>
      </c>
      <c r="K19" s="12">
        <v>-32.21</v>
      </c>
      <c r="L19" s="12">
        <v>-19.89</v>
      </c>
      <c r="M19" s="12">
        <v>0</v>
      </c>
      <c r="N19" s="12">
        <v>0</v>
      </c>
      <c r="O19" s="12">
        <v>0</v>
      </c>
      <c r="Q19" s="5" t="s">
        <v>164</v>
      </c>
      <c r="R19" s="27">
        <f>R17-R18</f>
        <v>790.27000000000044</v>
      </c>
      <c r="S19" s="27">
        <f t="shared" ref="S19:W19" si="13">S17-S18</f>
        <v>755.90999999999804</v>
      </c>
      <c r="T19" s="27">
        <f t="shared" si="13"/>
        <v>399.42999999999972</v>
      </c>
      <c r="U19" s="27">
        <f t="shared" si="13"/>
        <v>160.97999999999956</v>
      </c>
      <c r="V19" s="27">
        <f t="shared" si="13"/>
        <v>426.48999999999796</v>
      </c>
      <c r="W19" s="27">
        <f t="shared" si="13"/>
        <v>727.48999999999796</v>
      </c>
      <c r="Y19" s="8" t="s">
        <v>174</v>
      </c>
      <c r="Z19" s="12">
        <v>23114</v>
      </c>
      <c r="AA19" s="12">
        <v>24762.03</v>
      </c>
      <c r="AB19" s="12">
        <v>29695.79</v>
      </c>
      <c r="AC19" s="12">
        <v>37214.11</v>
      </c>
      <c r="AD19" s="12">
        <v>41171.019999999997</v>
      </c>
      <c r="AE19" s="12">
        <v>46768.68</v>
      </c>
      <c r="AG19" s="5" t="s">
        <v>197</v>
      </c>
      <c r="AH19" s="27">
        <f>AH16+AH17+AH18</f>
        <v>839.48260000000255</v>
      </c>
      <c r="AI19" s="27">
        <f t="shared" ref="AI19:AM19" si="14">AI16+AI17+AI18</f>
        <v>954.3165999999992</v>
      </c>
      <c r="AJ19" s="27">
        <f t="shared" si="14"/>
        <v>1206.7100000000016</v>
      </c>
      <c r="AK19" s="27">
        <f t="shared" si="14"/>
        <v>1502.1699999999978</v>
      </c>
      <c r="AL19" s="27">
        <f t="shared" si="14"/>
        <v>1719.2800000000018</v>
      </c>
      <c r="AM19" s="27">
        <f t="shared" si="14"/>
        <v>2053.9099999999976</v>
      </c>
    </row>
    <row r="20" spans="1:39" x14ac:dyDescent="0.3">
      <c r="A20" s="5" t="s">
        <v>134</v>
      </c>
      <c r="B20" s="27">
        <f>B8-B19</f>
        <v>4306.9400000000005</v>
      </c>
      <c r="C20" s="27">
        <f t="shared" ref="C20:G20" si="15">C8-C19</f>
        <v>6306.2799999999988</v>
      </c>
      <c r="D20" s="27">
        <f t="shared" si="15"/>
        <v>6104.9400000000023</v>
      </c>
      <c r="E20" s="27">
        <f t="shared" si="15"/>
        <v>6714.73</v>
      </c>
      <c r="F20" s="27">
        <f t="shared" si="15"/>
        <v>10629.120000000003</v>
      </c>
      <c r="G20" s="27">
        <f t="shared" si="15"/>
        <v>13137.520000000004</v>
      </c>
      <c r="I20" s="5" t="s">
        <v>158</v>
      </c>
      <c r="J20" s="27">
        <f>J18+J19</f>
        <v>643.63000000000204</v>
      </c>
      <c r="K20" s="27">
        <f t="shared" ref="K20:O20" si="16">K18+K19</f>
        <v>735.60999999999967</v>
      </c>
      <c r="L20" s="27">
        <f t="shared" si="16"/>
        <v>511.479999999999</v>
      </c>
      <c r="M20" s="27">
        <f t="shared" si="16"/>
        <v>550.73999999999796</v>
      </c>
      <c r="N20" s="27">
        <f t="shared" si="16"/>
        <v>701.18999999999869</v>
      </c>
      <c r="O20" s="27">
        <f t="shared" si="16"/>
        <v>822.79999999999563</v>
      </c>
      <c r="Q20" s="2" t="s">
        <v>139</v>
      </c>
      <c r="R20" s="50"/>
      <c r="S20" s="50"/>
      <c r="T20" s="50"/>
      <c r="U20" s="50"/>
      <c r="V20" s="50"/>
      <c r="W20" s="50"/>
      <c r="Y20" s="8" t="s">
        <v>175</v>
      </c>
      <c r="Z20" s="12">
        <v>8646.7099999999991</v>
      </c>
      <c r="AA20" s="12">
        <v>8892</v>
      </c>
      <c r="AB20" s="12">
        <v>8733.89</v>
      </c>
      <c r="AC20" s="12">
        <v>8758.0400000000009</v>
      </c>
      <c r="AD20" s="12">
        <v>10419.42</v>
      </c>
      <c r="AE20" s="12">
        <v>11558.13</v>
      </c>
      <c r="AG20" s="2" t="s">
        <v>139</v>
      </c>
      <c r="AH20" s="50"/>
      <c r="AI20" s="50"/>
      <c r="AJ20" s="50"/>
      <c r="AK20" s="50"/>
      <c r="AL20" s="50"/>
      <c r="AM20" s="50"/>
    </row>
    <row r="21" spans="1:39" x14ac:dyDescent="0.3">
      <c r="A21" s="8" t="s">
        <v>135</v>
      </c>
      <c r="B21" s="12">
        <v>-4.3899999999999997</v>
      </c>
      <c r="C21" s="12">
        <v>-14.27</v>
      </c>
      <c r="D21" s="12">
        <v>17.39</v>
      </c>
      <c r="E21" s="12">
        <v>47.78</v>
      </c>
      <c r="F21" s="12">
        <v>-161.69</v>
      </c>
      <c r="G21" s="12">
        <v>141.56</v>
      </c>
      <c r="I21" s="8" t="s">
        <v>137</v>
      </c>
      <c r="J21" s="12">
        <v>4.0599999999999996</v>
      </c>
      <c r="K21" s="12">
        <v>209.64</v>
      </c>
      <c r="L21" s="12">
        <v>184.93</v>
      </c>
      <c r="M21" s="12">
        <v>90.78</v>
      </c>
      <c r="N21" s="12">
        <v>0</v>
      </c>
      <c r="O21" s="12">
        <v>0</v>
      </c>
      <c r="Q21" s="8" t="s">
        <v>140</v>
      </c>
      <c r="R21" s="12">
        <v>285.43</v>
      </c>
      <c r="S21" s="12">
        <v>280</v>
      </c>
      <c r="T21" s="12">
        <v>198.58</v>
      </c>
      <c r="U21" s="12">
        <v>121.74</v>
      </c>
      <c r="V21" s="12">
        <v>114.1</v>
      </c>
      <c r="W21" s="12">
        <v>269.95999999999998</v>
      </c>
      <c r="Y21" s="8" t="s">
        <v>176</v>
      </c>
      <c r="Z21" s="12">
        <v>2796.66</v>
      </c>
      <c r="AA21" s="12">
        <v>3913.44</v>
      </c>
      <c r="AB21" s="12">
        <v>3125.7</v>
      </c>
      <c r="AC21" s="12">
        <v>3207.16</v>
      </c>
      <c r="AD21" s="12">
        <v>3545.85</v>
      </c>
      <c r="AE21" s="12">
        <v>3334.37</v>
      </c>
      <c r="AG21" s="8" t="s">
        <v>140</v>
      </c>
      <c r="AH21" s="12">
        <v>159.98689999999999</v>
      </c>
      <c r="AI21" s="12">
        <v>206.04740000000001</v>
      </c>
      <c r="AJ21" s="12">
        <v>226.31</v>
      </c>
      <c r="AK21" s="12">
        <v>324.72000000000003</v>
      </c>
      <c r="AL21" s="12">
        <v>382.62</v>
      </c>
      <c r="AM21" s="12">
        <v>485.05</v>
      </c>
    </row>
    <row r="22" spans="1:39" x14ac:dyDescent="0.3">
      <c r="A22" s="5" t="s">
        <v>136</v>
      </c>
      <c r="B22" s="27">
        <f>B20+B21</f>
        <v>4302.55</v>
      </c>
      <c r="C22" s="27">
        <f t="shared" ref="C22:G22" si="17">C20+C21</f>
        <v>6292.0099999999984</v>
      </c>
      <c r="D22" s="27">
        <f t="shared" si="17"/>
        <v>6122.3300000000027</v>
      </c>
      <c r="E22" s="27">
        <f t="shared" si="17"/>
        <v>6762.5099999999993</v>
      </c>
      <c r="F22" s="27">
        <f t="shared" si="17"/>
        <v>10467.430000000002</v>
      </c>
      <c r="G22" s="27">
        <f t="shared" si="17"/>
        <v>13279.080000000004</v>
      </c>
      <c r="I22" s="5" t="s">
        <v>138</v>
      </c>
      <c r="J22" s="27">
        <f>J20+J21</f>
        <v>647.69000000000199</v>
      </c>
      <c r="K22" s="27">
        <f t="shared" ref="K22:O22" si="18">K20+K21</f>
        <v>945.24999999999966</v>
      </c>
      <c r="L22" s="27">
        <f t="shared" si="18"/>
        <v>696.40999999999894</v>
      </c>
      <c r="M22" s="27">
        <f t="shared" si="18"/>
        <v>641.51999999999794</v>
      </c>
      <c r="N22" s="27">
        <f t="shared" si="18"/>
        <v>701.18999999999869</v>
      </c>
      <c r="O22" s="27">
        <f t="shared" si="18"/>
        <v>822.79999999999563</v>
      </c>
      <c r="Q22" s="8" t="s">
        <v>141</v>
      </c>
      <c r="R22" s="12">
        <v>-60.68</v>
      </c>
      <c r="S22" s="12">
        <v>-76.81</v>
      </c>
      <c r="T22" s="12">
        <v>-131.22999999999999</v>
      </c>
      <c r="U22" s="12">
        <v>-136.79</v>
      </c>
      <c r="V22" s="12">
        <v>-34.39</v>
      </c>
      <c r="W22" s="12">
        <v>-113.21</v>
      </c>
      <c r="Y22" s="8" t="s">
        <v>177</v>
      </c>
      <c r="Z22" s="12">
        <v>2462.27</v>
      </c>
      <c r="AA22" s="12">
        <v>2904.21</v>
      </c>
      <c r="AB22" s="12">
        <v>2947.95</v>
      </c>
      <c r="AC22" s="12">
        <v>3502.25</v>
      </c>
      <c r="AD22" s="12">
        <v>3682.33</v>
      </c>
      <c r="AE22" s="12">
        <v>4121.18</v>
      </c>
      <c r="AG22" s="1" t="s">
        <v>199</v>
      </c>
      <c r="AH22" s="12">
        <v>0</v>
      </c>
      <c r="AI22" s="12">
        <v>0</v>
      </c>
      <c r="AJ22" s="12">
        <v>-6.44</v>
      </c>
      <c r="AK22" s="12">
        <v>-11.52</v>
      </c>
      <c r="AL22" s="12">
        <v>-4.2300000000000004</v>
      </c>
      <c r="AM22" s="12">
        <v>-5.35</v>
      </c>
    </row>
    <row r="23" spans="1:39" x14ac:dyDescent="0.3">
      <c r="A23" s="8" t="s">
        <v>137</v>
      </c>
      <c r="B23" s="12">
        <v>-58.63</v>
      </c>
      <c r="C23" s="12">
        <v>0</v>
      </c>
      <c r="D23" s="12">
        <v>-405.19</v>
      </c>
      <c r="E23" s="12">
        <v>-1273.3800000000001</v>
      </c>
      <c r="F23" s="12">
        <v>-373.7</v>
      </c>
      <c r="G23" s="12">
        <v>-249.46</v>
      </c>
      <c r="I23" s="23" t="s">
        <v>159</v>
      </c>
      <c r="J23" s="28"/>
      <c r="K23" s="28"/>
      <c r="L23" s="28"/>
      <c r="M23" s="28"/>
      <c r="N23" s="28"/>
      <c r="O23" s="28"/>
      <c r="Q23" s="5" t="s">
        <v>143</v>
      </c>
      <c r="R23" s="27">
        <f>R21+R22</f>
        <v>224.75</v>
      </c>
      <c r="S23" s="27">
        <f t="shared" ref="S23:W23" si="19">S21+S22</f>
        <v>203.19</v>
      </c>
      <c r="T23" s="27">
        <f t="shared" si="19"/>
        <v>67.350000000000023</v>
      </c>
      <c r="U23" s="27">
        <f t="shared" si="19"/>
        <v>-15.049999999999997</v>
      </c>
      <c r="V23" s="27">
        <f t="shared" si="19"/>
        <v>79.709999999999994</v>
      </c>
      <c r="W23" s="27">
        <f t="shared" si="19"/>
        <v>156.75</v>
      </c>
      <c r="Y23" s="5" t="s">
        <v>133</v>
      </c>
      <c r="Z23" s="27">
        <f t="shared" ref="Z23:AE23" si="20">SUM(Z11:Z22)</f>
        <v>134382.30999999997</v>
      </c>
      <c r="AA23" s="27">
        <f t="shared" si="20"/>
        <v>127172.57999999999</v>
      </c>
      <c r="AB23" s="27">
        <f t="shared" si="20"/>
        <v>144390.27000000002</v>
      </c>
      <c r="AC23" s="27">
        <f t="shared" si="20"/>
        <v>169296.83000000002</v>
      </c>
      <c r="AD23" s="27">
        <f t="shared" si="20"/>
        <v>204847.44</v>
      </c>
      <c r="AE23" s="27">
        <f t="shared" si="20"/>
        <v>236755.25999999998</v>
      </c>
      <c r="AG23" s="8" t="s">
        <v>141</v>
      </c>
      <c r="AH23" s="12">
        <v>-8.2477999999999998</v>
      </c>
      <c r="AI23" s="12">
        <v>-5.0534999999999997</v>
      </c>
      <c r="AJ23" s="12">
        <v>-4.7300000000000004</v>
      </c>
      <c r="AK23" s="12">
        <v>6.28</v>
      </c>
      <c r="AL23" s="12">
        <v>-0.86</v>
      </c>
      <c r="AM23" s="12">
        <v>-0.26</v>
      </c>
    </row>
    <row r="24" spans="1:39" x14ac:dyDescent="0.3">
      <c r="A24" s="5" t="s">
        <v>138</v>
      </c>
      <c r="B24" s="27">
        <f>B22+B23</f>
        <v>4243.92</v>
      </c>
      <c r="C24" s="27">
        <f t="shared" ref="C24:G24" si="21">C22+C23</f>
        <v>6292.0099999999984</v>
      </c>
      <c r="D24" s="27">
        <f t="shared" si="21"/>
        <v>5717.1400000000031</v>
      </c>
      <c r="E24" s="27">
        <f t="shared" si="21"/>
        <v>5489.1299999999992</v>
      </c>
      <c r="F24" s="27">
        <f t="shared" si="21"/>
        <v>10093.730000000001</v>
      </c>
      <c r="G24" s="27">
        <f t="shared" si="21"/>
        <v>13029.620000000004</v>
      </c>
      <c r="I24" s="8" t="s">
        <v>140</v>
      </c>
      <c r="J24" s="12">
        <v>226.14</v>
      </c>
      <c r="K24" s="12">
        <v>303.24</v>
      </c>
      <c r="L24" s="12">
        <v>191.59</v>
      </c>
      <c r="M24" s="12">
        <v>265.64</v>
      </c>
      <c r="N24" s="12">
        <v>223.4</v>
      </c>
      <c r="O24" s="12">
        <v>312.25</v>
      </c>
      <c r="Q24" s="5" t="s">
        <v>144</v>
      </c>
      <c r="R24" s="27">
        <f>R19-R23</f>
        <v>565.52000000000044</v>
      </c>
      <c r="S24" s="27">
        <f>S17-S23</f>
        <v>552.71999999999798</v>
      </c>
      <c r="T24" s="27">
        <f>T17-T23</f>
        <v>375.71999999999969</v>
      </c>
      <c r="U24" s="27">
        <f>U17-U23</f>
        <v>176.02999999999957</v>
      </c>
      <c r="V24" s="27">
        <f>V17-V23</f>
        <v>346.77999999999798</v>
      </c>
      <c r="W24" s="27">
        <f>W17-W23</f>
        <v>570.73999999999796</v>
      </c>
      <c r="Y24" s="5" t="s">
        <v>136</v>
      </c>
      <c r="Z24" s="27">
        <f t="shared" ref="Z24:AE24" si="22">Z8-Z23</f>
        <v>13430.950000000012</v>
      </c>
      <c r="AA24" s="27">
        <f t="shared" si="22"/>
        <v>12235.800000000017</v>
      </c>
      <c r="AB24" s="27">
        <f t="shared" si="22"/>
        <v>14398.039999999979</v>
      </c>
      <c r="AC24" s="27">
        <f t="shared" si="22"/>
        <v>16973.040000000008</v>
      </c>
      <c r="AD24" s="27">
        <f t="shared" si="22"/>
        <v>20423.5</v>
      </c>
      <c r="AE24" s="27">
        <f t="shared" si="22"/>
        <v>23104.010000000038</v>
      </c>
      <c r="AG24" s="5" t="s">
        <v>143</v>
      </c>
      <c r="AH24" s="27">
        <f>AH21+AH23</f>
        <v>151.73909999999998</v>
      </c>
      <c r="AI24" s="27">
        <f>AI21+AI23</f>
        <v>200.9939</v>
      </c>
      <c r="AJ24" s="27">
        <f>AJ21+AJ23+AJ22</f>
        <v>215.14000000000001</v>
      </c>
      <c r="AK24" s="27">
        <f t="shared" ref="AK24:AM24" si="23">AK21+AK23+AK22</f>
        <v>319.48</v>
      </c>
      <c r="AL24" s="27">
        <f t="shared" si="23"/>
        <v>377.53</v>
      </c>
      <c r="AM24" s="27">
        <f t="shared" si="23"/>
        <v>479.44</v>
      </c>
    </row>
    <row r="25" spans="1:39" x14ac:dyDescent="0.3">
      <c r="A25" s="23" t="s">
        <v>139</v>
      </c>
      <c r="B25" s="28"/>
      <c r="C25" s="28"/>
      <c r="D25" s="28"/>
      <c r="E25" s="28"/>
      <c r="F25" s="28"/>
      <c r="G25" s="28"/>
      <c r="I25" s="8" t="s">
        <v>141</v>
      </c>
      <c r="J25" s="12">
        <v>31.96</v>
      </c>
      <c r="K25" s="12">
        <v>-20.03</v>
      </c>
      <c r="L25" s="12">
        <v>-30.24</v>
      </c>
      <c r="M25" s="12">
        <v>-59.14</v>
      </c>
      <c r="N25" s="12">
        <v>-38.11</v>
      </c>
      <c r="O25" s="12">
        <v>-56.72</v>
      </c>
      <c r="Y25" s="8" t="s">
        <v>190</v>
      </c>
      <c r="Z25" s="12">
        <v>0</v>
      </c>
      <c r="AA25" s="12">
        <v>0</v>
      </c>
      <c r="AB25" s="12">
        <v>119.7</v>
      </c>
      <c r="AC25" s="12">
        <v>-91.97</v>
      </c>
      <c r="AD25" s="12">
        <v>114.44</v>
      </c>
      <c r="AE25" s="12">
        <v>474.78</v>
      </c>
      <c r="AG25" s="5" t="s">
        <v>198</v>
      </c>
      <c r="AH25" s="27">
        <f t="shared" ref="AH25:AM25" si="24">AH19-AH24</f>
        <v>687.74350000000254</v>
      </c>
      <c r="AI25" s="27">
        <f t="shared" si="24"/>
        <v>753.32269999999926</v>
      </c>
      <c r="AJ25" s="27">
        <f t="shared" si="24"/>
        <v>991.57000000000164</v>
      </c>
      <c r="AK25" s="27">
        <f t="shared" si="24"/>
        <v>1182.6899999999978</v>
      </c>
      <c r="AL25" s="27">
        <f t="shared" si="24"/>
        <v>1341.7500000000018</v>
      </c>
      <c r="AM25" s="27">
        <f t="shared" si="24"/>
        <v>1574.4699999999975</v>
      </c>
    </row>
    <row r="26" spans="1:39" x14ac:dyDescent="0.3">
      <c r="A26" s="8" t="s">
        <v>140</v>
      </c>
      <c r="B26" s="12">
        <v>707.49</v>
      </c>
      <c r="C26" s="12">
        <v>1271.51</v>
      </c>
      <c r="D26" s="12">
        <v>888.2</v>
      </c>
      <c r="E26" s="12">
        <v>977.9</v>
      </c>
      <c r="F26" s="12">
        <v>1134.73</v>
      </c>
      <c r="G26" s="12">
        <v>2221.87</v>
      </c>
      <c r="I26" s="5" t="s">
        <v>160</v>
      </c>
      <c r="J26" s="27">
        <f>J24+J25</f>
        <v>258.09999999999997</v>
      </c>
      <c r="K26" s="27">
        <f t="shared" ref="K26:O26" si="25">K24+K25</f>
        <v>283.21000000000004</v>
      </c>
      <c r="L26" s="27">
        <f t="shared" si="25"/>
        <v>161.35</v>
      </c>
      <c r="M26" s="27">
        <f t="shared" si="25"/>
        <v>206.5</v>
      </c>
      <c r="N26" s="27">
        <f t="shared" si="25"/>
        <v>185.29000000000002</v>
      </c>
      <c r="O26" s="27">
        <f t="shared" si="25"/>
        <v>255.53</v>
      </c>
      <c r="Q26" s="1" t="s">
        <v>509</v>
      </c>
      <c r="R26" s="60">
        <f ca="1">R24/'Company Info'!$D$11</f>
        <v>21.244177310293029</v>
      </c>
      <c r="S26" s="60">
        <f ca="1">S24/'Company Info'!$D$11</f>
        <v>20.763335837715925</v>
      </c>
      <c r="T26" s="60">
        <f ca="1">T24/'Company Info'!$D$11</f>
        <v>14.114199849737027</v>
      </c>
      <c r="U26" s="60">
        <f ca="1">U24/'Company Info'!$D$11</f>
        <v>6.6126972201352201</v>
      </c>
      <c r="V26" s="60">
        <f ca="1">V24/'Company Info'!$D$11</f>
        <v>13.02704733283238</v>
      </c>
      <c r="W26" s="60">
        <f ca="1">W24/'Company Info'!$D$11</f>
        <v>21.440270473328248</v>
      </c>
      <c r="Y26" s="23" t="s">
        <v>139</v>
      </c>
      <c r="Z26" s="29"/>
      <c r="AA26" s="29"/>
      <c r="AB26" s="29"/>
      <c r="AC26" s="29"/>
      <c r="AD26" s="29"/>
      <c r="AE26" s="29"/>
    </row>
    <row r="27" spans="1:39" x14ac:dyDescent="0.3">
      <c r="A27" s="8" t="s">
        <v>141</v>
      </c>
      <c r="B27" s="12">
        <v>-144.6</v>
      </c>
      <c r="C27" s="12">
        <v>102.39</v>
      </c>
      <c r="D27" s="12">
        <v>-124.24</v>
      </c>
      <c r="E27" s="12">
        <v>-881.52</v>
      </c>
      <c r="F27" s="12">
        <v>399.85</v>
      </c>
      <c r="G27" s="12">
        <v>-253.51</v>
      </c>
      <c r="I27" s="5" t="s">
        <v>144</v>
      </c>
      <c r="J27" s="27">
        <f>J22-J26</f>
        <v>389.59000000000202</v>
      </c>
      <c r="K27" s="27">
        <f t="shared" ref="K27:O27" si="26">K22-K26</f>
        <v>662.03999999999962</v>
      </c>
      <c r="L27" s="27">
        <f t="shared" si="26"/>
        <v>535.05999999999892</v>
      </c>
      <c r="M27" s="27">
        <f t="shared" si="26"/>
        <v>435.01999999999794</v>
      </c>
      <c r="N27" s="27">
        <f t="shared" si="26"/>
        <v>515.89999999999873</v>
      </c>
      <c r="O27" s="27">
        <f t="shared" si="26"/>
        <v>567.26999999999566</v>
      </c>
      <c r="Y27" s="8" t="s">
        <v>140</v>
      </c>
      <c r="Z27" s="12">
        <v>3564.58</v>
      </c>
      <c r="AA27" s="12">
        <v>3923.39</v>
      </c>
      <c r="AB27" s="12">
        <v>22.77</v>
      </c>
      <c r="AC27" s="12">
        <v>448.35</v>
      </c>
      <c r="AD27" s="12">
        <v>20.83</v>
      </c>
      <c r="AE27" s="12">
        <v>0</v>
      </c>
      <c r="AG27" s="1" t="s">
        <v>509</v>
      </c>
      <c r="AH27" s="60">
        <f ca="1">AH25/'Company Info'!$F$11</f>
        <v>3.2984983357473912</v>
      </c>
      <c r="AI27" s="60">
        <f ca="1">AI25/'Company Info'!$F$11</f>
        <v>3.6130238558862708</v>
      </c>
      <c r="AJ27" s="60">
        <f ca="1">AJ25/'Company Info'!$F$11</f>
        <v>4.755685796778935</v>
      </c>
      <c r="AK27" s="60">
        <f ca="1">AK25/'Company Info'!$F$11</f>
        <v>5.6723196899789823</v>
      </c>
      <c r="AL27" s="60">
        <f ca="1">AL25/'Company Info'!$F$11</f>
        <v>6.4351900701192397</v>
      </c>
      <c r="AM27" s="60">
        <f ca="1">AM25/'Company Info'!$F$11</f>
        <v>7.5513424331660968</v>
      </c>
    </row>
    <row r="28" spans="1:39" x14ac:dyDescent="0.3">
      <c r="A28" s="8" t="s">
        <v>142</v>
      </c>
      <c r="B28" s="12">
        <v>-103.5</v>
      </c>
      <c r="C28" s="12">
        <v>-130.63</v>
      </c>
      <c r="D28" s="12">
        <v>0</v>
      </c>
      <c r="E28" s="12">
        <v>0</v>
      </c>
      <c r="F28" s="12">
        <v>455.16</v>
      </c>
      <c r="G28" s="12">
        <v>0</v>
      </c>
      <c r="Y28" s="8" t="s">
        <v>141</v>
      </c>
      <c r="Z28" s="12">
        <v>-301.38</v>
      </c>
      <c r="AA28" s="12">
        <v>87.43</v>
      </c>
      <c r="AB28" s="12">
        <v>0</v>
      </c>
      <c r="AC28" s="12">
        <v>-676.31</v>
      </c>
      <c r="AD28" s="12">
        <v>0</v>
      </c>
      <c r="AE28" s="12">
        <v>0</v>
      </c>
    </row>
    <row r="29" spans="1:39" x14ac:dyDescent="0.3">
      <c r="A29" s="5" t="s">
        <v>143</v>
      </c>
      <c r="B29" s="27">
        <f>SUM(B26:B28)</f>
        <v>459.39</v>
      </c>
      <c r="C29" s="27">
        <f t="shared" ref="C29:G29" si="27">SUM(C26:C28)</f>
        <v>1243.27</v>
      </c>
      <c r="D29" s="27">
        <f t="shared" si="27"/>
        <v>763.96</v>
      </c>
      <c r="E29" s="27">
        <f t="shared" si="27"/>
        <v>96.38</v>
      </c>
      <c r="F29" s="27">
        <f t="shared" si="27"/>
        <v>1989.74</v>
      </c>
      <c r="G29" s="27">
        <f t="shared" si="27"/>
        <v>1968.36</v>
      </c>
      <c r="I29" s="1" t="s">
        <v>509</v>
      </c>
      <c r="J29" s="60">
        <f ca="1">J27/'Company Info'!$C$11</f>
        <v>22.813378727032443</v>
      </c>
      <c r="K29" s="60">
        <f ca="1">K27/'Company Info'!$C$11</f>
        <v>38.767343238903642</v>
      </c>
      <c r="L29" s="60">
        <f ca="1">L27/'Company Info'!$C$11</f>
        <v>31.331724175892326</v>
      </c>
      <c r="M29" s="60">
        <f ca="1">M27/'Company Info'!$C$11</f>
        <v>25.473641556080892</v>
      </c>
      <c r="N29" s="60">
        <f ca="1">N27/'Company Info'!$C$11</f>
        <v>30.209764329874861</v>
      </c>
      <c r="O29" s="60">
        <f ca="1">O27/'Company Info'!$C$11</f>
        <v>33.217858134150077</v>
      </c>
      <c r="Y29" s="5" t="s">
        <v>178</v>
      </c>
      <c r="Z29" s="27">
        <f>Z24-(Z27+Z28)</f>
        <v>10167.750000000011</v>
      </c>
      <c r="AA29" s="27">
        <f>AA24-(AA27+AA28)</f>
        <v>8224.9800000000178</v>
      </c>
      <c r="AB29" s="27">
        <f>AB24-(AB27+AB28)+AB25</f>
        <v>14494.969999999979</v>
      </c>
      <c r="AC29" s="27">
        <f t="shared" ref="AC29:AE29" si="28">AC24-(AC27+AC28)+AC25</f>
        <v>17109.030000000006</v>
      </c>
      <c r="AD29" s="27">
        <f t="shared" si="28"/>
        <v>20517.109999999997</v>
      </c>
      <c r="AE29" s="27">
        <f t="shared" si="28"/>
        <v>23578.790000000037</v>
      </c>
    </row>
    <row r="30" spans="1:39" x14ac:dyDescent="0.3">
      <c r="A30" s="5" t="s">
        <v>144</v>
      </c>
      <c r="B30" s="27">
        <f>B24-B29</f>
        <v>3784.53</v>
      </c>
      <c r="C30" s="27">
        <f t="shared" ref="C30:G30" si="29">C24-C29</f>
        <v>5048.739999999998</v>
      </c>
      <c r="D30" s="27">
        <f t="shared" si="29"/>
        <v>4953.180000000003</v>
      </c>
      <c r="E30" s="27">
        <f t="shared" si="29"/>
        <v>5392.7499999999991</v>
      </c>
      <c r="F30" s="27">
        <f t="shared" si="29"/>
        <v>8103.9900000000016</v>
      </c>
      <c r="G30" s="27">
        <f t="shared" si="29"/>
        <v>11061.260000000004</v>
      </c>
      <c r="Y30" s="8" t="s">
        <v>179</v>
      </c>
      <c r="Z30" s="12">
        <v>0</v>
      </c>
      <c r="AA30" s="12">
        <v>-3693.78</v>
      </c>
      <c r="AB30" s="12">
        <v>0</v>
      </c>
      <c r="AC30" s="12">
        <v>0</v>
      </c>
      <c r="AD30" s="12">
        <v>0</v>
      </c>
      <c r="AE30" s="12">
        <v>0</v>
      </c>
    </row>
    <row r="31" spans="1:39" x14ac:dyDescent="0.3">
      <c r="Y31" s="23" t="s">
        <v>180</v>
      </c>
      <c r="Z31" s="28"/>
      <c r="AA31" s="28"/>
      <c r="AB31" s="28"/>
      <c r="AC31" s="28"/>
      <c r="AD31" s="28"/>
      <c r="AE31" s="28"/>
    </row>
    <row r="32" spans="1:39" x14ac:dyDescent="0.3">
      <c r="A32" s="1" t="s">
        <v>509</v>
      </c>
      <c r="B32" s="60">
        <f ca="1">B30/'Company Info'!$B$11</f>
        <v>17.519844787765972</v>
      </c>
      <c r="C32" s="60">
        <f ca="1">C30/'Company Info'!$B$11</f>
        <v>23.372292246008232</v>
      </c>
      <c r="D32" s="60">
        <f ca="1">D30/'Company Info'!$B$11</f>
        <v>22.929913306504826</v>
      </c>
      <c r="E32" s="60">
        <f ca="1">E30/'Company Info'!$B$11</f>
        <v>24.964828652230246</v>
      </c>
      <c r="F32" s="60">
        <f ca="1">F30/'Company Info'!$B$11</f>
        <v>37.516057994416109</v>
      </c>
      <c r="G32" s="60">
        <f ca="1">G30/'Company Info'!$B$11</f>
        <v>51.206241820549529</v>
      </c>
      <c r="Y32" s="8" t="s">
        <v>140</v>
      </c>
      <c r="Z32" s="12">
        <v>0</v>
      </c>
      <c r="AA32" s="12">
        <v>48.44</v>
      </c>
      <c r="AB32" s="12">
        <v>4499.3999999999996</v>
      </c>
      <c r="AC32" s="12">
        <v>5055.17</v>
      </c>
      <c r="AD32" s="12">
        <v>5127.7</v>
      </c>
      <c r="AE32" s="12">
        <v>6100.82</v>
      </c>
    </row>
    <row r="33" spans="25:31" x14ac:dyDescent="0.3">
      <c r="Y33" s="8" t="s">
        <v>141</v>
      </c>
      <c r="Z33" s="12">
        <v>0</v>
      </c>
      <c r="AA33" s="12">
        <v>-186.2</v>
      </c>
      <c r="AB33" s="12">
        <v>-295.48</v>
      </c>
      <c r="AC33" s="12">
        <v>-571.01</v>
      </c>
      <c r="AD33" s="12">
        <v>-180.31</v>
      </c>
      <c r="AE33" s="12">
        <v>-209.42</v>
      </c>
    </row>
    <row r="34" spans="25:31" x14ac:dyDescent="0.3">
      <c r="Y34" s="5" t="s">
        <v>181</v>
      </c>
      <c r="Z34" s="27">
        <f>Z30-(Z32+Z33)</f>
        <v>0</v>
      </c>
      <c r="AA34" s="27">
        <f t="shared" ref="AA34:AE34" si="30">AA30-(AA32+AA33)</f>
        <v>-3556.0200000000004</v>
      </c>
      <c r="AB34" s="27">
        <f t="shared" si="30"/>
        <v>-4203.92</v>
      </c>
      <c r="AC34" s="27">
        <f t="shared" si="30"/>
        <v>-4484.16</v>
      </c>
      <c r="AD34" s="27">
        <f t="shared" si="30"/>
        <v>-4947.3899999999994</v>
      </c>
      <c r="AE34" s="27">
        <f t="shared" si="30"/>
        <v>-5891.4</v>
      </c>
    </row>
    <row r="35" spans="25:31" x14ac:dyDescent="0.3">
      <c r="Y35" s="5" t="s">
        <v>178</v>
      </c>
      <c r="Z35" s="27">
        <f>Z29+Z34</f>
        <v>10167.750000000011</v>
      </c>
      <c r="AA35" s="27">
        <f t="shared" ref="AA35:AE35" si="31">AA29+AA34</f>
        <v>4668.9600000000173</v>
      </c>
      <c r="AB35" s="27">
        <f t="shared" si="31"/>
        <v>10291.049999999979</v>
      </c>
      <c r="AC35" s="27">
        <f t="shared" si="31"/>
        <v>12624.870000000006</v>
      </c>
      <c r="AD35" s="27">
        <f t="shared" si="31"/>
        <v>15569.719999999998</v>
      </c>
      <c r="AE35" s="27">
        <f t="shared" si="31"/>
        <v>17687.390000000036</v>
      </c>
    </row>
    <row r="36" spans="25:31" x14ac:dyDescent="0.3">
      <c r="Y36" s="8" t="s">
        <v>182</v>
      </c>
      <c r="Z36" s="12">
        <v>71.959999999999994</v>
      </c>
      <c r="AA36" s="12">
        <v>14.4</v>
      </c>
      <c r="AB36" s="12">
        <v>128.19</v>
      </c>
      <c r="AC36" s="12">
        <v>-94.25</v>
      </c>
      <c r="AD36" s="12">
        <v>-22.62</v>
      </c>
      <c r="AE36" s="12">
        <v>-14.06</v>
      </c>
    </row>
    <row r="37" spans="25:31" x14ac:dyDescent="0.3">
      <c r="Y37" s="5" t="s">
        <v>183</v>
      </c>
      <c r="Z37" s="27">
        <f>Z35+Z36</f>
        <v>10239.71000000001</v>
      </c>
      <c r="AA37" s="27">
        <f t="shared" ref="AA37:AE37" si="32">AA35+AA36</f>
        <v>4683.360000000017</v>
      </c>
      <c r="AB37" s="27">
        <f t="shared" si="32"/>
        <v>10419.23999999998</v>
      </c>
      <c r="AC37" s="27">
        <f t="shared" si="32"/>
        <v>12530.620000000006</v>
      </c>
      <c r="AD37" s="27">
        <f t="shared" si="32"/>
        <v>15547.099999999997</v>
      </c>
      <c r="AE37" s="27">
        <f t="shared" si="32"/>
        <v>17673.330000000034</v>
      </c>
    </row>
    <row r="38" spans="25:31" x14ac:dyDescent="0.3">
      <c r="Y38" s="2" t="s">
        <v>184</v>
      </c>
      <c r="Z38" s="32"/>
      <c r="AA38" s="32"/>
      <c r="AB38" s="32"/>
      <c r="AC38" s="32"/>
      <c r="AD38" s="32"/>
      <c r="AE38" s="32"/>
    </row>
    <row r="39" spans="25:31" x14ac:dyDescent="0.3">
      <c r="Y39" s="8" t="s">
        <v>185</v>
      </c>
      <c r="Z39" s="12">
        <v>883.25</v>
      </c>
      <c r="AA39" s="12">
        <v>10790.5</v>
      </c>
      <c r="AB39" s="12">
        <v>0</v>
      </c>
      <c r="AC39" s="12">
        <v>0</v>
      </c>
      <c r="AD39" s="12">
        <v>0</v>
      </c>
      <c r="AE39" s="12">
        <v>0</v>
      </c>
    </row>
    <row r="40" spans="25:31" x14ac:dyDescent="0.3">
      <c r="Y40" s="8" t="s">
        <v>186</v>
      </c>
      <c r="Z40" s="12">
        <v>228.68</v>
      </c>
      <c r="AA40" s="12">
        <v>2552.58</v>
      </c>
      <c r="AB40" s="12">
        <v>0</v>
      </c>
      <c r="AC40" s="12">
        <v>0</v>
      </c>
      <c r="AD40" s="12">
        <v>0</v>
      </c>
      <c r="AE40" s="12">
        <v>0</v>
      </c>
    </row>
    <row r="41" spans="25:31" x14ac:dyDescent="0.3">
      <c r="Y41" s="5" t="s">
        <v>187</v>
      </c>
      <c r="Z41" s="27">
        <f>Z39-Z40</f>
        <v>654.56999999999994</v>
      </c>
      <c r="AA41" s="27">
        <f t="shared" ref="AA41:AE41" si="33">AA39-AA40</f>
        <v>8237.92</v>
      </c>
      <c r="AB41" s="27">
        <f t="shared" si="33"/>
        <v>0</v>
      </c>
      <c r="AC41" s="27">
        <f t="shared" si="33"/>
        <v>0</v>
      </c>
      <c r="AD41" s="27">
        <f t="shared" si="33"/>
        <v>0</v>
      </c>
      <c r="AE41" s="27">
        <f t="shared" si="33"/>
        <v>0</v>
      </c>
    </row>
    <row r="42" spans="25:31" x14ac:dyDescent="0.3">
      <c r="Y42" s="5" t="s">
        <v>188</v>
      </c>
      <c r="Z42" s="27">
        <f>Z37+Z41</f>
        <v>10894.28000000001</v>
      </c>
      <c r="AA42" s="27">
        <f t="shared" ref="AA42:AE42" si="34">AA37+AA41</f>
        <v>12921.280000000017</v>
      </c>
      <c r="AB42" s="27">
        <f t="shared" si="34"/>
        <v>10419.23999999998</v>
      </c>
      <c r="AC42" s="27">
        <f t="shared" si="34"/>
        <v>12530.620000000006</v>
      </c>
      <c r="AD42" s="27">
        <f t="shared" si="34"/>
        <v>15547.099999999997</v>
      </c>
      <c r="AE42" s="27">
        <f t="shared" si="34"/>
        <v>17673.330000000034</v>
      </c>
    </row>
    <row r="44" spans="25:31" x14ac:dyDescent="0.3">
      <c r="Y44" s="1" t="s">
        <v>509</v>
      </c>
      <c r="Z44" s="60">
        <f ca="1">Z42/'Company Info'!$E$11</f>
        <v>79.197662660359583</v>
      </c>
      <c r="AA44" s="60">
        <f ca="1">AA42/'Company Info'!$E$11</f>
        <v>93.933254384874587</v>
      </c>
      <c r="AB44" s="60">
        <f ca="1">AB42/'Company Info'!$E$11</f>
        <v>75.744285505542607</v>
      </c>
      <c r="AC44" s="60">
        <f ca="1">AC42/'Company Info'!$E$11</f>
        <v>91.093290762230694</v>
      </c>
      <c r="AD44" s="60">
        <f ca="1">AD42/'Company Info'!$E$11</f>
        <v>113.02206122358477</v>
      </c>
      <c r="AE44" s="60">
        <f ca="1">AE42/'Company Info'!$E$11</f>
        <v>128.47902086463853</v>
      </c>
    </row>
  </sheetData>
  <mergeCells count="5">
    <mergeCell ref="E2:G2"/>
    <mergeCell ref="M2:O2"/>
    <mergeCell ref="U2:W2"/>
    <mergeCell ref="AC2:AE2"/>
    <mergeCell ref="AK2:AM2"/>
  </mergeCells>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D06A-C2E7-439F-841E-7D8FBB217038}">
  <sheetPr codeName="Sheet4"/>
  <dimension ref="A1:AM78"/>
  <sheetViews>
    <sheetView topLeftCell="AG33" workbookViewId="0">
      <selection activeCell="D2" sqref="D2"/>
    </sheetView>
  </sheetViews>
  <sheetFormatPr defaultRowHeight="14.4" x14ac:dyDescent="0.3"/>
  <cols>
    <col min="1" max="1" width="59.6640625" style="1" bestFit="1" customWidth="1"/>
    <col min="2" max="5" width="10.5546875" style="1" bestFit="1" customWidth="1"/>
    <col min="6" max="6" width="10" style="1" bestFit="1" customWidth="1"/>
    <col min="7" max="7" width="10.6640625" style="1" bestFit="1" customWidth="1"/>
    <col min="8" max="8" width="8.88671875" style="1"/>
    <col min="9" max="9" width="64.44140625" style="1" bestFit="1" customWidth="1"/>
    <col min="10" max="12" width="8.88671875" style="1"/>
    <col min="13" max="15" width="9.5546875" style="1" bestFit="1" customWidth="1"/>
    <col min="16" max="16" width="8.88671875" style="1"/>
    <col min="17" max="17" width="54" style="1" bestFit="1" customWidth="1"/>
    <col min="18" max="19" width="8.88671875" style="1"/>
    <col min="20" max="23" width="9.5546875" style="1" bestFit="1" customWidth="1"/>
    <col min="24" max="24" width="8.88671875" style="1"/>
    <col min="25" max="25" width="61.88671875" style="1" bestFit="1" customWidth="1"/>
    <col min="26" max="28" width="10.5546875" style="1" bestFit="1" customWidth="1"/>
    <col min="29" max="29" width="10.6640625" style="1" bestFit="1" customWidth="1"/>
    <col min="30" max="30" width="11.5546875" style="1" bestFit="1" customWidth="1"/>
    <col min="31" max="31" width="10.5546875" style="1" bestFit="1" customWidth="1"/>
    <col min="32" max="32" width="8.88671875" style="1"/>
    <col min="33" max="33" width="54.44140625" style="1" bestFit="1" customWidth="1"/>
    <col min="34" max="38" width="9.5546875" style="1" bestFit="1" customWidth="1"/>
    <col min="39" max="39" width="9.6640625" style="1" bestFit="1" customWidth="1"/>
    <col min="40" max="16384" width="8.88671875" style="1"/>
  </cols>
  <sheetData>
    <row r="1" spans="1:39" ht="31.2" x14ac:dyDescent="0.3">
      <c r="A1" s="17" t="s">
        <v>200</v>
      </c>
    </row>
    <row r="2" spans="1:39" ht="43.8" customHeight="1" x14ac:dyDescent="0.3">
      <c r="E2" s="127" t="e" vm="1">
        <v>#VALUE!</v>
      </c>
      <c r="F2" s="127"/>
      <c r="G2" s="127"/>
      <c r="M2" s="127" t="e" vm="2">
        <v>#VALUE!</v>
      </c>
      <c r="N2" s="127"/>
      <c r="O2" s="127"/>
      <c r="U2" s="126" t="e" vm="3">
        <v>#VALUE!</v>
      </c>
      <c r="V2" s="126"/>
      <c r="W2" s="126"/>
      <c r="AC2" s="126" t="e" vm="4">
        <v>#VALUE!</v>
      </c>
      <c r="AD2" s="126"/>
      <c r="AE2" s="126"/>
      <c r="AK2" s="126" t="e" vm="5">
        <v>#VALUE!</v>
      </c>
      <c r="AL2" s="126"/>
      <c r="AM2" s="126"/>
    </row>
    <row r="3" spans="1:39" x14ac:dyDescent="0.3">
      <c r="A3" s="18" t="s">
        <v>13</v>
      </c>
      <c r="B3" s="53" t="s">
        <v>65</v>
      </c>
      <c r="C3" s="53" t="s">
        <v>66</v>
      </c>
      <c r="D3" s="53" t="s">
        <v>67</v>
      </c>
      <c r="E3" s="53" t="s">
        <v>68</v>
      </c>
      <c r="F3" s="53" t="s">
        <v>69</v>
      </c>
      <c r="G3" s="54" t="s">
        <v>70</v>
      </c>
      <c r="I3" s="18" t="s">
        <v>13</v>
      </c>
      <c r="J3" s="53" t="s">
        <v>65</v>
      </c>
      <c r="K3" s="53" t="s">
        <v>66</v>
      </c>
      <c r="L3" s="53" t="s">
        <v>67</v>
      </c>
      <c r="M3" s="53" t="s">
        <v>68</v>
      </c>
      <c r="N3" s="53" t="s">
        <v>69</v>
      </c>
      <c r="O3" s="54" t="s">
        <v>70</v>
      </c>
      <c r="Q3" s="18" t="s">
        <v>13</v>
      </c>
      <c r="R3" s="53" t="s">
        <v>65</v>
      </c>
      <c r="S3" s="53" t="s">
        <v>66</v>
      </c>
      <c r="T3" s="53" t="s">
        <v>67</v>
      </c>
      <c r="U3" s="53" t="s">
        <v>68</v>
      </c>
      <c r="V3" s="53" t="s">
        <v>69</v>
      </c>
      <c r="W3" s="54" t="s">
        <v>70</v>
      </c>
      <c r="Y3" s="18" t="s">
        <v>13</v>
      </c>
      <c r="Z3" s="53" t="s">
        <v>65</v>
      </c>
      <c r="AA3" s="53" t="s">
        <v>66</v>
      </c>
      <c r="AB3" s="53" t="s">
        <v>67</v>
      </c>
      <c r="AC3" s="53" t="s">
        <v>68</v>
      </c>
      <c r="AD3" s="53" t="s">
        <v>69</v>
      </c>
      <c r="AE3" s="54" t="s">
        <v>70</v>
      </c>
      <c r="AG3" s="18" t="s">
        <v>13</v>
      </c>
      <c r="AH3" s="53" t="s">
        <v>65</v>
      </c>
      <c r="AI3" s="53" t="s">
        <v>66</v>
      </c>
      <c r="AJ3" s="53" t="s">
        <v>67</v>
      </c>
      <c r="AK3" s="53" t="s">
        <v>68</v>
      </c>
      <c r="AL3" s="53" t="s">
        <v>69</v>
      </c>
      <c r="AM3" s="54" t="s">
        <v>70</v>
      </c>
    </row>
    <row r="4" spans="1:39" x14ac:dyDescent="0.3">
      <c r="A4" s="2" t="s">
        <v>201</v>
      </c>
      <c r="I4" s="2" t="s">
        <v>274</v>
      </c>
      <c r="Q4" s="2" t="s">
        <v>321</v>
      </c>
      <c r="Y4" s="25" t="s">
        <v>321</v>
      </c>
      <c r="Z4" s="22"/>
      <c r="AA4" s="22"/>
      <c r="AB4" s="22"/>
      <c r="AC4" s="22"/>
      <c r="AD4" s="22"/>
      <c r="AE4" s="24"/>
      <c r="AG4" s="2" t="s">
        <v>321</v>
      </c>
    </row>
    <row r="5" spans="1:39" x14ac:dyDescent="0.3">
      <c r="A5" s="8" t="s">
        <v>202</v>
      </c>
      <c r="B5" s="12">
        <v>4243.92</v>
      </c>
      <c r="C5" s="12">
        <v>6292.01</v>
      </c>
      <c r="D5" s="12">
        <v>5717.14</v>
      </c>
      <c r="E5" s="12">
        <v>5489.13</v>
      </c>
      <c r="F5" s="12">
        <v>10093.73</v>
      </c>
      <c r="G5" s="12">
        <v>13029.62</v>
      </c>
      <c r="I5" s="8" t="s">
        <v>144</v>
      </c>
      <c r="J5" s="12">
        <v>389.59</v>
      </c>
      <c r="K5" s="12">
        <v>662.04</v>
      </c>
      <c r="L5" s="12">
        <v>535.05999999999995</v>
      </c>
      <c r="M5" s="12">
        <v>435.02</v>
      </c>
      <c r="N5" s="12">
        <v>515.9</v>
      </c>
      <c r="O5" s="12">
        <v>567.27</v>
      </c>
      <c r="Q5" s="8" t="s">
        <v>322</v>
      </c>
      <c r="R5" s="12">
        <v>565.52</v>
      </c>
      <c r="S5" s="12">
        <v>552.72</v>
      </c>
      <c r="T5" s="12">
        <v>332.08</v>
      </c>
      <c r="U5" s="12">
        <v>176.03</v>
      </c>
      <c r="V5" s="12">
        <v>346.78</v>
      </c>
      <c r="W5" s="12">
        <v>570.74</v>
      </c>
      <c r="Y5" s="23" t="s">
        <v>138</v>
      </c>
      <c r="Z5" s="23"/>
      <c r="AA5" s="23"/>
      <c r="AB5" s="23"/>
      <c r="AC5" s="23"/>
      <c r="AD5" s="23"/>
      <c r="AE5" s="23"/>
      <c r="AG5" s="8" t="s">
        <v>400</v>
      </c>
      <c r="AH5" s="12">
        <v>954.31659999999999</v>
      </c>
      <c r="AI5" s="12">
        <v>1206.71</v>
      </c>
      <c r="AJ5" s="12">
        <v>1502.17</v>
      </c>
      <c r="AK5" s="12">
        <v>1719.28</v>
      </c>
      <c r="AL5" s="12">
        <v>2053.91</v>
      </c>
      <c r="AM5" s="12">
        <v>1550.17</v>
      </c>
    </row>
    <row r="6" spans="1:39" x14ac:dyDescent="0.3">
      <c r="A6" s="2" t="s">
        <v>203</v>
      </c>
      <c r="B6" s="32"/>
      <c r="C6" s="32"/>
      <c r="D6" s="32"/>
      <c r="E6" s="32"/>
      <c r="F6" s="32"/>
      <c r="G6" s="32"/>
      <c r="I6" s="2" t="s">
        <v>203</v>
      </c>
      <c r="J6" s="32"/>
      <c r="K6" s="32"/>
      <c r="L6" s="32"/>
      <c r="M6" s="32"/>
      <c r="N6" s="32"/>
      <c r="O6" s="32"/>
      <c r="Q6" s="2" t="s">
        <v>203</v>
      </c>
      <c r="R6" s="50"/>
      <c r="S6" s="50"/>
      <c r="T6" s="50"/>
      <c r="U6" s="50"/>
      <c r="V6" s="50"/>
      <c r="W6" s="50"/>
      <c r="Y6" s="8" t="s">
        <v>165</v>
      </c>
      <c r="Z6" s="12">
        <v>13430.95</v>
      </c>
      <c r="AA6" s="12">
        <v>12235.8</v>
      </c>
      <c r="AB6" s="12">
        <v>14398.04</v>
      </c>
      <c r="AC6" s="12">
        <v>16973.04</v>
      </c>
      <c r="AD6" s="12">
        <v>20423.5</v>
      </c>
      <c r="AE6" s="12">
        <v>23104.01</v>
      </c>
      <c r="AG6" s="2" t="s">
        <v>203</v>
      </c>
      <c r="AH6" s="32"/>
      <c r="AI6" s="32"/>
      <c r="AJ6" s="32"/>
      <c r="AK6" s="32"/>
      <c r="AL6" s="32"/>
      <c r="AM6" s="32"/>
    </row>
    <row r="7" spans="1:39" x14ac:dyDescent="0.3">
      <c r="A7" s="8" t="s">
        <v>204</v>
      </c>
      <c r="B7" s="12">
        <v>4.3899999999999997</v>
      </c>
      <c r="C7" s="12">
        <v>14.27</v>
      </c>
      <c r="D7" s="12">
        <v>-17.39</v>
      </c>
      <c r="E7" s="12">
        <v>-47.78</v>
      </c>
      <c r="F7" s="12">
        <v>161.69</v>
      </c>
      <c r="G7" s="12">
        <v>-141.56</v>
      </c>
      <c r="I7" s="8" t="s">
        <v>159</v>
      </c>
      <c r="J7" s="12">
        <v>258.10000000000002</v>
      </c>
      <c r="K7" s="12">
        <v>283.20999999999998</v>
      </c>
      <c r="L7" s="12">
        <v>161.35</v>
      </c>
      <c r="M7" s="12">
        <v>206.5</v>
      </c>
      <c r="N7" s="12">
        <v>185.29</v>
      </c>
      <c r="O7" s="12">
        <v>255.53</v>
      </c>
      <c r="Q7" s="8" t="s">
        <v>323</v>
      </c>
      <c r="R7" s="12">
        <v>224.75</v>
      </c>
      <c r="S7" s="12">
        <v>203.19</v>
      </c>
      <c r="T7" s="12">
        <v>67.349999999999994</v>
      </c>
      <c r="U7" s="12">
        <v>-15.05</v>
      </c>
      <c r="V7" s="12">
        <v>79.709999999999994</v>
      </c>
      <c r="W7" s="12">
        <v>156.75</v>
      </c>
      <c r="Y7" s="8" t="s">
        <v>184</v>
      </c>
      <c r="Z7" s="12">
        <v>883.25</v>
      </c>
      <c r="AA7" s="12">
        <v>10790.5</v>
      </c>
      <c r="AB7" s="12">
        <v>0</v>
      </c>
      <c r="AC7" s="12">
        <v>0</v>
      </c>
      <c r="AD7" s="12">
        <v>0</v>
      </c>
      <c r="AE7" s="12">
        <v>0</v>
      </c>
      <c r="AG7" s="8" t="s">
        <v>401</v>
      </c>
      <c r="AH7" s="12">
        <v>34.884900000000002</v>
      </c>
      <c r="AI7" s="12">
        <v>0.74</v>
      </c>
      <c r="AJ7" s="12">
        <v>-0.21</v>
      </c>
      <c r="AK7" s="12">
        <v>0</v>
      </c>
      <c r="AL7" s="12">
        <v>0</v>
      </c>
      <c r="AM7" s="12">
        <v>0</v>
      </c>
    </row>
    <row r="8" spans="1:39" x14ac:dyDescent="0.3">
      <c r="A8" s="8" t="s">
        <v>153</v>
      </c>
      <c r="B8" s="12">
        <v>1680.28</v>
      </c>
      <c r="C8" s="12">
        <v>2107.34</v>
      </c>
      <c r="D8" s="12">
        <v>3099.3</v>
      </c>
      <c r="E8" s="12">
        <v>3423.24</v>
      </c>
      <c r="F8" s="12">
        <v>3888.46</v>
      </c>
      <c r="G8" s="12">
        <v>4378.93</v>
      </c>
      <c r="I8" s="8" t="s">
        <v>275</v>
      </c>
      <c r="J8" s="12">
        <v>23.38</v>
      </c>
      <c r="K8" s="12">
        <v>32.21</v>
      </c>
      <c r="L8" s="12">
        <v>19.89</v>
      </c>
      <c r="M8" s="12">
        <v>0</v>
      </c>
      <c r="N8" s="12">
        <v>473.29</v>
      </c>
      <c r="O8" s="12">
        <v>497.27</v>
      </c>
      <c r="Q8" s="8" t="s">
        <v>153</v>
      </c>
      <c r="R8" s="12">
        <v>147.19999999999999</v>
      </c>
      <c r="S8" s="12">
        <v>152.53</v>
      </c>
      <c r="T8" s="12">
        <v>157.86000000000001</v>
      </c>
      <c r="U8" s="12">
        <v>161.47999999999999</v>
      </c>
      <c r="V8" s="12">
        <v>185.36</v>
      </c>
      <c r="W8" s="12">
        <v>183.68</v>
      </c>
      <c r="Y8" s="5" t="s">
        <v>348</v>
      </c>
      <c r="Z8" s="27">
        <f>Z6+Z7</f>
        <v>14314.2</v>
      </c>
      <c r="AA8" s="27">
        <f t="shared" ref="AA8:AE8" si="0">AA6+AA7</f>
        <v>23026.3</v>
      </c>
      <c r="AB8" s="27">
        <f t="shared" si="0"/>
        <v>14398.04</v>
      </c>
      <c r="AC8" s="27">
        <f t="shared" si="0"/>
        <v>16973.04</v>
      </c>
      <c r="AD8" s="27">
        <f t="shared" si="0"/>
        <v>20423.5</v>
      </c>
      <c r="AE8" s="27">
        <f t="shared" si="0"/>
        <v>23104.01</v>
      </c>
      <c r="AG8" s="61" t="s">
        <v>402</v>
      </c>
      <c r="AH8" s="12">
        <v>16.581399999999999</v>
      </c>
      <c r="AI8" s="12">
        <v>36.67</v>
      </c>
      <c r="AJ8" s="12">
        <v>37.07</v>
      </c>
      <c r="AK8" s="12">
        <v>42.32</v>
      </c>
      <c r="AL8" s="12">
        <v>37.78</v>
      </c>
      <c r="AM8" s="12">
        <v>47.09</v>
      </c>
    </row>
    <row r="9" spans="1:39" x14ac:dyDescent="0.3">
      <c r="A9" s="8" t="s">
        <v>205</v>
      </c>
      <c r="B9" s="12">
        <v>-1.84</v>
      </c>
      <c r="C9" s="12">
        <v>-5.38</v>
      </c>
      <c r="D9" s="12">
        <v>-20.47</v>
      </c>
      <c r="E9" s="12">
        <v>-20.85</v>
      </c>
      <c r="F9" s="12">
        <v>-99.12</v>
      </c>
      <c r="G9" s="12">
        <v>-43.52</v>
      </c>
      <c r="I9" s="8" t="s">
        <v>276</v>
      </c>
      <c r="J9" s="12">
        <v>339.64</v>
      </c>
      <c r="K9" s="12">
        <v>373.45</v>
      </c>
      <c r="L9" s="12">
        <v>350.78</v>
      </c>
      <c r="M9" s="12">
        <v>391.75</v>
      </c>
      <c r="N9" s="12">
        <v>518.08000000000004</v>
      </c>
      <c r="O9" s="12">
        <v>576.53</v>
      </c>
      <c r="Q9" s="8" t="s">
        <v>324</v>
      </c>
      <c r="R9" s="12">
        <v>-0.06</v>
      </c>
      <c r="S9" s="12">
        <v>-8.34</v>
      </c>
      <c r="T9" s="12">
        <v>-0.98</v>
      </c>
      <c r="U9" s="12">
        <v>-4.46</v>
      </c>
      <c r="V9" s="12">
        <v>-3.26</v>
      </c>
      <c r="W9" s="12">
        <v>-8.56</v>
      </c>
      <c r="Y9" s="23" t="s">
        <v>203</v>
      </c>
      <c r="Z9" s="28"/>
      <c r="AA9" s="28"/>
      <c r="AB9" s="28"/>
      <c r="AC9" s="28"/>
      <c r="AD9" s="28"/>
      <c r="AE9" s="28"/>
      <c r="AG9" s="61" t="s">
        <v>403</v>
      </c>
      <c r="AH9" s="12">
        <v>3.9100999999999999</v>
      </c>
      <c r="AI9" s="12">
        <v>-68.72</v>
      </c>
      <c r="AJ9" s="12">
        <v>-103.52</v>
      </c>
      <c r="AK9" s="12">
        <v>-80.11</v>
      </c>
      <c r="AL9" s="12">
        <v>-104.94</v>
      </c>
      <c r="AM9" s="12">
        <f>0.05+0.57-0.27+24.75-25.05+0.68+0.04</f>
        <v>0.77000000000000079</v>
      </c>
    </row>
    <row r="10" spans="1:39" x14ac:dyDescent="0.3">
      <c r="A10" s="8" t="s">
        <v>206</v>
      </c>
      <c r="B10" s="12">
        <v>19.8</v>
      </c>
      <c r="C10" s="12">
        <v>4.2</v>
      </c>
      <c r="D10" s="12">
        <v>8.6199999999999992</v>
      </c>
      <c r="E10" s="12">
        <v>8.3800000000000008</v>
      </c>
      <c r="F10" s="12">
        <v>5.27</v>
      </c>
      <c r="G10" s="12">
        <v>7.12</v>
      </c>
      <c r="I10" s="8" t="s">
        <v>127</v>
      </c>
      <c r="J10" s="12">
        <v>520.89</v>
      </c>
      <c r="K10" s="12">
        <v>435.73</v>
      </c>
      <c r="L10" s="12">
        <v>396.33</v>
      </c>
      <c r="M10" s="12">
        <v>466.75</v>
      </c>
      <c r="N10" s="12">
        <v>-57.8</v>
      </c>
      <c r="O10" s="12">
        <v>-43.34</v>
      </c>
      <c r="Q10" s="8" t="s">
        <v>325</v>
      </c>
      <c r="R10" s="12">
        <v>0.5</v>
      </c>
      <c r="S10" s="12">
        <v>0.86</v>
      </c>
      <c r="T10" s="12">
        <v>0.67</v>
      </c>
      <c r="U10" s="12">
        <v>0.95</v>
      </c>
      <c r="V10" s="12">
        <v>2.64</v>
      </c>
      <c r="W10" s="12">
        <v>3.32</v>
      </c>
      <c r="Y10" s="8" t="s">
        <v>251</v>
      </c>
      <c r="Z10" s="12">
        <v>-101.6</v>
      </c>
      <c r="AA10" s="12">
        <v>-28.47</v>
      </c>
      <c r="AB10" s="12">
        <v>-4.12</v>
      </c>
      <c r="AC10" s="12">
        <v>-6.28</v>
      </c>
      <c r="AD10" s="12">
        <v>-208.49</v>
      </c>
      <c r="AE10" s="12">
        <v>-117.05</v>
      </c>
      <c r="AG10" s="61" t="s">
        <v>404</v>
      </c>
      <c r="AH10" s="12">
        <v>1.5859000000000001</v>
      </c>
      <c r="AI10" s="12">
        <v>3.01</v>
      </c>
      <c r="AJ10" s="12">
        <v>3.16</v>
      </c>
      <c r="AK10" s="12">
        <v>3.1</v>
      </c>
      <c r="AL10" s="12">
        <v>4.0199999999999996</v>
      </c>
      <c r="AM10" s="12">
        <v>4.25</v>
      </c>
    </row>
    <row r="11" spans="1:39" x14ac:dyDescent="0.3">
      <c r="A11" s="8" t="s">
        <v>207</v>
      </c>
      <c r="B11" s="12">
        <v>-71.8</v>
      </c>
      <c r="C11" s="12">
        <v>-65.62</v>
      </c>
      <c r="D11" s="12">
        <v>-65.63</v>
      </c>
      <c r="E11" s="12">
        <v>-69.569999999999993</v>
      </c>
      <c r="F11" s="12">
        <v>-75.37</v>
      </c>
      <c r="G11" s="12">
        <v>-82.61</v>
      </c>
      <c r="I11" s="8" t="s">
        <v>277</v>
      </c>
      <c r="J11" s="12">
        <v>6.89</v>
      </c>
      <c r="K11" s="12">
        <v>0</v>
      </c>
      <c r="L11" s="12">
        <v>37.71</v>
      </c>
      <c r="M11" s="12">
        <v>18.22</v>
      </c>
      <c r="N11" s="12">
        <v>2.13</v>
      </c>
      <c r="O11" s="12">
        <v>-8.92</v>
      </c>
      <c r="Q11" s="8" t="s">
        <v>127</v>
      </c>
      <c r="R11" s="12">
        <v>307.98</v>
      </c>
      <c r="S11" s="12">
        <v>262.69</v>
      </c>
      <c r="T11" s="12">
        <v>316</v>
      </c>
      <c r="U11" s="12">
        <v>538.59</v>
      </c>
      <c r="V11" s="12">
        <v>655.13</v>
      </c>
      <c r="W11" s="12">
        <v>663.59</v>
      </c>
      <c r="Y11" s="8" t="s">
        <v>349</v>
      </c>
      <c r="Z11" s="12">
        <v>2462.27</v>
      </c>
      <c r="AA11" s="12">
        <v>2904.21</v>
      </c>
      <c r="AB11" s="12">
        <v>2947.95</v>
      </c>
      <c r="AC11" s="12">
        <v>3502.25</v>
      </c>
      <c r="AD11" s="12">
        <v>3682.33</v>
      </c>
      <c r="AE11" s="12">
        <v>4121.18</v>
      </c>
      <c r="AG11" s="61" t="s">
        <v>405</v>
      </c>
      <c r="AH11" s="12">
        <v>8.3178000000000001</v>
      </c>
      <c r="AI11" s="12">
        <v>1.1399999999999999</v>
      </c>
      <c r="AJ11" s="12">
        <v>0.3</v>
      </c>
      <c r="AK11" s="12">
        <v>0.09</v>
      </c>
      <c r="AL11" s="12">
        <v>-2.0299999999999998</v>
      </c>
      <c r="AM11" s="12">
        <v>0.02</v>
      </c>
    </row>
    <row r="12" spans="1:39" x14ac:dyDescent="0.3">
      <c r="A12" s="8" t="s">
        <v>208</v>
      </c>
      <c r="B12" s="12">
        <v>-1.52</v>
      </c>
      <c r="C12" s="12">
        <v>-2.71</v>
      </c>
      <c r="D12" s="12">
        <v>-4.38</v>
      </c>
      <c r="E12" s="12">
        <v>-6.53</v>
      </c>
      <c r="F12" s="12">
        <v>-8.5399999999999991</v>
      </c>
      <c r="G12" s="12">
        <v>0</v>
      </c>
      <c r="I12" s="8" t="s">
        <v>278</v>
      </c>
      <c r="J12" s="12">
        <v>-12.3</v>
      </c>
      <c r="K12" s="12">
        <v>-209.64</v>
      </c>
      <c r="L12" s="12">
        <v>-262.41000000000003</v>
      </c>
      <c r="M12" s="12">
        <v>0</v>
      </c>
      <c r="N12" s="12">
        <v>-0.93</v>
      </c>
      <c r="O12" s="12">
        <v>-0.23</v>
      </c>
      <c r="Q12" s="8" t="s">
        <v>214</v>
      </c>
      <c r="R12" s="12">
        <v>-3.27</v>
      </c>
      <c r="S12" s="12">
        <v>-4.74</v>
      </c>
      <c r="T12" s="12">
        <v>-10.56</v>
      </c>
      <c r="U12" s="12">
        <v>-23.2</v>
      </c>
      <c r="V12" s="12">
        <v>-45.32</v>
      </c>
      <c r="W12" s="12">
        <v>-55.24</v>
      </c>
      <c r="Y12" s="8" t="s">
        <v>350</v>
      </c>
      <c r="Z12" s="12">
        <v>5.69</v>
      </c>
      <c r="AA12" s="12">
        <v>-75.47</v>
      </c>
      <c r="AB12" s="12">
        <v>-108.09</v>
      </c>
      <c r="AC12" s="12">
        <v>-1.83</v>
      </c>
      <c r="AD12" s="12">
        <v>-20.53</v>
      </c>
      <c r="AE12" s="12">
        <v>-5.91</v>
      </c>
      <c r="AG12" s="61" t="s">
        <v>406</v>
      </c>
      <c r="AH12" s="12">
        <v>-4.0000000000000002E-4</v>
      </c>
      <c r="AI12" s="12">
        <v>-50</v>
      </c>
      <c r="AJ12" s="12">
        <v>0</v>
      </c>
      <c r="AK12" s="12">
        <v>18.22</v>
      </c>
      <c r="AL12" s="12">
        <v>-14.5</v>
      </c>
      <c r="AM12" s="12">
        <v>1.1200000000000001</v>
      </c>
    </row>
    <row r="13" spans="1:39" x14ac:dyDescent="0.3">
      <c r="A13" s="8" t="s">
        <v>209</v>
      </c>
      <c r="B13" s="12">
        <v>-12.48</v>
      </c>
      <c r="C13" s="12">
        <v>-12.95</v>
      </c>
      <c r="D13" s="12">
        <v>-14.23</v>
      </c>
      <c r="E13" s="12">
        <v>-16.34</v>
      </c>
      <c r="F13" s="12">
        <v>-20.61</v>
      </c>
      <c r="G13" s="12">
        <v>-23.82</v>
      </c>
      <c r="I13" s="8" t="s">
        <v>215</v>
      </c>
      <c r="J13" s="12">
        <v>-7.0000000000000007E-2</v>
      </c>
      <c r="K13" s="12">
        <v>-16.32</v>
      </c>
      <c r="L13" s="12">
        <v>-0.1</v>
      </c>
      <c r="M13" s="12">
        <v>-0.08</v>
      </c>
      <c r="N13" s="12">
        <v>81.7</v>
      </c>
      <c r="O13" s="12">
        <v>32.840000000000003</v>
      </c>
      <c r="Q13" s="8" t="s">
        <v>326</v>
      </c>
      <c r="R13" s="12">
        <v>27.6</v>
      </c>
      <c r="S13" s="12">
        <v>42.43</v>
      </c>
      <c r="T13" s="12">
        <v>-10.68</v>
      </c>
      <c r="U13" s="12">
        <v>17.66</v>
      </c>
      <c r="V13" s="12">
        <v>2.17</v>
      </c>
      <c r="W13" s="12">
        <v>46.97</v>
      </c>
      <c r="Y13" s="8" t="s">
        <v>351</v>
      </c>
      <c r="Z13" s="12">
        <v>-88.14</v>
      </c>
      <c r="AA13" s="12">
        <v>74.98</v>
      </c>
      <c r="AB13" s="12">
        <v>-41.25</v>
      </c>
      <c r="AC13" s="12">
        <v>-66.92</v>
      </c>
      <c r="AD13" s="12">
        <v>-2.37</v>
      </c>
      <c r="AE13" s="12">
        <v>-2.17</v>
      </c>
      <c r="AG13" s="61" t="s">
        <v>407</v>
      </c>
      <c r="AH13" s="12">
        <v>-214.56829999999999</v>
      </c>
      <c r="AI13" s="12">
        <v>429.87</v>
      </c>
      <c r="AJ13" s="12">
        <v>529.72</v>
      </c>
      <c r="AK13" s="12">
        <f>0.78+0.13+529.48</f>
        <v>530.39</v>
      </c>
      <c r="AL13" s="12">
        <f>-0.23-9.24-25.81+503.95</f>
        <v>468.66999999999996</v>
      </c>
      <c r="AM13" s="12">
        <v>457.82</v>
      </c>
    </row>
    <row r="14" spans="1:39" x14ac:dyDescent="0.3">
      <c r="A14" s="8" t="s">
        <v>176</v>
      </c>
      <c r="B14" s="12">
        <v>1950.64</v>
      </c>
      <c r="C14" s="12">
        <v>2129.16</v>
      </c>
      <c r="D14" s="12">
        <v>2559.61</v>
      </c>
      <c r="E14" s="12">
        <v>2593.62</v>
      </c>
      <c r="F14" s="12">
        <v>2784.41</v>
      </c>
      <c r="G14" s="12">
        <v>2778</v>
      </c>
      <c r="I14" s="8" t="s">
        <v>214</v>
      </c>
      <c r="J14" s="12">
        <v>-36.22</v>
      </c>
      <c r="K14" s="12">
        <v>-30.13</v>
      </c>
      <c r="L14" s="12">
        <v>-35.28</v>
      </c>
      <c r="M14" s="12">
        <v>-34.049999999999997</v>
      </c>
      <c r="N14" s="12">
        <v>0.03</v>
      </c>
      <c r="O14" s="12">
        <v>0</v>
      </c>
      <c r="Q14" s="8" t="s">
        <v>137</v>
      </c>
      <c r="R14" s="12">
        <v>26.8</v>
      </c>
      <c r="S14" s="12">
        <v>41.38</v>
      </c>
      <c r="T14" s="12">
        <v>43.64</v>
      </c>
      <c r="U14" s="12">
        <v>0</v>
      </c>
      <c r="V14" s="12">
        <v>90.91</v>
      </c>
      <c r="W14" s="12">
        <v>216.7</v>
      </c>
      <c r="Y14" s="8" t="s">
        <v>127</v>
      </c>
      <c r="Z14" s="12">
        <v>0</v>
      </c>
      <c r="AA14" s="12">
        <v>-14.55</v>
      </c>
      <c r="AB14" s="12">
        <v>0</v>
      </c>
      <c r="AC14" s="12">
        <v>0</v>
      </c>
      <c r="AD14" s="12">
        <v>0</v>
      </c>
      <c r="AE14" s="12">
        <v>0</v>
      </c>
      <c r="AG14" s="61" t="s">
        <v>408</v>
      </c>
      <c r="AH14" s="12">
        <v>-0.70840000000000003</v>
      </c>
      <c r="AI14" s="12">
        <v>-652.33000000000004</v>
      </c>
      <c r="AJ14" s="12">
        <v>-763.47</v>
      </c>
      <c r="AK14" s="12">
        <v>-956.39</v>
      </c>
      <c r="AL14" s="12">
        <v>-1066.75</v>
      </c>
      <c r="AM14" s="12">
        <v>-874.53</v>
      </c>
    </row>
    <row r="15" spans="1:39" x14ac:dyDescent="0.3">
      <c r="A15" s="8" t="s">
        <v>210</v>
      </c>
      <c r="B15" s="12">
        <v>1709.73</v>
      </c>
      <c r="C15" s="12">
        <v>-729.14</v>
      </c>
      <c r="D15" s="12">
        <v>917.91</v>
      </c>
      <c r="E15" s="12">
        <v>2527.7600000000002</v>
      </c>
      <c r="F15" s="12">
        <v>328.79</v>
      </c>
      <c r="G15" s="12">
        <v>719.33</v>
      </c>
      <c r="I15" s="8" t="s">
        <v>279</v>
      </c>
      <c r="J15" s="12">
        <v>-0.56000000000000005</v>
      </c>
      <c r="K15" s="12">
        <v>-8.5</v>
      </c>
      <c r="L15" s="12">
        <v>-18.61</v>
      </c>
      <c r="M15" s="12">
        <v>6.65</v>
      </c>
      <c r="N15" s="12">
        <v>42.35</v>
      </c>
      <c r="O15" s="12">
        <v>-13.62</v>
      </c>
      <c r="Q15" s="8" t="s">
        <v>327</v>
      </c>
      <c r="R15" s="12">
        <v>92.11</v>
      </c>
      <c r="S15" s="12">
        <v>2.74</v>
      </c>
      <c r="T15" s="12">
        <v>28.24</v>
      </c>
      <c r="U15" s="12">
        <v>32.799999999999997</v>
      </c>
      <c r="V15" s="12">
        <v>-7.69</v>
      </c>
      <c r="W15" s="12">
        <v>9.7100000000000009</v>
      </c>
      <c r="Y15" s="8" t="s">
        <v>214</v>
      </c>
      <c r="Z15" s="12">
        <v>2796.66</v>
      </c>
      <c r="AA15" s="12">
        <v>3913.44</v>
      </c>
      <c r="AB15" s="12">
        <v>3125.7</v>
      </c>
      <c r="AC15" s="12">
        <v>3207.16</v>
      </c>
      <c r="AD15" s="12">
        <v>3545.85</v>
      </c>
      <c r="AE15" s="12">
        <v>3334.37</v>
      </c>
      <c r="AG15" s="61" t="s">
        <v>409</v>
      </c>
      <c r="AH15" s="12">
        <v>2.4140999999999999</v>
      </c>
      <c r="AI15" s="12">
        <f>-7.83+0.04</f>
        <v>-7.79</v>
      </c>
      <c r="AJ15" s="12">
        <f>0.03-3.04</f>
        <v>-3.0100000000000002</v>
      </c>
      <c r="AK15" s="12">
        <v>0</v>
      </c>
      <c r="AL15" s="12">
        <f>-0.19+1.4</f>
        <v>1.21</v>
      </c>
      <c r="AM15" s="12">
        <v>0</v>
      </c>
    </row>
    <row r="16" spans="1:39" x14ac:dyDescent="0.3">
      <c r="A16" s="8" t="s">
        <v>211</v>
      </c>
      <c r="B16" s="12">
        <v>-480.57</v>
      </c>
      <c r="C16" s="12">
        <v>0</v>
      </c>
      <c r="D16" s="12">
        <v>-15.69</v>
      </c>
      <c r="E16" s="12">
        <v>-230.98</v>
      </c>
      <c r="F16" s="12">
        <v>-51.47</v>
      </c>
      <c r="G16" s="12">
        <v>-246.18</v>
      </c>
      <c r="I16" s="8" t="s">
        <v>280</v>
      </c>
      <c r="J16" s="12">
        <v>7.68</v>
      </c>
      <c r="K16" s="12">
        <v>8.74</v>
      </c>
      <c r="L16" s="12">
        <v>0.25</v>
      </c>
      <c r="M16" s="12">
        <v>0</v>
      </c>
      <c r="N16" s="12">
        <v>-0.23</v>
      </c>
      <c r="O16" s="12">
        <v>-0.17</v>
      </c>
      <c r="Q16" s="8" t="s">
        <v>328</v>
      </c>
      <c r="R16" s="12">
        <v>-85.39</v>
      </c>
      <c r="S16" s="12">
        <v>32.72</v>
      </c>
      <c r="T16" s="12">
        <v>-12.36</v>
      </c>
      <c r="U16" s="12">
        <v>15.38</v>
      </c>
      <c r="V16" s="12">
        <v>47.02</v>
      </c>
      <c r="W16" s="12">
        <v>-2.09</v>
      </c>
      <c r="Y16" s="8" t="s">
        <v>352</v>
      </c>
      <c r="Z16" s="12">
        <v>-829.78</v>
      </c>
      <c r="AA16" s="12">
        <v>-1377.66</v>
      </c>
      <c r="AB16" s="12">
        <v>-1053.6500000000001</v>
      </c>
      <c r="AC16" s="12">
        <v>-1817.47</v>
      </c>
      <c r="AD16" s="12">
        <v>-2447.0700000000002</v>
      </c>
      <c r="AE16" s="12">
        <v>-2449.87</v>
      </c>
      <c r="AG16" s="62" t="s">
        <v>410</v>
      </c>
      <c r="AH16" s="27">
        <f>SUM(AH5,AH7:AH15)</f>
        <v>806.7337</v>
      </c>
      <c r="AI16" s="27">
        <f t="shared" ref="AI16:AL16" si="1">SUM(AI5,AI7:AI15)</f>
        <v>899.30000000000007</v>
      </c>
      <c r="AJ16" s="27">
        <f t="shared" si="1"/>
        <v>1202.21</v>
      </c>
      <c r="AK16" s="27">
        <f t="shared" si="1"/>
        <v>1276.9000000000001</v>
      </c>
      <c r="AL16" s="27">
        <f t="shared" si="1"/>
        <v>1377.37</v>
      </c>
      <c r="AM16" s="27">
        <f>SUM(AM5,AM7:AM15)</f>
        <v>1186.7099999999998</v>
      </c>
    </row>
    <row r="17" spans="1:39" x14ac:dyDescent="0.3">
      <c r="A17" s="8" t="s">
        <v>212</v>
      </c>
      <c r="B17" s="12">
        <v>-137.5</v>
      </c>
      <c r="C17" s="12">
        <v>126.13</v>
      </c>
      <c r="D17" s="12">
        <v>12.53</v>
      </c>
      <c r="E17" s="12">
        <v>-7.49</v>
      </c>
      <c r="F17" s="12">
        <v>-5.31</v>
      </c>
      <c r="G17" s="12">
        <v>-2.27</v>
      </c>
      <c r="I17" s="8" t="s">
        <v>281</v>
      </c>
      <c r="J17" s="12">
        <v>-1.51</v>
      </c>
      <c r="K17" s="12">
        <v>-4.4000000000000004</v>
      </c>
      <c r="L17" s="12">
        <v>-21.67</v>
      </c>
      <c r="M17" s="12">
        <v>-0.56999999999999995</v>
      </c>
      <c r="N17" s="12">
        <v>0</v>
      </c>
      <c r="O17" s="12">
        <v>0</v>
      </c>
      <c r="Q17" s="8" t="s">
        <v>329</v>
      </c>
      <c r="R17" s="12">
        <v>0</v>
      </c>
      <c r="S17" s="12">
        <v>0</v>
      </c>
      <c r="T17" s="12">
        <v>16.59</v>
      </c>
      <c r="U17" s="12">
        <v>-46.44</v>
      </c>
      <c r="V17" s="12">
        <v>0</v>
      </c>
      <c r="W17" s="12">
        <v>0</v>
      </c>
      <c r="Y17" s="8" t="s">
        <v>353</v>
      </c>
      <c r="Z17" s="12">
        <v>33.28</v>
      </c>
      <c r="AA17" s="12">
        <v>-528.80999999999995</v>
      </c>
      <c r="AB17" s="12">
        <v>-17.600000000000001</v>
      </c>
      <c r="AC17" s="12">
        <v>-167.65</v>
      </c>
      <c r="AD17" s="12">
        <v>-95.44</v>
      </c>
      <c r="AE17" s="12">
        <v>-187.64</v>
      </c>
      <c r="AG17" s="23" t="s">
        <v>203</v>
      </c>
      <c r="AH17" s="29"/>
      <c r="AI17" s="29"/>
      <c r="AJ17" s="29"/>
      <c r="AK17" s="29"/>
      <c r="AL17" s="29"/>
      <c r="AM17" s="29"/>
    </row>
    <row r="18" spans="1:39" x14ac:dyDescent="0.3">
      <c r="A18" s="8" t="s">
        <v>213</v>
      </c>
      <c r="B18" s="12">
        <v>19.47</v>
      </c>
      <c r="C18" s="12">
        <v>25</v>
      </c>
      <c r="D18" s="12">
        <v>41.25</v>
      </c>
      <c r="E18" s="12">
        <v>1</v>
      </c>
      <c r="F18" s="12">
        <v>-860.19</v>
      </c>
      <c r="G18" s="12">
        <v>-687.98</v>
      </c>
      <c r="I18" s="8" t="s">
        <v>282</v>
      </c>
      <c r="J18" s="12">
        <v>76.89</v>
      </c>
      <c r="K18" s="12">
        <v>26.77</v>
      </c>
      <c r="L18" s="12">
        <v>39.26</v>
      </c>
      <c r="M18" s="12">
        <v>-10.27</v>
      </c>
      <c r="N18" s="12">
        <v>0</v>
      </c>
      <c r="O18" s="12">
        <v>0</v>
      </c>
      <c r="Q18" s="5" t="s">
        <v>222</v>
      </c>
      <c r="R18" s="27">
        <f>SUM(R5,R7:R17)</f>
        <v>1303.7399999999998</v>
      </c>
      <c r="S18" s="27">
        <f t="shared" ref="S18:W18" si="2">SUM(S5,S7:S17)</f>
        <v>1278.1800000000003</v>
      </c>
      <c r="T18" s="27">
        <f t="shared" si="2"/>
        <v>927.85</v>
      </c>
      <c r="U18" s="27">
        <f t="shared" si="2"/>
        <v>853.73999999999978</v>
      </c>
      <c r="V18" s="27">
        <f t="shared" si="2"/>
        <v>1353.45</v>
      </c>
      <c r="W18" s="27">
        <f t="shared" si="2"/>
        <v>1785.5700000000004</v>
      </c>
      <c r="Y18" s="8" t="s">
        <v>354</v>
      </c>
      <c r="Z18" s="12">
        <v>-733.84</v>
      </c>
      <c r="AA18" s="12">
        <v>-1118.77</v>
      </c>
      <c r="AB18" s="12">
        <v>-440.14</v>
      </c>
      <c r="AC18" s="12">
        <v>-52.87</v>
      </c>
      <c r="AD18" s="12">
        <v>-734.2</v>
      </c>
      <c r="AE18" s="12">
        <v>-1133.1199999999999</v>
      </c>
      <c r="AG18" s="61" t="s">
        <v>411</v>
      </c>
      <c r="AH18" s="12">
        <v>-196.7422</v>
      </c>
      <c r="AI18" s="12">
        <v>-145.08000000000001</v>
      </c>
      <c r="AJ18" s="12">
        <v>41.66</v>
      </c>
      <c r="AK18" s="12">
        <v>-31.91</v>
      </c>
      <c r="AL18" s="12">
        <v>-108.08</v>
      </c>
      <c r="AM18" s="12">
        <v>-383.03</v>
      </c>
    </row>
    <row r="19" spans="1:39" x14ac:dyDescent="0.3">
      <c r="A19" s="8" t="s">
        <v>214</v>
      </c>
      <c r="B19" s="12">
        <v>-1669.74</v>
      </c>
      <c r="C19" s="12">
        <v>-1758.17</v>
      </c>
      <c r="D19" s="12">
        <v>-1940.71</v>
      </c>
      <c r="E19" s="12">
        <v>-1246.28</v>
      </c>
      <c r="F19" s="12">
        <v>-209.51</v>
      </c>
      <c r="G19" s="12">
        <v>-251.87</v>
      </c>
      <c r="I19" s="8" t="s">
        <v>283</v>
      </c>
      <c r="J19" s="12">
        <v>0.27</v>
      </c>
      <c r="K19" s="12">
        <v>0.86</v>
      </c>
      <c r="L19" s="12">
        <v>95.26</v>
      </c>
      <c r="M19" s="12">
        <v>2.81</v>
      </c>
      <c r="N19" s="12">
        <v>0</v>
      </c>
      <c r="O19" s="12">
        <v>0</v>
      </c>
      <c r="Q19" s="2" t="s">
        <v>203</v>
      </c>
      <c r="R19" s="50"/>
      <c r="S19" s="50"/>
      <c r="T19" s="50"/>
      <c r="U19" s="50"/>
      <c r="V19" s="50"/>
      <c r="W19" s="50"/>
      <c r="Y19" s="8" t="s">
        <v>355</v>
      </c>
      <c r="Z19" s="12">
        <v>0</v>
      </c>
      <c r="AA19" s="12">
        <v>-10707.92</v>
      </c>
      <c r="AB19" s="12">
        <v>0</v>
      </c>
      <c r="AC19" s="12">
        <v>0</v>
      </c>
      <c r="AD19" s="12">
        <v>0</v>
      </c>
      <c r="AE19" s="12">
        <v>0</v>
      </c>
      <c r="AG19" s="8" t="s">
        <v>112</v>
      </c>
      <c r="AH19" s="12">
        <v>155.81030000000001</v>
      </c>
      <c r="AI19" s="12">
        <v>123.19</v>
      </c>
      <c r="AJ19" s="12">
        <v>-563.92999999999995</v>
      </c>
      <c r="AK19" s="12">
        <v>-3137.49</v>
      </c>
      <c r="AL19" s="12">
        <v>472.01</v>
      </c>
      <c r="AM19" s="12">
        <v>499.51</v>
      </c>
    </row>
    <row r="20" spans="1:39" x14ac:dyDescent="0.3">
      <c r="A20" s="8" t="s">
        <v>215</v>
      </c>
      <c r="B20" s="12">
        <v>-8</v>
      </c>
      <c r="C20" s="12">
        <v>-7.01</v>
      </c>
      <c r="D20" s="12">
        <v>-4.01</v>
      </c>
      <c r="E20" s="12">
        <v>-0.35</v>
      </c>
      <c r="F20" s="12">
        <v>-19.41</v>
      </c>
      <c r="G20" s="12">
        <v>-20.52</v>
      </c>
      <c r="I20" s="8" t="s">
        <v>284</v>
      </c>
      <c r="J20" s="12">
        <v>-95.14</v>
      </c>
      <c r="K20" s="12">
        <v>50.78</v>
      </c>
      <c r="L20" s="12">
        <f>0.68-29.27</f>
        <v>-28.59</v>
      </c>
      <c r="M20" s="12">
        <f>0.05-9.76</f>
        <v>-9.7099999999999991</v>
      </c>
      <c r="N20" s="12">
        <v>0</v>
      </c>
      <c r="O20" s="12">
        <v>0</v>
      </c>
      <c r="Q20" s="8" t="s">
        <v>30</v>
      </c>
      <c r="R20" s="12">
        <v>-134.81</v>
      </c>
      <c r="S20" s="12">
        <v>-66.38</v>
      </c>
      <c r="T20" s="12">
        <v>-213.09</v>
      </c>
      <c r="U20" s="12">
        <v>-46.8</v>
      </c>
      <c r="V20" s="12">
        <v>-71.900000000000006</v>
      </c>
      <c r="W20" s="12">
        <v>72.849999999999994</v>
      </c>
      <c r="Y20" s="8" t="s">
        <v>356</v>
      </c>
      <c r="Z20" s="12">
        <v>-13.19</v>
      </c>
      <c r="AA20" s="12">
        <v>0</v>
      </c>
      <c r="AB20" s="12">
        <v>0</v>
      </c>
      <c r="AC20" s="12">
        <v>0</v>
      </c>
      <c r="AD20" s="12">
        <v>0</v>
      </c>
      <c r="AE20" s="12">
        <v>0</v>
      </c>
      <c r="AG20" s="8" t="s">
        <v>412</v>
      </c>
      <c r="AH20" s="12">
        <v>-3.0985999999999998</v>
      </c>
      <c r="AI20" s="12">
        <v>35.46</v>
      </c>
      <c r="AJ20" s="12">
        <v>-49.67</v>
      </c>
      <c r="AK20" s="12">
        <v>-97.33</v>
      </c>
      <c r="AL20" s="12">
        <v>-94.71</v>
      </c>
      <c r="AM20" s="12">
        <v>-27.51</v>
      </c>
    </row>
    <row r="21" spans="1:39" x14ac:dyDescent="0.3">
      <c r="A21" s="8" t="s">
        <v>216</v>
      </c>
      <c r="B21" s="12">
        <v>-48.7</v>
      </c>
      <c r="C21" s="12">
        <v>-12.39</v>
      </c>
      <c r="D21" s="12">
        <v>-5.41</v>
      </c>
      <c r="E21" s="12">
        <v>-20.71</v>
      </c>
      <c r="F21" s="12">
        <v>373.7</v>
      </c>
      <c r="G21" s="12">
        <v>249.46</v>
      </c>
      <c r="I21" s="8" t="s">
        <v>285</v>
      </c>
      <c r="J21" s="12">
        <v>0.19</v>
      </c>
      <c r="K21" s="12">
        <v>-0.27</v>
      </c>
      <c r="L21" s="12">
        <v>-0.3</v>
      </c>
      <c r="M21" s="12">
        <v>-0.14000000000000001</v>
      </c>
      <c r="N21" s="12">
        <v>0</v>
      </c>
      <c r="O21" s="12">
        <v>0</v>
      </c>
      <c r="Q21" s="8" t="s">
        <v>330</v>
      </c>
      <c r="R21" s="12">
        <v>-475.64</v>
      </c>
      <c r="S21" s="12">
        <v>-324.10000000000002</v>
      </c>
      <c r="T21" s="12">
        <v>8.3000000000000007</v>
      </c>
      <c r="U21" s="12">
        <v>-1602.52</v>
      </c>
      <c r="V21" s="12">
        <v>144.68</v>
      </c>
      <c r="W21" s="12">
        <v>-992.62</v>
      </c>
      <c r="Y21" s="8" t="s">
        <v>357</v>
      </c>
      <c r="Z21" s="12">
        <v>190.84</v>
      </c>
      <c r="AA21" s="12">
        <v>137.66999999999999</v>
      </c>
      <c r="AB21" s="12">
        <v>135.31</v>
      </c>
      <c r="AC21" s="12">
        <v>249.51</v>
      </c>
      <c r="AD21" s="12">
        <v>297.63</v>
      </c>
      <c r="AE21" s="12">
        <v>222.6</v>
      </c>
      <c r="AG21" s="8" t="s">
        <v>114</v>
      </c>
      <c r="AH21" s="12">
        <v>-4.7016999999999998</v>
      </c>
      <c r="AI21" s="12">
        <v>-14.31</v>
      </c>
      <c r="AJ21" s="12">
        <v>-44.44</v>
      </c>
      <c r="AK21" s="12">
        <v>-9.02</v>
      </c>
      <c r="AL21" s="12">
        <v>-5.79</v>
      </c>
      <c r="AM21" s="12">
        <v>64.72</v>
      </c>
    </row>
    <row r="22" spans="1:39" x14ac:dyDescent="0.3">
      <c r="A22" s="8" t="s">
        <v>217</v>
      </c>
      <c r="B22" s="12">
        <v>0</v>
      </c>
      <c r="C22" s="12">
        <v>-92.28</v>
      </c>
      <c r="D22" s="12">
        <v>405.19</v>
      </c>
      <c r="E22" s="12">
        <v>1273.3800000000001</v>
      </c>
      <c r="F22" s="12">
        <v>0</v>
      </c>
      <c r="G22" s="12">
        <v>-603.27</v>
      </c>
      <c r="I22" s="5" t="s">
        <v>222</v>
      </c>
      <c r="J22" s="27">
        <f>SUM(J5,J7:J21)</f>
        <v>1477.7200000000003</v>
      </c>
      <c r="K22" s="27">
        <f t="shared" ref="K22:O22" si="3">SUM(K5,K7:K21)</f>
        <v>1604.5299999999997</v>
      </c>
      <c r="L22" s="27">
        <f t="shared" si="3"/>
        <v>1268.93</v>
      </c>
      <c r="M22" s="27">
        <f t="shared" si="3"/>
        <v>1472.88</v>
      </c>
      <c r="N22" s="27">
        <f t="shared" si="3"/>
        <v>1759.81</v>
      </c>
      <c r="O22" s="27">
        <f t="shared" si="3"/>
        <v>1863.1599999999999</v>
      </c>
      <c r="Q22" s="8" t="s">
        <v>25</v>
      </c>
      <c r="R22" s="12">
        <v>-71.180000000000007</v>
      </c>
      <c r="S22" s="12">
        <v>0.36</v>
      </c>
      <c r="T22" s="12">
        <v>39.22</v>
      </c>
      <c r="U22" s="12">
        <v>-86.09</v>
      </c>
      <c r="V22" s="12">
        <v>60.14</v>
      </c>
      <c r="W22" s="12">
        <v>-23.42</v>
      </c>
      <c r="Y22" s="8" t="s">
        <v>358</v>
      </c>
      <c r="Z22" s="12">
        <v>49.44</v>
      </c>
      <c r="AA22" s="12">
        <v>3.13</v>
      </c>
      <c r="AB22" s="12">
        <v>-1.65</v>
      </c>
      <c r="AC22" s="12">
        <v>0</v>
      </c>
      <c r="AD22" s="12">
        <v>-2.65</v>
      </c>
      <c r="AE22" s="12">
        <v>0</v>
      </c>
      <c r="AG22" s="8" t="s">
        <v>413</v>
      </c>
      <c r="AH22" s="12">
        <v>261.17739999999998</v>
      </c>
      <c r="AI22" s="12">
        <v>-216.16</v>
      </c>
      <c r="AJ22" s="12">
        <v>-344.03</v>
      </c>
      <c r="AK22" s="12">
        <v>-711.49</v>
      </c>
      <c r="AL22" s="12">
        <v>-214.54</v>
      </c>
      <c r="AM22" s="12">
        <v>838.75</v>
      </c>
    </row>
    <row r="23" spans="1:39" x14ac:dyDescent="0.3">
      <c r="A23" s="8" t="s">
        <v>218</v>
      </c>
      <c r="B23" s="12">
        <v>58.63</v>
      </c>
      <c r="C23" s="12">
        <v>0</v>
      </c>
      <c r="D23" s="12">
        <v>-59.23</v>
      </c>
      <c r="E23" s="12">
        <v>0</v>
      </c>
      <c r="F23" s="12">
        <v>19.7</v>
      </c>
      <c r="G23" s="12">
        <v>8.61</v>
      </c>
      <c r="I23" s="2" t="s">
        <v>203</v>
      </c>
      <c r="J23" s="50"/>
      <c r="K23" s="50"/>
      <c r="L23" s="50"/>
      <c r="M23" s="50"/>
      <c r="N23" s="50"/>
      <c r="O23" s="50"/>
      <c r="Q23" s="8" t="s">
        <v>96</v>
      </c>
      <c r="R23" s="12">
        <v>-286.14</v>
      </c>
      <c r="S23" s="12">
        <v>-994.49</v>
      </c>
      <c r="T23" s="12">
        <v>-1580.48</v>
      </c>
      <c r="U23" s="12">
        <v>-132.38</v>
      </c>
      <c r="V23" s="12">
        <v>-1645.8</v>
      </c>
      <c r="W23" s="12">
        <v>-2017.72</v>
      </c>
      <c r="Y23" s="8" t="s">
        <v>359</v>
      </c>
      <c r="Z23" s="12">
        <v>84.28</v>
      </c>
      <c r="AA23" s="12">
        <v>0</v>
      </c>
      <c r="AB23" s="12">
        <v>12</v>
      </c>
      <c r="AC23" s="12">
        <v>716.2</v>
      </c>
      <c r="AD23" s="12">
        <v>1055.47</v>
      </c>
      <c r="AE23" s="12">
        <v>148.52000000000001</v>
      </c>
      <c r="AG23" s="8" t="s">
        <v>25</v>
      </c>
      <c r="AH23" s="12">
        <v>-2083.8398000000002</v>
      </c>
      <c r="AI23" s="12">
        <v>1907.07</v>
      </c>
      <c r="AJ23" s="12">
        <v>-252.53</v>
      </c>
      <c r="AK23" s="12">
        <v>1258.0899999999999</v>
      </c>
      <c r="AL23" s="12">
        <v>1425.98</v>
      </c>
      <c r="AM23" s="12">
        <v>-532.75</v>
      </c>
    </row>
    <row r="24" spans="1:39" x14ac:dyDescent="0.3">
      <c r="A24" s="8" t="s">
        <v>219</v>
      </c>
      <c r="B24" s="12">
        <v>0.16</v>
      </c>
      <c r="C24" s="12">
        <v>2.4900000000000002</v>
      </c>
      <c r="D24" s="12">
        <v>1.83</v>
      </c>
      <c r="E24" s="12">
        <v>30.77</v>
      </c>
      <c r="F24" s="12">
        <v>0</v>
      </c>
      <c r="G24" s="12">
        <v>0</v>
      </c>
      <c r="I24" s="8" t="s">
        <v>286</v>
      </c>
      <c r="J24" s="12">
        <v>-695.49</v>
      </c>
      <c r="K24" s="12">
        <v>-615.85</v>
      </c>
      <c r="L24" s="12">
        <v>-950.18</v>
      </c>
      <c r="M24" s="12">
        <v>-2321.71</v>
      </c>
      <c r="N24" s="12">
        <v>-2486.27</v>
      </c>
      <c r="O24" s="12">
        <v>-2338.81</v>
      </c>
      <c r="Q24" s="8" t="s">
        <v>35</v>
      </c>
      <c r="R24" s="12">
        <v>21.74</v>
      </c>
      <c r="S24" s="12">
        <v>147.02000000000001</v>
      </c>
      <c r="T24" s="12">
        <v>-311.58999999999997</v>
      </c>
      <c r="U24" s="12">
        <v>27.65</v>
      </c>
      <c r="V24" s="12">
        <v>-132.72999999999999</v>
      </c>
      <c r="W24" s="12">
        <v>-221.95</v>
      </c>
      <c r="Y24" s="8" t="s">
        <v>360</v>
      </c>
      <c r="Z24" s="12">
        <v>350.59</v>
      </c>
      <c r="AA24" s="12">
        <v>151.26</v>
      </c>
      <c r="AB24" s="12">
        <v>-6.11</v>
      </c>
      <c r="AC24" s="12">
        <v>-10.16</v>
      </c>
      <c r="AD24" s="12">
        <v>-511.73</v>
      </c>
      <c r="AE24" s="12">
        <v>-187.44</v>
      </c>
      <c r="AG24" s="8" t="s">
        <v>414</v>
      </c>
      <c r="AH24" s="12">
        <v>-0.20680000000000001</v>
      </c>
      <c r="AI24" s="12">
        <v>1.25</v>
      </c>
      <c r="AJ24" s="12">
        <v>-0.26</v>
      </c>
      <c r="AK24" s="12">
        <v>0.01</v>
      </c>
      <c r="AL24" s="12">
        <v>-7.0000000000000007E-2</v>
      </c>
      <c r="AM24" s="12">
        <v>299.33</v>
      </c>
    </row>
    <row r="25" spans="1:39" x14ac:dyDescent="0.3">
      <c r="A25" s="8" t="s">
        <v>220</v>
      </c>
      <c r="B25" s="12">
        <v>1.72</v>
      </c>
      <c r="C25" s="12">
        <v>1.72</v>
      </c>
      <c r="D25" s="12">
        <v>1.72</v>
      </c>
      <c r="E25" s="12">
        <v>1.72</v>
      </c>
      <c r="F25" s="12">
        <v>1.72</v>
      </c>
      <c r="G25" s="12">
        <v>2.67</v>
      </c>
      <c r="I25" s="8" t="s">
        <v>30</v>
      </c>
      <c r="J25" s="12">
        <v>-95.31</v>
      </c>
      <c r="K25" s="12">
        <v>137.47</v>
      </c>
      <c r="L25" s="12">
        <v>13.5</v>
      </c>
      <c r="M25" s="12">
        <v>-132.44</v>
      </c>
      <c r="N25" s="12">
        <v>-124.87</v>
      </c>
      <c r="O25" s="12">
        <v>-75.400000000000006</v>
      </c>
      <c r="Q25" s="8" t="s">
        <v>28</v>
      </c>
      <c r="R25" s="12">
        <v>-24.99</v>
      </c>
      <c r="S25" s="12">
        <v>-110.35</v>
      </c>
      <c r="T25" s="12">
        <v>113.91</v>
      </c>
      <c r="U25" s="12">
        <v>-18.86</v>
      </c>
      <c r="V25" s="12">
        <v>-9.3000000000000007</v>
      </c>
      <c r="W25" s="12">
        <v>-6.56</v>
      </c>
      <c r="Y25" s="8" t="s">
        <v>361</v>
      </c>
      <c r="Z25" s="12">
        <f>3.93-1.85</f>
        <v>2.08</v>
      </c>
      <c r="AA25" s="12">
        <f>0.23-15.78</f>
        <v>-15.549999999999999</v>
      </c>
      <c r="AB25" s="12">
        <v>0</v>
      </c>
      <c r="AC25" s="12">
        <v>0</v>
      </c>
      <c r="AD25" s="12">
        <v>-52.27</v>
      </c>
      <c r="AE25" s="12">
        <v>-33.29</v>
      </c>
      <c r="AG25" s="8" t="s">
        <v>35</v>
      </c>
      <c r="AH25" s="12">
        <v>1916.0358000000001</v>
      </c>
      <c r="AI25" s="12">
        <v>-2231.1799999999998</v>
      </c>
      <c r="AJ25" s="12">
        <v>568.87</v>
      </c>
      <c r="AK25" s="12">
        <v>351.03</v>
      </c>
      <c r="AL25" s="12">
        <v>121.65</v>
      </c>
      <c r="AM25" s="12">
        <v>-38.07</v>
      </c>
    </row>
    <row r="26" spans="1:39" x14ac:dyDescent="0.3">
      <c r="A26" s="8" t="s">
        <v>221</v>
      </c>
      <c r="B26" s="12">
        <v>3.86</v>
      </c>
      <c r="C26" s="12">
        <v>3.55</v>
      </c>
      <c r="D26" s="12">
        <v>3.52</v>
      </c>
      <c r="E26" s="12">
        <v>-60.32</v>
      </c>
      <c r="F26" s="12">
        <v>-8.89</v>
      </c>
      <c r="G26" s="12">
        <v>-8.36</v>
      </c>
      <c r="I26" s="8" t="s">
        <v>287</v>
      </c>
      <c r="J26" s="12">
        <v>512.19000000000005</v>
      </c>
      <c r="K26" s="12">
        <v>51.1</v>
      </c>
      <c r="L26" s="12">
        <v>644.87</v>
      </c>
      <c r="M26" s="12">
        <v>1864.6</v>
      </c>
      <c r="N26" s="12">
        <v>1976.58</v>
      </c>
      <c r="O26" s="12">
        <v>1736.91</v>
      </c>
      <c r="Q26" s="8" t="s">
        <v>331</v>
      </c>
      <c r="R26" s="12">
        <v>156.71</v>
      </c>
      <c r="S26" s="12">
        <v>1183.8599999999999</v>
      </c>
      <c r="T26" s="12">
        <v>692.48</v>
      </c>
      <c r="U26" s="12">
        <v>1515.27</v>
      </c>
      <c r="V26" s="12">
        <v>1384.32</v>
      </c>
      <c r="W26" s="12">
        <v>1244.06</v>
      </c>
      <c r="Y26" s="8" t="s">
        <v>362</v>
      </c>
      <c r="Z26" s="12">
        <v>1.33</v>
      </c>
      <c r="AA26" s="12">
        <v>1.1599999999999999</v>
      </c>
      <c r="AB26" s="12">
        <v>0</v>
      </c>
      <c r="AC26" s="12">
        <v>0</v>
      </c>
      <c r="AD26" s="12">
        <v>1.38</v>
      </c>
      <c r="AE26" s="12">
        <v>11.57</v>
      </c>
      <c r="AG26" s="8" t="s">
        <v>331</v>
      </c>
      <c r="AH26" s="12">
        <v>522.04819999999995</v>
      </c>
      <c r="AI26" s="12">
        <v>-427.51</v>
      </c>
      <c r="AJ26" s="12">
        <v>-47.77</v>
      </c>
      <c r="AK26" s="12">
        <v>397.21</v>
      </c>
      <c r="AL26" s="12">
        <v>-370.37</v>
      </c>
      <c r="AM26" s="12">
        <v>91.78</v>
      </c>
    </row>
    <row r="27" spans="1:39" x14ac:dyDescent="0.3">
      <c r="A27" s="5" t="s">
        <v>222</v>
      </c>
      <c r="B27" s="27">
        <f>SUM(B5,B7:B26)</f>
        <v>7260.4500000000007</v>
      </c>
      <c r="C27" s="27">
        <f t="shared" ref="C27:G27" si="4">SUM(C5,C7:C26)</f>
        <v>8020.2200000000012</v>
      </c>
      <c r="D27" s="27">
        <f t="shared" si="4"/>
        <v>10621.470000000005</v>
      </c>
      <c r="E27" s="27">
        <f t="shared" si="4"/>
        <v>13621.800000000001</v>
      </c>
      <c r="F27" s="27">
        <f t="shared" si="4"/>
        <v>16299.049999999997</v>
      </c>
      <c r="G27" s="27">
        <f t="shared" si="4"/>
        <v>19061.78</v>
      </c>
      <c r="I27" s="5" t="s">
        <v>232</v>
      </c>
      <c r="J27" s="27">
        <f>SUM(J22,J24:J26)</f>
        <v>1199.1100000000004</v>
      </c>
      <c r="K27" s="27">
        <f t="shared" ref="K27:O27" si="5">SUM(K22,K24:K26)</f>
        <v>1177.2499999999995</v>
      </c>
      <c r="L27" s="27">
        <f t="shared" si="5"/>
        <v>977.12000000000012</v>
      </c>
      <c r="M27" s="27">
        <f t="shared" si="5"/>
        <v>883.32999999999993</v>
      </c>
      <c r="N27" s="27">
        <f t="shared" si="5"/>
        <v>1125.25</v>
      </c>
      <c r="O27" s="27">
        <f t="shared" si="5"/>
        <v>1185.8600000000001</v>
      </c>
      <c r="Q27" s="8" t="s">
        <v>89</v>
      </c>
      <c r="R27" s="12">
        <v>-56.46</v>
      </c>
      <c r="S27" s="12">
        <v>-122.82</v>
      </c>
      <c r="T27" s="12">
        <v>0.57999999999999996</v>
      </c>
      <c r="U27" s="12">
        <v>88.14</v>
      </c>
      <c r="V27" s="12">
        <v>-576.30999999999995</v>
      </c>
      <c r="W27" s="12">
        <v>-53.52</v>
      </c>
      <c r="Y27" s="5" t="s">
        <v>222</v>
      </c>
      <c r="Z27" s="27">
        <f>SUM(Z8,Z10:Z26)</f>
        <v>18524.11</v>
      </c>
      <c r="AA27" s="27">
        <f t="shared" ref="AA27:AE27" si="6">SUM(AA8,AA10:AA26)</f>
        <v>16344.949999999993</v>
      </c>
      <c r="AB27" s="27">
        <f t="shared" si="6"/>
        <v>18946.39</v>
      </c>
      <c r="AC27" s="27">
        <f t="shared" si="6"/>
        <v>22524.98</v>
      </c>
      <c r="AD27" s="27">
        <f t="shared" si="6"/>
        <v>24931.41</v>
      </c>
      <c r="AE27" s="27">
        <f t="shared" si="6"/>
        <v>26825.760000000002</v>
      </c>
      <c r="AG27" s="8" t="s">
        <v>415</v>
      </c>
      <c r="AH27" s="12">
        <v>234.76499999999999</v>
      </c>
      <c r="AI27" s="12">
        <v>300.33999999999997</v>
      </c>
      <c r="AJ27" s="12">
        <v>840.19</v>
      </c>
      <c r="AK27" s="12">
        <v>181.21</v>
      </c>
      <c r="AL27" s="12">
        <v>-13.69</v>
      </c>
      <c r="AM27" s="12">
        <v>284.08</v>
      </c>
    </row>
    <row r="28" spans="1:39" x14ac:dyDescent="0.3">
      <c r="A28" s="2" t="s">
        <v>223</v>
      </c>
      <c r="B28" s="50"/>
      <c r="C28" s="50"/>
      <c r="D28" s="50"/>
      <c r="E28" s="50"/>
      <c r="F28" s="50"/>
      <c r="G28" s="50"/>
      <c r="I28" s="8" t="s">
        <v>288</v>
      </c>
      <c r="J28" s="12">
        <v>-261.87</v>
      </c>
      <c r="K28" s="12">
        <v>-246.25</v>
      </c>
      <c r="L28" s="12">
        <v>-263.45999999999998</v>
      </c>
      <c r="M28" s="12">
        <v>-226.94</v>
      </c>
      <c r="N28" s="12">
        <v>-282.29000000000002</v>
      </c>
      <c r="O28" s="12">
        <v>-271.91000000000003</v>
      </c>
      <c r="Q28" s="8" t="s">
        <v>99</v>
      </c>
      <c r="R28" s="12">
        <v>-10.11</v>
      </c>
      <c r="S28" s="12">
        <v>55.13</v>
      </c>
      <c r="T28" s="12">
        <v>308.94</v>
      </c>
      <c r="U28" s="12">
        <v>220.87</v>
      </c>
      <c r="V28" s="12">
        <v>83.88</v>
      </c>
      <c r="W28" s="12">
        <v>27.17</v>
      </c>
      <c r="Y28" s="2" t="s">
        <v>203</v>
      </c>
      <c r="Z28" s="50"/>
      <c r="AA28" s="50"/>
      <c r="AB28" s="50"/>
      <c r="AC28" s="50"/>
      <c r="AD28" s="50"/>
      <c r="AE28" s="50"/>
      <c r="AG28" s="8" t="s">
        <v>416</v>
      </c>
      <c r="AH28" s="12">
        <v>20.778700000000001</v>
      </c>
      <c r="AI28" s="12">
        <v>-11.08</v>
      </c>
      <c r="AJ28" s="12">
        <v>-14.23</v>
      </c>
      <c r="AK28" s="12">
        <v>0</v>
      </c>
      <c r="AL28" s="12">
        <v>0</v>
      </c>
      <c r="AM28" s="12">
        <v>-81.33</v>
      </c>
    </row>
    <row r="29" spans="1:39" x14ac:dyDescent="0.3">
      <c r="A29" s="8" t="s">
        <v>224</v>
      </c>
      <c r="B29" s="12">
        <v>-175.66</v>
      </c>
      <c r="C29" s="12">
        <v>295.2</v>
      </c>
      <c r="D29" s="12">
        <v>230.18</v>
      </c>
      <c r="E29" s="12">
        <v>-787.07</v>
      </c>
      <c r="F29" s="12">
        <v>-329.79</v>
      </c>
      <c r="G29" s="12">
        <v>-450.99</v>
      </c>
      <c r="I29" s="5" t="s">
        <v>289</v>
      </c>
      <c r="J29" s="27">
        <f>J27+J28</f>
        <v>937.24000000000035</v>
      </c>
      <c r="K29" s="27">
        <f t="shared" ref="K29:O29" si="7">K27+K28</f>
        <v>930.99999999999955</v>
      </c>
      <c r="L29" s="27">
        <f t="shared" si="7"/>
        <v>713.66000000000008</v>
      </c>
      <c r="M29" s="27">
        <f t="shared" si="7"/>
        <v>656.38999999999987</v>
      </c>
      <c r="N29" s="27">
        <f t="shared" si="7"/>
        <v>842.96</v>
      </c>
      <c r="O29" s="27">
        <f t="shared" si="7"/>
        <v>913.95</v>
      </c>
      <c r="Q29" s="8" t="s">
        <v>87</v>
      </c>
      <c r="R29" s="12">
        <v>13.9</v>
      </c>
      <c r="S29" s="12">
        <v>6.91</v>
      </c>
      <c r="T29" s="12">
        <v>-4.9000000000000004</v>
      </c>
      <c r="U29" s="12">
        <v>-4.76</v>
      </c>
      <c r="V29" s="12">
        <v>-25.79</v>
      </c>
      <c r="W29" s="12">
        <v>444.81</v>
      </c>
      <c r="Y29" s="8" t="s">
        <v>363</v>
      </c>
      <c r="Z29" s="12">
        <v>-11278.12</v>
      </c>
      <c r="AA29" s="12">
        <v>2783.81</v>
      </c>
      <c r="AB29" s="12">
        <v>-9851.7199999999993</v>
      </c>
      <c r="AC29" s="12">
        <v>-4495.26</v>
      </c>
      <c r="AD29" s="12">
        <v>-10642.89</v>
      </c>
      <c r="AE29" s="12">
        <v>-9252.32</v>
      </c>
      <c r="AG29" s="8" t="s">
        <v>417</v>
      </c>
      <c r="AH29" s="12">
        <v>50.909700000000001</v>
      </c>
      <c r="AI29" s="12">
        <v>102.08</v>
      </c>
      <c r="AJ29" s="12">
        <v>-85.35</v>
      </c>
      <c r="AK29" s="12">
        <v>217.5</v>
      </c>
      <c r="AL29" s="12">
        <v>-8.09</v>
      </c>
      <c r="AM29" s="12">
        <v>14.15</v>
      </c>
    </row>
    <row r="30" spans="1:39" x14ac:dyDescent="0.3">
      <c r="A30" s="8" t="s">
        <v>225</v>
      </c>
      <c r="B30" s="12">
        <v>-44.65</v>
      </c>
      <c r="C30" s="12">
        <v>-23.58</v>
      </c>
      <c r="D30" s="12">
        <v>605.42999999999995</v>
      </c>
      <c r="E30" s="12">
        <v>-66.66</v>
      </c>
      <c r="F30" s="12">
        <v>8.09</v>
      </c>
      <c r="G30" s="12">
        <v>-37.35</v>
      </c>
      <c r="I30" s="2" t="s">
        <v>290</v>
      </c>
      <c r="J30" s="50"/>
      <c r="K30" s="50"/>
      <c r="L30" s="50"/>
      <c r="M30" s="50"/>
      <c r="N30" s="50"/>
      <c r="O30" s="50"/>
      <c r="Q30" s="8" t="s">
        <v>51</v>
      </c>
      <c r="R30" s="12">
        <v>0</v>
      </c>
      <c r="S30" s="12">
        <v>0</v>
      </c>
      <c r="T30" s="12">
        <v>21.37</v>
      </c>
      <c r="U30" s="12">
        <v>14.01</v>
      </c>
      <c r="V30" s="12">
        <f>-4.19+2.83</f>
        <v>-1.3600000000000003</v>
      </c>
      <c r="W30" s="12">
        <f>3.9-0.68</f>
        <v>3.2199999999999998</v>
      </c>
      <c r="Y30" s="1" t="s">
        <v>436</v>
      </c>
      <c r="Z30" s="12">
        <v>353.19</v>
      </c>
      <c r="AA30" s="12">
        <v>348.9</v>
      </c>
      <c r="AB30" s="12">
        <v>-74.33</v>
      </c>
      <c r="AC30" s="12">
        <v>-475.75</v>
      </c>
      <c r="AD30" s="12">
        <v>244.68</v>
      </c>
      <c r="AE30" s="12">
        <v>-539.52</v>
      </c>
      <c r="AG30" s="8" t="s">
        <v>89</v>
      </c>
      <c r="AH30" s="12">
        <v>-2522.6487000000002</v>
      </c>
      <c r="AI30" s="12">
        <v>239.62</v>
      </c>
      <c r="AJ30" s="12">
        <v>3841.67</v>
      </c>
      <c r="AK30" s="12">
        <v>-3372.81</v>
      </c>
      <c r="AL30" s="12">
        <v>838.4</v>
      </c>
      <c r="AM30" s="12">
        <v>167.62</v>
      </c>
    </row>
    <row r="31" spans="1:39" x14ac:dyDescent="0.3">
      <c r="A31" s="8" t="s">
        <v>226</v>
      </c>
      <c r="B31" s="12">
        <v>512.55999999999995</v>
      </c>
      <c r="C31" s="12">
        <v>219.36</v>
      </c>
      <c r="D31" s="12">
        <v>-89.15</v>
      </c>
      <c r="E31" s="12">
        <v>-325.52</v>
      </c>
      <c r="F31" s="12">
        <v>436.12</v>
      </c>
      <c r="G31" s="12">
        <v>-94.19</v>
      </c>
      <c r="I31" s="8" t="s">
        <v>291</v>
      </c>
      <c r="J31" s="12">
        <v>-469.77</v>
      </c>
      <c r="K31" s="12">
        <v>-261.14999999999998</v>
      </c>
      <c r="L31" s="12">
        <v>-308.10000000000002</v>
      </c>
      <c r="M31" s="12">
        <v>-771.48</v>
      </c>
      <c r="N31" s="12">
        <v>-351.58</v>
      </c>
      <c r="O31" s="12">
        <v>-574.62</v>
      </c>
      <c r="Q31" s="5" t="s">
        <v>332</v>
      </c>
      <c r="R31" s="27">
        <f>SUM(R18,R20:R30)</f>
        <v>436.75999999999993</v>
      </c>
      <c r="S31" s="27">
        <f t="shared" ref="S31:W31" si="8">SUM(S18,S20:S30)</f>
        <v>1053.3200000000004</v>
      </c>
      <c r="T31" s="27">
        <f t="shared" si="8"/>
        <v>2.590000000000007</v>
      </c>
      <c r="U31" s="27">
        <f t="shared" si="8"/>
        <v>828.26999999999975</v>
      </c>
      <c r="V31" s="27">
        <f t="shared" si="8"/>
        <v>563.2800000000002</v>
      </c>
      <c r="W31" s="27">
        <f t="shared" si="8"/>
        <v>261.89000000000027</v>
      </c>
      <c r="Y31" s="8" t="s">
        <v>364</v>
      </c>
      <c r="Z31" s="12">
        <v>3134.23</v>
      </c>
      <c r="AA31" s="12">
        <v>2219.7800000000002</v>
      </c>
      <c r="AB31" s="12">
        <v>9678.0300000000007</v>
      </c>
      <c r="AC31" s="12">
        <v>5412.71</v>
      </c>
      <c r="AD31" s="12">
        <v>14601.02</v>
      </c>
      <c r="AE31" s="12">
        <v>9683.41</v>
      </c>
      <c r="AG31" s="8" t="s">
        <v>418</v>
      </c>
      <c r="AH31" s="12">
        <v>21.755800000000001</v>
      </c>
      <c r="AI31" s="12">
        <v>1.55</v>
      </c>
      <c r="AJ31" s="12">
        <v>3.89</v>
      </c>
      <c r="AK31" s="12">
        <v>0.79</v>
      </c>
      <c r="AL31" s="12">
        <v>10.68</v>
      </c>
      <c r="AM31" s="12">
        <v>-14.86</v>
      </c>
    </row>
    <row r="32" spans="1:39" x14ac:dyDescent="0.3">
      <c r="A32" s="8" t="s">
        <v>227</v>
      </c>
      <c r="B32" s="12">
        <v>-612.94000000000005</v>
      </c>
      <c r="C32" s="12">
        <v>56.57</v>
      </c>
      <c r="D32" s="12">
        <v>215.77</v>
      </c>
      <c r="E32" s="12">
        <v>-205.51</v>
      </c>
      <c r="F32" s="12">
        <v>-138.63999999999999</v>
      </c>
      <c r="G32" s="12">
        <v>-759.97</v>
      </c>
      <c r="I32" s="8" t="s">
        <v>292</v>
      </c>
      <c r="J32" s="12">
        <v>6.03</v>
      </c>
      <c r="K32" s="12">
        <v>26.41</v>
      </c>
      <c r="L32" s="12">
        <v>46.68</v>
      </c>
      <c r="M32" s="12">
        <v>52.13</v>
      </c>
      <c r="N32" s="12">
        <v>32.92</v>
      </c>
      <c r="O32" s="12">
        <v>62.73</v>
      </c>
      <c r="Q32" s="8" t="s">
        <v>288</v>
      </c>
      <c r="R32" s="12">
        <v>-349.31</v>
      </c>
      <c r="S32" s="12">
        <v>-208.78</v>
      </c>
      <c r="T32" s="12">
        <v>-286.3</v>
      </c>
      <c r="U32" s="12">
        <v>-221.54</v>
      </c>
      <c r="V32" s="12">
        <v>-252.13</v>
      </c>
      <c r="W32" s="12">
        <v>157.19</v>
      </c>
      <c r="Y32" s="5" t="s">
        <v>365</v>
      </c>
      <c r="Z32" s="27">
        <f>SUM(Z27:Z31)</f>
        <v>10733.41</v>
      </c>
      <c r="AA32" s="27">
        <f t="shared" ref="AA32:AE32" si="9">SUM(AA27:AA31)</f>
        <v>21697.439999999995</v>
      </c>
      <c r="AB32" s="27">
        <f t="shared" si="9"/>
        <v>18698.370000000003</v>
      </c>
      <c r="AC32" s="27">
        <f t="shared" si="9"/>
        <v>22966.68</v>
      </c>
      <c r="AD32" s="27">
        <f t="shared" si="9"/>
        <v>29134.22</v>
      </c>
      <c r="AE32" s="27">
        <f t="shared" si="9"/>
        <v>26717.33</v>
      </c>
      <c r="AG32" s="8" t="s">
        <v>419</v>
      </c>
      <c r="AH32" s="12">
        <v>7.7634999999999996</v>
      </c>
      <c r="AI32" s="12">
        <v>5.41</v>
      </c>
      <c r="AJ32" s="12">
        <v>3.19</v>
      </c>
      <c r="AK32" s="12">
        <v>1.52</v>
      </c>
      <c r="AL32" s="12">
        <v>-16.03</v>
      </c>
      <c r="AM32" s="12">
        <v>13.46</v>
      </c>
    </row>
    <row r="33" spans="1:39" x14ac:dyDescent="0.3">
      <c r="A33" s="8" t="s">
        <v>228</v>
      </c>
      <c r="B33" s="12">
        <v>6.28</v>
      </c>
      <c r="C33" s="12">
        <v>10.68</v>
      </c>
      <c r="D33" s="12">
        <v>10.47</v>
      </c>
      <c r="E33" s="12">
        <v>-167.97</v>
      </c>
      <c r="F33" s="12">
        <v>40.9</v>
      </c>
      <c r="G33" s="12">
        <v>247.27</v>
      </c>
      <c r="I33" s="8" t="s">
        <v>293</v>
      </c>
      <c r="J33" s="12">
        <v>87.33</v>
      </c>
      <c r="K33" s="12">
        <v>354.66</v>
      </c>
      <c r="L33" s="12">
        <v>156.71</v>
      </c>
      <c r="M33" s="12">
        <v>273.72000000000003</v>
      </c>
      <c r="N33" s="12">
        <v>4.8600000000000003</v>
      </c>
      <c r="O33" s="12">
        <v>-149.94</v>
      </c>
      <c r="Q33" s="5" t="s">
        <v>333</v>
      </c>
      <c r="R33" s="27">
        <f>R31+R32</f>
        <v>87.449999999999932</v>
      </c>
      <c r="S33" s="27">
        <f t="shared" ref="S33:W33" si="10">S31+S32</f>
        <v>844.54000000000042</v>
      </c>
      <c r="T33" s="27">
        <f t="shared" si="10"/>
        <v>-283.70999999999998</v>
      </c>
      <c r="U33" s="27">
        <f t="shared" si="10"/>
        <v>606.72999999999979</v>
      </c>
      <c r="V33" s="27">
        <f t="shared" si="10"/>
        <v>311.1500000000002</v>
      </c>
      <c r="W33" s="27">
        <f t="shared" si="10"/>
        <v>419.08000000000027</v>
      </c>
      <c r="Y33" s="8" t="s">
        <v>366</v>
      </c>
      <c r="Z33" s="12">
        <v>6.92</v>
      </c>
      <c r="AA33" s="12">
        <v>4617.71</v>
      </c>
      <c r="AB33" s="12">
        <v>5004.6499999999996</v>
      </c>
      <c r="AC33" s="12">
        <v>4937.4399999999996</v>
      </c>
      <c r="AD33" s="12">
        <v>-5587.89</v>
      </c>
      <c r="AE33" s="12">
        <v>-11955.52</v>
      </c>
      <c r="AG33" s="5" t="s">
        <v>332</v>
      </c>
      <c r="AH33" s="27">
        <f>SUM(AH16,AH18:AH32)</f>
        <v>-813.45970000000023</v>
      </c>
      <c r="AI33" s="27">
        <f t="shared" ref="AI33:AM33" si="11">SUM(AI16,AI18:AI32)</f>
        <v>569.95000000000039</v>
      </c>
      <c r="AJ33" s="27">
        <f t="shared" si="11"/>
        <v>5099.47</v>
      </c>
      <c r="AK33" s="27">
        <f t="shared" si="11"/>
        <v>-3675.7899999999995</v>
      </c>
      <c r="AL33" s="27">
        <f t="shared" si="11"/>
        <v>3414.7199999999993</v>
      </c>
      <c r="AM33" s="27">
        <f t="shared" si="11"/>
        <v>2382.5599999999995</v>
      </c>
    </row>
    <row r="34" spans="1:39" x14ac:dyDescent="0.3">
      <c r="A34" s="8" t="s">
        <v>229</v>
      </c>
      <c r="B34" s="12">
        <v>84.34</v>
      </c>
      <c r="C34" s="12">
        <v>-68.92</v>
      </c>
      <c r="D34" s="12">
        <v>109.74</v>
      </c>
      <c r="E34" s="12">
        <v>249.96</v>
      </c>
      <c r="F34" s="12">
        <v>-620.32000000000005</v>
      </c>
      <c r="G34" s="12">
        <v>87.89</v>
      </c>
      <c r="I34" s="8" t="s">
        <v>294</v>
      </c>
      <c r="J34" s="12">
        <v>0</v>
      </c>
      <c r="K34" s="12">
        <v>0.5</v>
      </c>
      <c r="L34" s="12">
        <v>-3.26</v>
      </c>
      <c r="M34" s="12">
        <v>0.2</v>
      </c>
      <c r="N34" s="12">
        <v>-45</v>
      </c>
      <c r="O34" s="12">
        <v>-50</v>
      </c>
      <c r="Q34" s="2" t="s">
        <v>290</v>
      </c>
      <c r="R34" s="50"/>
      <c r="S34" s="50"/>
      <c r="T34" s="50"/>
      <c r="U34" s="50"/>
      <c r="V34" s="50"/>
      <c r="W34" s="50"/>
      <c r="Y34" s="5" t="s">
        <v>365</v>
      </c>
      <c r="Z34" s="27">
        <f>SUM(Z32:Z33)</f>
        <v>10740.33</v>
      </c>
      <c r="AA34" s="27">
        <f t="shared" ref="AA34:AE34" si="12">SUM(AA32:AA33)</f>
        <v>26315.149999999994</v>
      </c>
      <c r="AB34" s="27">
        <f t="shared" si="12"/>
        <v>23703.020000000004</v>
      </c>
      <c r="AC34" s="27">
        <f t="shared" si="12"/>
        <v>27904.12</v>
      </c>
      <c r="AD34" s="27">
        <f t="shared" si="12"/>
        <v>23546.33</v>
      </c>
      <c r="AE34" s="27">
        <f t="shared" si="12"/>
        <v>14761.810000000001</v>
      </c>
      <c r="AG34" s="8" t="s">
        <v>420</v>
      </c>
      <c r="AH34" s="12">
        <v>-146.41659999999999</v>
      </c>
      <c r="AI34" s="12">
        <v>-150.52000000000001</v>
      </c>
      <c r="AJ34" s="12">
        <v>-299.32</v>
      </c>
      <c r="AK34" s="12">
        <v>-388.18</v>
      </c>
      <c r="AL34" s="12">
        <v>-460.29</v>
      </c>
      <c r="AM34" s="12">
        <v>-462.66</v>
      </c>
    </row>
    <row r="35" spans="1:39" x14ac:dyDescent="0.3">
      <c r="A35" s="8" t="s">
        <v>230</v>
      </c>
      <c r="B35" s="12">
        <v>76.31</v>
      </c>
      <c r="C35" s="12">
        <v>29.68</v>
      </c>
      <c r="D35" s="12">
        <v>-9.5</v>
      </c>
      <c r="E35" s="12">
        <v>210.67</v>
      </c>
      <c r="F35" s="12">
        <v>404.63</v>
      </c>
      <c r="G35" s="12">
        <v>181.73</v>
      </c>
      <c r="I35" s="8" t="s">
        <v>295</v>
      </c>
      <c r="J35" s="12">
        <v>-39.47</v>
      </c>
      <c r="K35" s="12">
        <v>-41.98</v>
      </c>
      <c r="L35" s="12">
        <v>-17.43</v>
      </c>
      <c r="M35" s="12">
        <v>-2.81</v>
      </c>
      <c r="N35" s="12">
        <v>45</v>
      </c>
      <c r="O35" s="12">
        <v>50</v>
      </c>
      <c r="Q35" s="8" t="s">
        <v>291</v>
      </c>
      <c r="R35" s="12">
        <v>-206.45</v>
      </c>
      <c r="S35" s="12">
        <v>-180.07</v>
      </c>
      <c r="T35" s="12">
        <v>-143.13999999999999</v>
      </c>
      <c r="U35" s="12">
        <v>-178.29</v>
      </c>
      <c r="V35" s="12">
        <v>-237.38</v>
      </c>
      <c r="W35" s="12">
        <v>-182.52</v>
      </c>
      <c r="Y35" s="8" t="s">
        <v>367</v>
      </c>
      <c r="Z35" s="12">
        <v>-4046.45</v>
      </c>
      <c r="AA35" s="12">
        <v>-3471.01</v>
      </c>
      <c r="AB35" s="12">
        <v>-4539.45</v>
      </c>
      <c r="AC35" s="12">
        <v>-5127.16</v>
      </c>
      <c r="AD35" s="12">
        <v>-5280.05</v>
      </c>
      <c r="AE35" s="12">
        <v>-5601.1</v>
      </c>
      <c r="AG35" s="5" t="s">
        <v>421</v>
      </c>
      <c r="AH35" s="27">
        <f>AH33+AH34</f>
        <v>-959.87630000000024</v>
      </c>
      <c r="AI35" s="27">
        <f t="shared" ref="AI35:AM35" si="13">AI33+AI34</f>
        <v>419.4300000000004</v>
      </c>
      <c r="AJ35" s="27">
        <f t="shared" si="13"/>
        <v>4800.1500000000005</v>
      </c>
      <c r="AK35" s="27">
        <f t="shared" si="13"/>
        <v>-4063.9699999999993</v>
      </c>
      <c r="AL35" s="27">
        <f t="shared" si="13"/>
        <v>2954.4299999999994</v>
      </c>
      <c r="AM35" s="27">
        <f t="shared" si="13"/>
        <v>1919.8999999999994</v>
      </c>
    </row>
    <row r="36" spans="1:39" x14ac:dyDescent="0.3">
      <c r="A36" s="8" t="s">
        <v>231</v>
      </c>
      <c r="B36" s="12">
        <v>1144.69</v>
      </c>
      <c r="C36" s="12">
        <v>-110.6</v>
      </c>
      <c r="D36" s="12">
        <v>-314.55</v>
      </c>
      <c r="E36" s="12">
        <v>237.48</v>
      </c>
      <c r="F36" s="12">
        <v>189.46</v>
      </c>
      <c r="G36" s="12">
        <v>455.15</v>
      </c>
      <c r="I36" s="8" t="s">
        <v>296</v>
      </c>
      <c r="J36" s="12">
        <v>-56.51</v>
      </c>
      <c r="K36" s="12">
        <v>-108.59</v>
      </c>
      <c r="L36" s="12">
        <v>22.26</v>
      </c>
      <c r="M36" s="12">
        <v>99.11</v>
      </c>
      <c r="N36" s="12">
        <v>52.5</v>
      </c>
      <c r="O36" s="12">
        <v>30.55</v>
      </c>
      <c r="Q36" s="8" t="s">
        <v>334</v>
      </c>
      <c r="R36" s="12">
        <v>4.49</v>
      </c>
      <c r="S36" s="12">
        <v>66.33</v>
      </c>
      <c r="T36" s="12">
        <v>-56.93</v>
      </c>
      <c r="U36" s="12">
        <v>0</v>
      </c>
      <c r="V36" s="12">
        <v>3.8</v>
      </c>
      <c r="W36" s="12">
        <v>33.4</v>
      </c>
      <c r="Y36" s="5" t="s">
        <v>368</v>
      </c>
      <c r="Z36" s="27">
        <f>Z34+Z35</f>
        <v>6693.88</v>
      </c>
      <c r="AA36" s="27">
        <f t="shared" ref="AA36:AE36" si="14">AA34+AA35</f>
        <v>22844.139999999992</v>
      </c>
      <c r="AB36" s="27">
        <f t="shared" si="14"/>
        <v>19163.570000000003</v>
      </c>
      <c r="AC36" s="27">
        <f t="shared" si="14"/>
        <v>22776.959999999999</v>
      </c>
      <c r="AD36" s="27">
        <f t="shared" si="14"/>
        <v>18266.280000000002</v>
      </c>
      <c r="AE36" s="27">
        <f t="shared" si="14"/>
        <v>9160.7100000000009</v>
      </c>
      <c r="AG36" s="2" t="s">
        <v>290</v>
      </c>
      <c r="AH36" s="50"/>
      <c r="AI36" s="50"/>
      <c r="AJ36" s="50"/>
      <c r="AK36" s="50"/>
      <c r="AL36" s="50"/>
      <c r="AM36" s="50"/>
    </row>
    <row r="37" spans="1:39" x14ac:dyDescent="0.3">
      <c r="A37" s="5" t="s">
        <v>232</v>
      </c>
      <c r="B37" s="27">
        <f>SUM(B27,B29:B36)</f>
        <v>8251.380000000001</v>
      </c>
      <c r="C37" s="27">
        <f t="shared" ref="C37:G37" si="15">SUM(C27,C29:C36)</f>
        <v>8428.6100000000024</v>
      </c>
      <c r="D37" s="27">
        <f t="shared" si="15"/>
        <v>11379.860000000006</v>
      </c>
      <c r="E37" s="27">
        <f t="shared" si="15"/>
        <v>12767.18</v>
      </c>
      <c r="F37" s="27">
        <f t="shared" si="15"/>
        <v>16289.499999999996</v>
      </c>
      <c r="G37" s="27">
        <f t="shared" si="15"/>
        <v>18691.32</v>
      </c>
      <c r="I37" s="8" t="s">
        <v>297</v>
      </c>
      <c r="J37" s="12">
        <v>-112.2</v>
      </c>
      <c r="K37" s="12">
        <v>-1.78</v>
      </c>
      <c r="L37" s="12">
        <v>35.28</v>
      </c>
      <c r="M37" s="12">
        <v>34.049999999999997</v>
      </c>
      <c r="N37" s="12">
        <v>-1.79</v>
      </c>
      <c r="O37" s="12">
        <v>-87.22</v>
      </c>
      <c r="Q37" s="8" t="s">
        <v>237</v>
      </c>
      <c r="R37" s="12">
        <v>-545.65</v>
      </c>
      <c r="S37" s="12">
        <v>-617.80999999999995</v>
      </c>
      <c r="T37" s="12">
        <v>1.46</v>
      </c>
      <c r="U37" s="12">
        <v>15.72</v>
      </c>
      <c r="V37" s="12">
        <v>0</v>
      </c>
      <c r="W37" s="12">
        <v>70.069999999999993</v>
      </c>
      <c r="Y37" s="2" t="s">
        <v>290</v>
      </c>
      <c r="Z37" s="50"/>
      <c r="AA37" s="50"/>
      <c r="AB37" s="50"/>
      <c r="AC37" s="50"/>
      <c r="AD37" s="50"/>
      <c r="AE37" s="50"/>
      <c r="AG37" s="8" t="s">
        <v>422</v>
      </c>
      <c r="AH37" s="12">
        <v>-17.539899999999999</v>
      </c>
      <c r="AI37" s="12">
        <v>-40.840000000000003</v>
      </c>
      <c r="AJ37" s="12">
        <v>-14.25</v>
      </c>
      <c r="AK37" s="12">
        <v>-10.130000000000001</v>
      </c>
      <c r="AL37" s="12">
        <v>-116.36</v>
      </c>
      <c r="AM37" s="12">
        <v>-431.63</v>
      </c>
    </row>
    <row r="38" spans="1:39" x14ac:dyDescent="0.3">
      <c r="A38" s="8" t="s">
        <v>233</v>
      </c>
      <c r="B38" s="12">
        <v>-849.57</v>
      </c>
      <c r="C38" s="12">
        <v>-872.83</v>
      </c>
      <c r="D38" s="12">
        <v>-959.72</v>
      </c>
      <c r="E38" s="12">
        <v>-833.93</v>
      </c>
      <c r="F38" s="12">
        <v>-1271.92</v>
      </c>
      <c r="G38" s="12">
        <v>-1465.04</v>
      </c>
      <c r="I38" s="8" t="s">
        <v>298</v>
      </c>
      <c r="J38" s="12">
        <v>-0.09</v>
      </c>
      <c r="K38" s="12">
        <v>0</v>
      </c>
      <c r="L38" s="12">
        <v>0.1</v>
      </c>
      <c r="M38" s="12">
        <v>0.08</v>
      </c>
      <c r="N38" s="12">
        <v>0</v>
      </c>
      <c r="O38" s="12">
        <v>0</v>
      </c>
      <c r="Q38" s="8" t="s">
        <v>335</v>
      </c>
      <c r="R38" s="12">
        <v>536.36</v>
      </c>
      <c r="S38" s="12">
        <v>639.25</v>
      </c>
      <c r="T38" s="12">
        <v>-11.58</v>
      </c>
      <c r="U38" s="12">
        <v>12.64</v>
      </c>
      <c r="V38" s="12">
        <v>15.7</v>
      </c>
      <c r="W38" s="12">
        <v>53.24</v>
      </c>
      <c r="Y38" s="8" t="s">
        <v>369</v>
      </c>
      <c r="Z38" s="12">
        <v>-3436.82</v>
      </c>
      <c r="AA38" s="12">
        <v>-1807.7</v>
      </c>
      <c r="AB38" s="12">
        <v>-3110.63</v>
      </c>
      <c r="AC38" s="12">
        <v>-4143.79</v>
      </c>
      <c r="AD38" s="12">
        <v>-4516.53</v>
      </c>
      <c r="AE38" s="12">
        <v>-4418.83</v>
      </c>
      <c r="AG38" s="8" t="s">
        <v>423</v>
      </c>
      <c r="AH38" s="12">
        <v>-3.8931</v>
      </c>
      <c r="AI38" s="12">
        <v>0.12</v>
      </c>
      <c r="AJ38" s="12">
        <v>0.44</v>
      </c>
      <c r="AK38" s="12">
        <v>0</v>
      </c>
      <c r="AL38" s="12">
        <v>0</v>
      </c>
      <c r="AM38" s="12">
        <v>0</v>
      </c>
    </row>
    <row r="39" spans="1:39" x14ac:dyDescent="0.3">
      <c r="A39" s="5" t="s">
        <v>234</v>
      </c>
      <c r="B39" s="27">
        <f>B37+B38</f>
        <v>7401.8100000000013</v>
      </c>
      <c r="C39" s="27">
        <f t="shared" ref="C39:G39" si="16">C37+C38</f>
        <v>7555.7800000000025</v>
      </c>
      <c r="D39" s="27">
        <f t="shared" si="16"/>
        <v>10420.140000000007</v>
      </c>
      <c r="E39" s="27">
        <f t="shared" si="16"/>
        <v>11933.25</v>
      </c>
      <c r="F39" s="27">
        <f t="shared" si="16"/>
        <v>15017.579999999996</v>
      </c>
      <c r="G39" s="27">
        <f t="shared" si="16"/>
        <v>17226.28</v>
      </c>
      <c r="I39" s="8" t="s">
        <v>252</v>
      </c>
      <c r="J39" s="12">
        <v>34.54</v>
      </c>
      <c r="K39" s="12">
        <v>32.08</v>
      </c>
      <c r="L39" s="12">
        <v>-62.24</v>
      </c>
      <c r="M39" s="12">
        <v>0</v>
      </c>
      <c r="N39" s="12">
        <v>0</v>
      </c>
      <c r="O39" s="12">
        <v>0</v>
      </c>
      <c r="Q39" s="8" t="s">
        <v>252</v>
      </c>
      <c r="R39" s="12">
        <v>3.36</v>
      </c>
      <c r="S39" s="12">
        <v>3.35</v>
      </c>
      <c r="T39" s="12">
        <v>10.58</v>
      </c>
      <c r="U39" s="12">
        <v>23.42</v>
      </c>
      <c r="V39" s="12">
        <v>-5.18</v>
      </c>
      <c r="W39" s="12">
        <v>-42.06</v>
      </c>
      <c r="Y39" s="8" t="s">
        <v>370</v>
      </c>
      <c r="Z39" s="12">
        <v>137.38999999999999</v>
      </c>
      <c r="AA39" s="12">
        <v>885.36</v>
      </c>
      <c r="AB39" s="12">
        <v>70.75</v>
      </c>
      <c r="AC39" s="12">
        <v>350.37</v>
      </c>
      <c r="AD39" s="12">
        <v>306.06</v>
      </c>
      <c r="AE39" s="12">
        <v>878.17</v>
      </c>
      <c r="AG39" s="8" t="s">
        <v>424</v>
      </c>
      <c r="AH39" s="12">
        <v>0.2445</v>
      </c>
      <c r="AI39" s="12">
        <v>-102.09</v>
      </c>
      <c r="AJ39" s="12">
        <v>-102.09</v>
      </c>
      <c r="AK39" s="12">
        <v>0.42</v>
      </c>
      <c r="AL39" s="12">
        <v>14.74</v>
      </c>
      <c r="AM39" s="12">
        <v>0.38</v>
      </c>
    </row>
    <row r="40" spans="1:39" x14ac:dyDescent="0.3">
      <c r="A40" s="2" t="s">
        <v>235</v>
      </c>
      <c r="B40" s="32"/>
      <c r="C40" s="32"/>
      <c r="D40" s="32"/>
      <c r="E40" s="32"/>
      <c r="F40" s="32"/>
      <c r="G40" s="32"/>
      <c r="I40" s="8" t="s">
        <v>251</v>
      </c>
      <c r="J40" s="12">
        <v>7.0000000000000007E-2</v>
      </c>
      <c r="K40" s="12">
        <v>16.32</v>
      </c>
      <c r="L40" s="12">
        <v>-125.02</v>
      </c>
      <c r="M40" s="12">
        <v>-11.13</v>
      </c>
      <c r="N40" s="12">
        <v>0</v>
      </c>
      <c r="O40" s="12">
        <v>0</v>
      </c>
      <c r="Q40" s="8" t="s">
        <v>336</v>
      </c>
      <c r="R40" s="12">
        <v>89.95</v>
      </c>
      <c r="S40" s="12">
        <v>-38.43</v>
      </c>
      <c r="T40" s="12">
        <v>-5.08</v>
      </c>
      <c r="U40" s="12">
        <v>-8.69</v>
      </c>
      <c r="V40" s="12">
        <v>0</v>
      </c>
      <c r="W40" s="12">
        <v>0</v>
      </c>
      <c r="Y40" s="8" t="s">
        <v>371</v>
      </c>
      <c r="Z40" s="12">
        <v>-1870.64</v>
      </c>
      <c r="AA40" s="12">
        <v>-1873.24</v>
      </c>
      <c r="AB40" s="12">
        <v>-2156.2399999999998</v>
      </c>
      <c r="AC40" s="12">
        <v>-3036.34</v>
      </c>
      <c r="AD40" s="12">
        <v>-4889.46</v>
      </c>
      <c r="AE40" s="12">
        <v>-2284.2600000000002</v>
      </c>
      <c r="AG40" s="8" t="s">
        <v>425</v>
      </c>
      <c r="AH40" s="12">
        <v>2.4839000000000002</v>
      </c>
      <c r="AI40" s="12">
        <v>-90.6</v>
      </c>
      <c r="AJ40" s="12">
        <v>-58.63</v>
      </c>
      <c r="AK40" s="12">
        <v>-51.05</v>
      </c>
      <c r="AL40" s="12">
        <v>-224.07</v>
      </c>
      <c r="AM40" s="12">
        <v>0</v>
      </c>
    </row>
    <row r="41" spans="1:39" x14ac:dyDescent="0.3">
      <c r="A41" s="8" t="s">
        <v>236</v>
      </c>
      <c r="B41" s="12">
        <v>-3621.41</v>
      </c>
      <c r="C41" s="12">
        <v>-1953.51</v>
      </c>
      <c r="D41" s="12">
        <v>-3813.7</v>
      </c>
      <c r="E41" s="12">
        <v>-9124.7800000000007</v>
      </c>
      <c r="F41" s="12">
        <v>-7416.3</v>
      </c>
      <c r="G41" s="12">
        <v>-8048.92</v>
      </c>
      <c r="I41" s="8" t="s">
        <v>299</v>
      </c>
      <c r="J41" s="12">
        <v>-136.36000000000001</v>
      </c>
      <c r="K41" s="12">
        <v>0</v>
      </c>
      <c r="L41" s="12">
        <v>0</v>
      </c>
      <c r="M41" s="12">
        <v>0</v>
      </c>
      <c r="N41" s="12">
        <v>0</v>
      </c>
      <c r="O41" s="12">
        <v>0</v>
      </c>
      <c r="Q41" s="5" t="s">
        <v>337</v>
      </c>
      <c r="R41" s="27">
        <f>SUM(R35:R40)</f>
        <v>-117.93999999999987</v>
      </c>
      <c r="S41" s="27">
        <f t="shared" ref="S41:W41" si="17">SUM(S35:S40)</f>
        <v>-127.37999999999997</v>
      </c>
      <c r="T41" s="27">
        <f t="shared" si="17"/>
        <v>-204.69</v>
      </c>
      <c r="U41" s="27">
        <f t="shared" si="17"/>
        <v>-135.20000000000002</v>
      </c>
      <c r="V41" s="27">
        <f t="shared" si="17"/>
        <v>-223.06</v>
      </c>
      <c r="W41" s="27">
        <f t="shared" si="17"/>
        <v>-67.87</v>
      </c>
      <c r="Y41" s="8" t="s">
        <v>372</v>
      </c>
      <c r="Z41" s="12">
        <v>2245.29</v>
      </c>
      <c r="AA41" s="12">
        <v>240.19</v>
      </c>
      <c r="AB41" s="12">
        <v>1026.06</v>
      </c>
      <c r="AC41" s="12">
        <v>827.15</v>
      </c>
      <c r="AD41" s="12">
        <v>2127.87</v>
      </c>
      <c r="AE41" s="12">
        <v>1726.33</v>
      </c>
      <c r="AG41" s="8" t="s">
        <v>426</v>
      </c>
      <c r="AH41" s="12">
        <v>-40.0869</v>
      </c>
      <c r="AI41" s="12">
        <v>-2.46</v>
      </c>
      <c r="AJ41" s="12">
        <v>-9.27</v>
      </c>
      <c r="AK41" s="12">
        <v>-13.96</v>
      </c>
      <c r="AL41" s="12">
        <v>-396.48</v>
      </c>
      <c r="AM41" s="12">
        <v>-143.65</v>
      </c>
    </row>
    <row r="42" spans="1:39" x14ac:dyDescent="0.3">
      <c r="A42" s="8" t="s">
        <v>237</v>
      </c>
      <c r="B42" s="12">
        <v>62.99</v>
      </c>
      <c r="C42" s="12">
        <v>3.8</v>
      </c>
      <c r="D42" s="12">
        <v>155</v>
      </c>
      <c r="E42" s="12">
        <v>0</v>
      </c>
      <c r="F42" s="12">
        <v>26.71</v>
      </c>
      <c r="G42" s="12">
        <v>50.72</v>
      </c>
      <c r="I42" s="8" t="s">
        <v>300</v>
      </c>
      <c r="J42" s="12">
        <v>-57.47</v>
      </c>
      <c r="K42" s="12">
        <v>-8.7200000000000006</v>
      </c>
      <c r="L42" s="12">
        <v>0</v>
      </c>
      <c r="M42" s="12">
        <v>0</v>
      </c>
      <c r="N42" s="12">
        <v>0</v>
      </c>
      <c r="O42" s="12">
        <v>0</v>
      </c>
      <c r="Q42" s="2" t="s">
        <v>338</v>
      </c>
      <c r="R42" s="50"/>
      <c r="S42" s="50"/>
      <c r="T42" s="50"/>
      <c r="U42" s="50"/>
      <c r="V42" s="50"/>
      <c r="W42" s="50"/>
      <c r="Y42" s="8" t="s">
        <v>373</v>
      </c>
      <c r="Z42" s="12">
        <v>2065.7399999999998</v>
      </c>
      <c r="AA42" s="12">
        <v>-16841.55</v>
      </c>
      <c r="AB42" s="12">
        <v>1437.04</v>
      </c>
      <c r="AC42" s="12">
        <v>-6083.66</v>
      </c>
      <c r="AD42" s="12">
        <v>2803.49</v>
      </c>
      <c r="AE42" s="12">
        <v>-5950.82</v>
      </c>
      <c r="AG42" s="8" t="s">
        <v>252</v>
      </c>
      <c r="AH42" s="12">
        <v>214.56829999999999</v>
      </c>
      <c r="AI42" s="12">
        <v>210.61</v>
      </c>
      <c r="AJ42" s="12">
        <v>244.95</v>
      </c>
      <c r="AK42" s="12">
        <v>216.81</v>
      </c>
      <c r="AL42" s="12">
        <v>315.02999999999997</v>
      </c>
      <c r="AM42" s="12">
        <v>880.27</v>
      </c>
    </row>
    <row r="43" spans="1:39" x14ac:dyDescent="0.3">
      <c r="A43" s="8" t="s">
        <v>238</v>
      </c>
      <c r="B43" s="12">
        <v>-379.25</v>
      </c>
      <c r="C43" s="12">
        <v>-138.61000000000001</v>
      </c>
      <c r="D43" s="12">
        <v>12.91</v>
      </c>
      <c r="E43" s="12">
        <v>203.79</v>
      </c>
      <c r="F43" s="12">
        <v>2036.63</v>
      </c>
      <c r="G43" s="12">
        <v>-266</v>
      </c>
      <c r="I43" s="8" t="s">
        <v>301</v>
      </c>
      <c r="J43" s="12">
        <v>-3.42</v>
      </c>
      <c r="K43" s="12">
        <v>0</v>
      </c>
      <c r="L43" s="12">
        <v>0</v>
      </c>
      <c r="M43" s="12">
        <v>0</v>
      </c>
      <c r="N43" s="12">
        <v>0</v>
      </c>
      <c r="O43" s="12">
        <v>0</v>
      </c>
      <c r="Q43" s="8" t="s">
        <v>339</v>
      </c>
      <c r="R43" s="12">
        <v>81.44</v>
      </c>
      <c r="S43" s="12">
        <v>470.29</v>
      </c>
      <c r="T43" s="12">
        <v>172.55</v>
      </c>
      <c r="U43" s="12">
        <v>381.51</v>
      </c>
      <c r="V43" s="12">
        <v>169.9</v>
      </c>
      <c r="W43" s="12">
        <v>266.16000000000003</v>
      </c>
      <c r="Y43" s="8" t="s">
        <v>374</v>
      </c>
      <c r="Z43" s="12">
        <v>1439.82</v>
      </c>
      <c r="AA43" s="12">
        <v>915.13</v>
      </c>
      <c r="AB43" s="12">
        <v>-2729.33</v>
      </c>
      <c r="AC43" s="12">
        <v>-661.77</v>
      </c>
      <c r="AD43" s="12">
        <v>2697.75</v>
      </c>
      <c r="AE43" s="12">
        <v>-7201.57</v>
      </c>
      <c r="AG43" s="8" t="s">
        <v>251</v>
      </c>
      <c r="AH43" s="12">
        <v>20.708400000000001</v>
      </c>
      <c r="AI43" s="12">
        <v>17.5</v>
      </c>
      <c r="AJ43" s="12">
        <v>10</v>
      </c>
      <c r="AK43" s="12">
        <v>0</v>
      </c>
      <c r="AL43" s="12">
        <v>0</v>
      </c>
      <c r="AM43" s="12">
        <v>25.05</v>
      </c>
    </row>
    <row r="44" spans="1:39" x14ac:dyDescent="0.3">
      <c r="A44" s="8" t="s">
        <v>239</v>
      </c>
      <c r="B44" s="12">
        <v>0</v>
      </c>
      <c r="C44" s="12">
        <v>-398.19</v>
      </c>
      <c r="D44" s="12">
        <v>-847</v>
      </c>
      <c r="E44" s="12">
        <v>-961</v>
      </c>
      <c r="F44" s="12">
        <v>0</v>
      </c>
      <c r="G44" s="12">
        <v>0</v>
      </c>
      <c r="I44" s="5" t="s">
        <v>302</v>
      </c>
      <c r="J44" s="27">
        <f>SUM(J31:J43)</f>
        <v>-747.32</v>
      </c>
      <c r="K44" s="27">
        <f t="shared" ref="K44:O44" si="18">SUM(K31:K43)</f>
        <v>7.750000000000048</v>
      </c>
      <c r="L44" s="27">
        <f t="shared" si="18"/>
        <v>-255.01999999999998</v>
      </c>
      <c r="M44" s="27">
        <f t="shared" si="18"/>
        <v>-326.13</v>
      </c>
      <c r="N44" s="27">
        <f t="shared" si="18"/>
        <v>-263.08999999999997</v>
      </c>
      <c r="O44" s="27">
        <f t="shared" si="18"/>
        <v>-718.5</v>
      </c>
      <c r="Q44" s="8" t="s">
        <v>340</v>
      </c>
      <c r="R44" s="12">
        <v>-326.36</v>
      </c>
      <c r="S44" s="12">
        <v>-526.67999999999995</v>
      </c>
      <c r="T44" s="12">
        <v>-15.81</v>
      </c>
      <c r="U44" s="12">
        <v>-66.97</v>
      </c>
      <c r="V44" s="12">
        <v>0</v>
      </c>
      <c r="W44" s="12">
        <v>-331.94</v>
      </c>
      <c r="Y44" s="8" t="s">
        <v>375</v>
      </c>
      <c r="Z44" s="12">
        <v>-115.21</v>
      </c>
      <c r="AA44" s="12">
        <v>-151.59</v>
      </c>
      <c r="AB44" s="12">
        <v>-148.03</v>
      </c>
      <c r="AC44" s="12">
        <v>0</v>
      </c>
      <c r="AD44" s="12">
        <v>0</v>
      </c>
      <c r="AE44" s="12">
        <v>-448.54</v>
      </c>
      <c r="AG44" s="8" t="s">
        <v>427</v>
      </c>
      <c r="AH44" s="12">
        <v>-50.312100000000001</v>
      </c>
      <c r="AI44" s="12">
        <v>320.24</v>
      </c>
      <c r="AJ44" s="12">
        <v>-1497.5</v>
      </c>
      <c r="AK44" s="12">
        <v>1212.8900000000001</v>
      </c>
      <c r="AL44" s="12">
        <v>-991.95</v>
      </c>
      <c r="AM44" s="12">
        <v>1251.2</v>
      </c>
    </row>
    <row r="45" spans="1:39" x14ac:dyDescent="0.3">
      <c r="A45" s="8" t="s">
        <v>240</v>
      </c>
      <c r="B45" s="12">
        <v>-273.45999999999998</v>
      </c>
      <c r="C45" s="12">
        <v>-13666.98</v>
      </c>
      <c r="D45" s="12">
        <v>-21.1</v>
      </c>
      <c r="E45" s="12">
        <v>-13222.17</v>
      </c>
      <c r="F45" s="12">
        <v>-3101.73</v>
      </c>
      <c r="G45" s="12">
        <v>-5399.91</v>
      </c>
      <c r="I45" s="23" t="s">
        <v>303</v>
      </c>
      <c r="J45" s="28"/>
      <c r="K45" s="28"/>
      <c r="L45" s="28"/>
      <c r="M45" s="28"/>
      <c r="N45" s="28"/>
      <c r="O45" s="28"/>
      <c r="Q45" s="8" t="s">
        <v>261</v>
      </c>
      <c r="R45" s="12">
        <v>-31.6</v>
      </c>
      <c r="S45" s="12">
        <v>-25.58</v>
      </c>
      <c r="T45" s="12">
        <v>-27.15</v>
      </c>
      <c r="U45" s="12">
        <v>-30.09</v>
      </c>
      <c r="V45" s="12">
        <v>0</v>
      </c>
      <c r="W45" s="12">
        <f>870.16-21.4-44.34-16.1</f>
        <v>788.31999999999994</v>
      </c>
      <c r="Y45" s="8" t="s">
        <v>376</v>
      </c>
      <c r="Z45" s="12">
        <v>17.690000000000001</v>
      </c>
      <c r="AA45" s="12">
        <v>0</v>
      </c>
      <c r="AB45" s="12">
        <v>0</v>
      </c>
      <c r="AC45" s="12">
        <v>19.05</v>
      </c>
      <c r="AD45" s="12">
        <v>151.72</v>
      </c>
      <c r="AE45" s="12">
        <v>318.77</v>
      </c>
      <c r="AG45" s="5" t="s">
        <v>428</v>
      </c>
      <c r="AH45" s="27">
        <f>SUM(AH37:AH44)</f>
        <v>126.17309999999999</v>
      </c>
      <c r="AI45" s="27">
        <f t="shared" ref="AI45:AM45" si="19">SUM(AI37:AI44)</f>
        <v>312.48</v>
      </c>
      <c r="AJ45" s="27">
        <f t="shared" si="19"/>
        <v>-1426.35</v>
      </c>
      <c r="AK45" s="27">
        <f t="shared" si="19"/>
        <v>1354.98</v>
      </c>
      <c r="AL45" s="27">
        <f t="shared" si="19"/>
        <v>-1399.0900000000001</v>
      </c>
      <c r="AM45" s="27">
        <f t="shared" si="19"/>
        <v>1581.6200000000001</v>
      </c>
    </row>
    <row r="46" spans="1:39" x14ac:dyDescent="0.3">
      <c r="A46" s="8" t="s">
        <v>241</v>
      </c>
      <c r="B46" s="12">
        <v>-191.15</v>
      </c>
      <c r="C46" s="12">
        <v>0</v>
      </c>
      <c r="D46" s="12">
        <v>0</v>
      </c>
      <c r="E46" s="12">
        <v>-1206.9000000000001</v>
      </c>
      <c r="F46" s="12">
        <v>-16.03</v>
      </c>
      <c r="G46" s="12">
        <v>0</v>
      </c>
      <c r="I46" s="8" t="s">
        <v>304</v>
      </c>
      <c r="J46" s="12">
        <v>0</v>
      </c>
      <c r="K46" s="12">
        <v>-176.87</v>
      </c>
      <c r="L46" s="12">
        <v>8</v>
      </c>
      <c r="M46" s="12">
        <v>0</v>
      </c>
      <c r="N46" s="12">
        <v>0</v>
      </c>
      <c r="O46" s="12">
        <v>982.21</v>
      </c>
      <c r="Q46" s="8" t="s">
        <v>341</v>
      </c>
      <c r="R46" s="12">
        <v>703.78</v>
      </c>
      <c r="S46" s="12">
        <v>-226.35</v>
      </c>
      <c r="T46" s="12">
        <v>741.28</v>
      </c>
      <c r="U46" s="12">
        <v>-47.98</v>
      </c>
      <c r="V46" s="12">
        <f>438.05-17.04-9.57</f>
        <v>411.44</v>
      </c>
      <c r="W46" s="12">
        <v>-19.04</v>
      </c>
      <c r="Y46" s="8" t="s">
        <v>252</v>
      </c>
      <c r="Z46" s="12">
        <v>837.54</v>
      </c>
      <c r="AA46" s="12">
        <v>1275.45</v>
      </c>
      <c r="AB46" s="12">
        <v>968.55</v>
      </c>
      <c r="AC46" s="12">
        <v>1608.99</v>
      </c>
      <c r="AD46" s="12">
        <v>2408.16</v>
      </c>
      <c r="AE46" s="12">
        <v>2083.5100000000002</v>
      </c>
      <c r="AG46" s="2" t="s">
        <v>338</v>
      </c>
      <c r="AH46" s="50"/>
      <c r="AI46" s="50"/>
      <c r="AJ46" s="50"/>
      <c r="AK46" s="50"/>
      <c r="AL46" s="50"/>
      <c r="AM46" s="50"/>
    </row>
    <row r="47" spans="1:39" x14ac:dyDescent="0.3">
      <c r="A47" s="8" t="s">
        <v>242</v>
      </c>
      <c r="B47" s="12">
        <v>0</v>
      </c>
      <c r="C47" s="12">
        <v>252.06</v>
      </c>
      <c r="D47" s="12">
        <v>1464.22</v>
      </c>
      <c r="E47" s="12">
        <v>1510</v>
      </c>
      <c r="F47" s="12">
        <v>-114.19</v>
      </c>
      <c r="G47" s="12">
        <v>0</v>
      </c>
      <c r="I47" s="8" t="s">
        <v>305</v>
      </c>
      <c r="J47" s="12">
        <v>406.99</v>
      </c>
      <c r="K47" s="12">
        <v>484.94</v>
      </c>
      <c r="L47" s="12">
        <v>0</v>
      </c>
      <c r="M47" s="12">
        <v>-93.6</v>
      </c>
      <c r="N47" s="12">
        <v>136.59</v>
      </c>
      <c r="O47" s="12">
        <v>487.01</v>
      </c>
      <c r="Q47" s="8" t="s">
        <v>311</v>
      </c>
      <c r="R47" s="12">
        <v>-268.89999999999998</v>
      </c>
      <c r="S47" s="12">
        <v>-355.08</v>
      </c>
      <c r="T47" s="12">
        <v>-272.48</v>
      </c>
      <c r="U47" s="12">
        <v>-534.42999999999995</v>
      </c>
      <c r="V47" s="12">
        <v>-648.85</v>
      </c>
      <c r="W47" s="12">
        <v>-632.83000000000004</v>
      </c>
      <c r="Y47" s="8" t="s">
        <v>377</v>
      </c>
      <c r="Z47" s="12">
        <v>12.53</v>
      </c>
      <c r="AA47" s="12">
        <v>175.05</v>
      </c>
      <c r="AB47" s="12">
        <v>156.83000000000001</v>
      </c>
      <c r="AC47" s="12">
        <v>151.13999999999999</v>
      </c>
      <c r="AD47" s="12">
        <v>129.83000000000001</v>
      </c>
      <c r="AE47" s="12">
        <v>27.27</v>
      </c>
      <c r="AG47" s="8" t="s">
        <v>429</v>
      </c>
      <c r="AH47" s="12">
        <v>1407.96</v>
      </c>
      <c r="AI47" s="12">
        <v>1429.69</v>
      </c>
      <c r="AJ47" s="12">
        <v>700</v>
      </c>
      <c r="AK47" s="12">
        <v>-279.95</v>
      </c>
      <c r="AL47" s="12">
        <v>-377.29</v>
      </c>
      <c r="AM47" s="12">
        <v>-472</v>
      </c>
    </row>
    <row r="48" spans="1:39" x14ac:dyDescent="0.3">
      <c r="A48" s="8" t="s">
        <v>243</v>
      </c>
      <c r="B48" s="12">
        <v>78.47</v>
      </c>
      <c r="C48" s="12">
        <v>72.400000000000006</v>
      </c>
      <c r="D48" s="12">
        <v>1.81</v>
      </c>
      <c r="E48" s="12">
        <v>0</v>
      </c>
      <c r="F48" s="12">
        <v>-403.04</v>
      </c>
      <c r="G48" s="12">
        <v>0</v>
      </c>
      <c r="I48" s="8" t="s">
        <v>306</v>
      </c>
      <c r="J48" s="12">
        <v>100</v>
      </c>
      <c r="K48" s="12">
        <v>0</v>
      </c>
      <c r="L48" s="12">
        <v>479.97</v>
      </c>
      <c r="M48" s="12">
        <v>227.76</v>
      </c>
      <c r="N48" s="12">
        <v>600</v>
      </c>
      <c r="O48" s="12">
        <v>500</v>
      </c>
      <c r="Q48" s="8" t="s">
        <v>342</v>
      </c>
      <c r="R48" s="12">
        <v>-155.84</v>
      </c>
      <c r="S48" s="12">
        <v>-0.5</v>
      </c>
      <c r="T48" s="12">
        <v>-102.53</v>
      </c>
      <c r="U48" s="12">
        <v>-102.85</v>
      </c>
      <c r="V48" s="12">
        <v>-77.16</v>
      </c>
      <c r="W48" s="12">
        <v>-102.79</v>
      </c>
      <c r="Y48" s="8" t="s">
        <v>378</v>
      </c>
      <c r="Z48" s="12">
        <v>101.6</v>
      </c>
      <c r="AA48" s="12">
        <v>28.47</v>
      </c>
      <c r="AB48" s="12">
        <v>4.12</v>
      </c>
      <c r="AC48" s="12">
        <v>6.28</v>
      </c>
      <c r="AD48" s="12">
        <v>96.25</v>
      </c>
      <c r="AE48" s="12">
        <v>117.05</v>
      </c>
      <c r="AG48" s="8" t="s">
        <v>430</v>
      </c>
      <c r="AH48" s="12">
        <v>-262.64999999999998</v>
      </c>
      <c r="AI48" s="12">
        <v>-265.74</v>
      </c>
      <c r="AJ48" s="12">
        <v>-230.29</v>
      </c>
      <c r="AK48" s="12">
        <v>-3.1</v>
      </c>
      <c r="AL48" s="12">
        <v>-4.0199999999999996</v>
      </c>
      <c r="AM48" s="12">
        <v>0</v>
      </c>
    </row>
    <row r="49" spans="1:39" x14ac:dyDescent="0.3">
      <c r="A49" s="8" t="s">
        <v>244</v>
      </c>
      <c r="B49" s="12">
        <v>-289.36</v>
      </c>
      <c r="C49" s="12">
        <v>-23.77</v>
      </c>
      <c r="D49" s="12">
        <v>0</v>
      </c>
      <c r="E49" s="12">
        <v>-256</v>
      </c>
      <c r="F49" s="12">
        <v>247.77</v>
      </c>
      <c r="G49" s="12">
        <v>248.54</v>
      </c>
      <c r="I49" s="8" t="s">
        <v>307</v>
      </c>
      <c r="J49" s="12">
        <v>0</v>
      </c>
      <c r="K49" s="12">
        <v>-133.33000000000001</v>
      </c>
      <c r="L49" s="12">
        <v>200</v>
      </c>
      <c r="M49" s="12">
        <v>274</v>
      </c>
      <c r="N49" s="12">
        <v>-225</v>
      </c>
      <c r="O49" s="12">
        <v>-573</v>
      </c>
      <c r="Q49" s="5" t="s">
        <v>343</v>
      </c>
      <c r="R49" s="27">
        <f>SUM(R43:R48)</f>
        <v>2.5199999999999534</v>
      </c>
      <c r="S49" s="27">
        <f t="shared" ref="S49:W49" si="20">SUM(S43:S48)</f>
        <v>-663.89999999999986</v>
      </c>
      <c r="T49" s="27">
        <f t="shared" si="20"/>
        <v>495.86</v>
      </c>
      <c r="U49" s="27">
        <f t="shared" si="20"/>
        <v>-400.80999999999995</v>
      </c>
      <c r="V49" s="27">
        <f t="shared" si="20"/>
        <v>-144.66999999999999</v>
      </c>
      <c r="W49" s="27">
        <f t="shared" si="20"/>
        <v>-32.120000000000047</v>
      </c>
      <c r="Y49" s="8" t="s">
        <v>379</v>
      </c>
      <c r="Z49" s="12">
        <v>13.19</v>
      </c>
      <c r="AA49" s="12">
        <v>0</v>
      </c>
      <c r="AB49" s="12">
        <v>0</v>
      </c>
      <c r="AC49" s="12">
        <v>0</v>
      </c>
      <c r="AD49" s="12">
        <v>0</v>
      </c>
      <c r="AE49" s="12">
        <v>52.54</v>
      </c>
      <c r="AG49" s="8" t="s">
        <v>431</v>
      </c>
      <c r="AH49" s="12">
        <v>-271.6644</v>
      </c>
      <c r="AI49" s="12">
        <v>-245.08</v>
      </c>
      <c r="AJ49" s="12">
        <v>-213.59</v>
      </c>
      <c r="AK49" s="12">
        <v>-309.12</v>
      </c>
      <c r="AL49" s="12">
        <v>-441.52</v>
      </c>
      <c r="AM49" s="12">
        <v>-550.19000000000005</v>
      </c>
    </row>
    <row r="50" spans="1:39" x14ac:dyDescent="0.3">
      <c r="A50" s="8" t="s">
        <v>245</v>
      </c>
      <c r="B50" s="12">
        <v>-37532.03</v>
      </c>
      <c r="C50" s="12">
        <v>-41467.26</v>
      </c>
      <c r="D50" s="12">
        <v>-40655.69</v>
      </c>
      <c r="E50" s="12">
        <v>-19975.68</v>
      </c>
      <c r="F50" s="12">
        <v>-2882.65</v>
      </c>
      <c r="G50" s="12">
        <v>2761.32</v>
      </c>
      <c r="I50" s="8" t="s">
        <v>308</v>
      </c>
      <c r="J50" s="12">
        <v>-490.34</v>
      </c>
      <c r="K50" s="12">
        <v>-226.25</v>
      </c>
      <c r="L50" s="12">
        <v>-233.33</v>
      </c>
      <c r="M50" s="12">
        <v>-278.32</v>
      </c>
      <c r="N50" s="12">
        <v>-441.35</v>
      </c>
      <c r="O50" s="12">
        <v>-403.35</v>
      </c>
      <c r="Q50" s="5" t="s">
        <v>344</v>
      </c>
      <c r="R50" s="27">
        <f>R33+R41+R49</f>
        <v>-27.969999999999985</v>
      </c>
      <c r="S50" s="27">
        <f t="shared" ref="S50:W50" si="21">S33+S41+S49</f>
        <v>53.260000000000559</v>
      </c>
      <c r="T50" s="27">
        <f t="shared" si="21"/>
        <v>7.4600000000000364</v>
      </c>
      <c r="U50" s="27">
        <f t="shared" si="21"/>
        <v>70.7199999999998</v>
      </c>
      <c r="V50" s="27">
        <f t="shared" si="21"/>
        <v>-56.579999999999785</v>
      </c>
      <c r="W50" s="27">
        <f t="shared" si="21"/>
        <v>319.0900000000002</v>
      </c>
      <c r="Y50" s="8" t="s">
        <v>380</v>
      </c>
      <c r="Z50" s="12">
        <v>0</v>
      </c>
      <c r="AA50" s="12">
        <v>295.77999999999997</v>
      </c>
      <c r="AB50" s="12">
        <v>1005.73</v>
      </c>
      <c r="AC50" s="12">
        <v>2887.3</v>
      </c>
      <c r="AD50" s="12">
        <v>214.67</v>
      </c>
      <c r="AE50" s="12">
        <v>1065.3699999999999</v>
      </c>
      <c r="AG50" s="8" t="s">
        <v>432</v>
      </c>
      <c r="AH50" s="12">
        <v>-23.200800000000001</v>
      </c>
      <c r="AI50" s="12">
        <f>-4.88-22.92</f>
        <v>-27.8</v>
      </c>
      <c r="AJ50" s="12">
        <f>2.57-24.3</f>
        <v>-21.73</v>
      </c>
      <c r="AK50" s="12">
        <v>-22.68</v>
      </c>
      <c r="AL50" s="12">
        <v>-19.8</v>
      </c>
      <c r="AM50" s="12">
        <f>-17.79-4.25</f>
        <v>-22.04</v>
      </c>
    </row>
    <row r="51" spans="1:39" x14ac:dyDescent="0.3">
      <c r="A51" s="8" t="s">
        <v>246</v>
      </c>
      <c r="B51" s="12">
        <v>37794.620000000003</v>
      </c>
      <c r="C51" s="12">
        <v>42499.03</v>
      </c>
      <c r="D51" s="12">
        <v>41066.75</v>
      </c>
      <c r="E51" s="12">
        <v>21365.98</v>
      </c>
      <c r="F51" s="12">
        <v>3305.05</v>
      </c>
      <c r="G51" s="12">
        <v>-71.37</v>
      </c>
      <c r="I51" s="8" t="s">
        <v>309</v>
      </c>
      <c r="J51" s="12">
        <v>688.29</v>
      </c>
      <c r="K51" s="12">
        <v>-236.8</v>
      </c>
      <c r="L51" s="12">
        <v>-313.14999999999998</v>
      </c>
      <c r="M51" s="12">
        <v>-608.19000000000005</v>
      </c>
      <c r="N51" s="12">
        <v>86.79</v>
      </c>
      <c r="O51" s="12">
        <v>184.61</v>
      </c>
      <c r="Q51" s="8" t="s">
        <v>345</v>
      </c>
      <c r="R51" s="12">
        <v>175.23</v>
      </c>
      <c r="S51" s="12">
        <f>R54</f>
        <v>152.67999999999998</v>
      </c>
      <c r="T51" s="12">
        <f t="shared" ref="T51:W51" si="22">S54</f>
        <v>199.79000000000053</v>
      </c>
      <c r="U51" s="12">
        <f t="shared" si="22"/>
        <v>207.63000000000056</v>
      </c>
      <c r="V51" s="12">
        <f t="shared" si="22"/>
        <v>281.16000000000037</v>
      </c>
      <c r="W51" s="12">
        <f t="shared" si="22"/>
        <v>205.11000000000058</v>
      </c>
      <c r="Y51" s="8" t="s">
        <v>381</v>
      </c>
      <c r="Z51" s="12">
        <v>0</v>
      </c>
      <c r="AA51" s="12">
        <v>11530.82</v>
      </c>
      <c r="AB51" s="12">
        <v>-59.52</v>
      </c>
      <c r="AC51" s="12">
        <v>-96.99</v>
      </c>
      <c r="AD51" s="12">
        <v>651.33000000000004</v>
      </c>
      <c r="AE51" s="12">
        <v>634.20000000000005</v>
      </c>
      <c r="AG51" s="8" t="s">
        <v>342</v>
      </c>
      <c r="AH51" s="12">
        <v>-23.339500000000001</v>
      </c>
      <c r="AI51" s="12">
        <v>-475.38</v>
      </c>
      <c r="AJ51" s="12">
        <v>-421.17</v>
      </c>
      <c r="AK51" s="12">
        <v>-433.47</v>
      </c>
      <c r="AL51" s="12">
        <v>-443.93</v>
      </c>
      <c r="AM51" s="12">
        <v>-439.94</v>
      </c>
    </row>
    <row r="52" spans="1:39" x14ac:dyDescent="0.3">
      <c r="A52" s="8" t="s">
        <v>247</v>
      </c>
      <c r="B52" s="12">
        <v>1064.74</v>
      </c>
      <c r="C52" s="12">
        <v>-370.38</v>
      </c>
      <c r="D52" s="12">
        <v>116.27</v>
      </c>
      <c r="E52" s="12">
        <v>0</v>
      </c>
      <c r="F52" s="12">
        <v>-18.23</v>
      </c>
      <c r="G52" s="12">
        <v>-255.43</v>
      </c>
      <c r="I52" s="8" t="s">
        <v>310</v>
      </c>
      <c r="J52" s="12">
        <v>-32.200000000000003</v>
      </c>
      <c r="K52" s="12">
        <v>-44.49</v>
      </c>
      <c r="L52" s="12">
        <v>380.11</v>
      </c>
      <c r="M52" s="12">
        <v>696.8</v>
      </c>
      <c r="N52" s="12">
        <v>0</v>
      </c>
      <c r="O52" s="12">
        <v>0</v>
      </c>
      <c r="Q52" s="8" t="s">
        <v>334</v>
      </c>
      <c r="R52" s="12">
        <v>5.42</v>
      </c>
      <c r="S52" s="12">
        <v>-6.15</v>
      </c>
      <c r="T52" s="12">
        <v>12.71</v>
      </c>
      <c r="U52" s="12">
        <v>0</v>
      </c>
      <c r="V52" s="12">
        <v>0</v>
      </c>
      <c r="W52" s="12">
        <v>0</v>
      </c>
      <c r="Y52" s="8" t="s">
        <v>382</v>
      </c>
      <c r="Z52" s="12">
        <v>43.16</v>
      </c>
      <c r="AA52" s="12">
        <v>0</v>
      </c>
      <c r="AB52" s="12">
        <v>-87.85</v>
      </c>
      <c r="AC52" s="12">
        <v>-131.22</v>
      </c>
      <c r="AD52" s="12">
        <v>-13.14</v>
      </c>
      <c r="AE52" s="12">
        <v>-1049.8499999999999</v>
      </c>
      <c r="AG52" s="5" t="s">
        <v>433</v>
      </c>
      <c r="AH52" s="27">
        <f>SUM(AH47:AH51)</f>
        <v>827.10529999999994</v>
      </c>
      <c r="AI52" s="27">
        <f t="shared" ref="AI52:AM52" si="23">SUM(AI47:AI51)</f>
        <v>415.69000000000005</v>
      </c>
      <c r="AJ52" s="27">
        <f t="shared" si="23"/>
        <v>-186.78</v>
      </c>
      <c r="AK52" s="27">
        <f t="shared" si="23"/>
        <v>-1048.3200000000002</v>
      </c>
      <c r="AL52" s="27">
        <f t="shared" si="23"/>
        <v>-1286.56</v>
      </c>
      <c r="AM52" s="27">
        <f t="shared" si="23"/>
        <v>-1484.17</v>
      </c>
    </row>
    <row r="53" spans="1:39" x14ac:dyDescent="0.3">
      <c r="A53" s="8" t="s">
        <v>248</v>
      </c>
      <c r="B53" s="12">
        <v>0</v>
      </c>
      <c r="C53" s="12">
        <v>-926.02</v>
      </c>
      <c r="D53" s="12">
        <v>-634.47</v>
      </c>
      <c r="E53" s="12">
        <v>0</v>
      </c>
      <c r="F53" s="12">
        <v>206.4</v>
      </c>
      <c r="G53" s="12">
        <v>327.49</v>
      </c>
      <c r="I53" s="8" t="s">
        <v>311</v>
      </c>
      <c r="J53" s="12">
        <v>-504.15</v>
      </c>
      <c r="K53" s="12">
        <v>-432.89</v>
      </c>
      <c r="L53" s="12">
        <v>-53.02</v>
      </c>
      <c r="M53" s="12">
        <v>-62.44</v>
      </c>
      <c r="N53" s="12">
        <v>-63.6</v>
      </c>
      <c r="O53" s="12">
        <v>-81.69</v>
      </c>
      <c r="Q53" s="8" t="s">
        <v>346</v>
      </c>
      <c r="R53" s="12">
        <v>0</v>
      </c>
      <c r="S53" s="12">
        <v>0</v>
      </c>
      <c r="T53" s="12">
        <v>-12.33</v>
      </c>
      <c r="U53" s="12">
        <v>2.81</v>
      </c>
      <c r="V53" s="12">
        <v>-19.47</v>
      </c>
      <c r="W53" s="12">
        <v>21.51</v>
      </c>
      <c r="Y53" s="8" t="s">
        <v>383</v>
      </c>
      <c r="Z53" s="12">
        <v>-9895.93</v>
      </c>
      <c r="AA53" s="12">
        <v>-121.77</v>
      </c>
      <c r="AB53" s="12">
        <v>9.91</v>
      </c>
      <c r="AC53" s="12">
        <v>6.66</v>
      </c>
      <c r="AD53" s="12">
        <v>0.01</v>
      </c>
      <c r="AE53" s="12">
        <v>29.71</v>
      </c>
      <c r="AG53" s="5" t="s">
        <v>316</v>
      </c>
      <c r="AH53" s="27">
        <f>AH35+AH45+AH52</f>
        <v>-6.5979000000003225</v>
      </c>
      <c r="AI53" s="27">
        <f t="shared" ref="AI53:AM53" si="24">AI35+AI45+AI52</f>
        <v>1147.6000000000004</v>
      </c>
      <c r="AJ53" s="27">
        <f t="shared" si="24"/>
        <v>3187.0200000000004</v>
      </c>
      <c r="AK53" s="27">
        <f t="shared" si="24"/>
        <v>-3757.3099999999995</v>
      </c>
      <c r="AL53" s="27">
        <f t="shared" si="24"/>
        <v>268.77999999999929</v>
      </c>
      <c r="AM53" s="27">
        <f t="shared" si="24"/>
        <v>2017.3499999999995</v>
      </c>
    </row>
    <row r="54" spans="1:39" x14ac:dyDescent="0.3">
      <c r="A54" s="8" t="s">
        <v>249</v>
      </c>
      <c r="B54" s="12">
        <v>58.05</v>
      </c>
      <c r="C54" s="12">
        <v>-188.45</v>
      </c>
      <c r="D54" s="12">
        <v>-3790.49</v>
      </c>
      <c r="E54" s="12">
        <v>607.70000000000005</v>
      </c>
      <c r="F54" s="12">
        <v>213.9</v>
      </c>
      <c r="G54" s="12">
        <v>255.76</v>
      </c>
      <c r="I54" s="8" t="s">
        <v>312</v>
      </c>
      <c r="J54" s="12">
        <v>-120.78</v>
      </c>
      <c r="K54" s="12">
        <v>-126.57</v>
      </c>
      <c r="L54" s="12">
        <v>-405.35</v>
      </c>
      <c r="M54" s="12">
        <v>-491.69</v>
      </c>
      <c r="N54" s="12">
        <v>-503.76</v>
      </c>
      <c r="O54" s="12">
        <v>-566.16999999999996</v>
      </c>
      <c r="Q54" s="5" t="s">
        <v>347</v>
      </c>
      <c r="R54" s="27">
        <f>SUM(R50:R53)</f>
        <v>152.67999999999998</v>
      </c>
      <c r="S54" s="27">
        <f t="shared" ref="S54:W54" si="25">SUM(S50:S53)</f>
        <v>199.79000000000053</v>
      </c>
      <c r="T54" s="27">
        <f t="shared" si="25"/>
        <v>207.63000000000056</v>
      </c>
      <c r="U54" s="27">
        <f t="shared" si="25"/>
        <v>281.16000000000037</v>
      </c>
      <c r="V54" s="27">
        <f t="shared" si="25"/>
        <v>205.11000000000058</v>
      </c>
      <c r="W54" s="27">
        <f t="shared" si="25"/>
        <v>545.71000000000072</v>
      </c>
      <c r="Y54" s="8" t="s">
        <v>384</v>
      </c>
      <c r="Z54" s="12">
        <v>210.72</v>
      </c>
      <c r="AA54" s="12">
        <v>7.07</v>
      </c>
      <c r="AB54" s="12">
        <v>-55.07</v>
      </c>
      <c r="AC54" s="12">
        <v>-14.87</v>
      </c>
      <c r="AD54" s="12">
        <v>-4.97</v>
      </c>
      <c r="AE54" s="12">
        <v>0</v>
      </c>
      <c r="AG54" s="8" t="s">
        <v>434</v>
      </c>
      <c r="AH54" s="12">
        <v>285.2337</v>
      </c>
      <c r="AI54" s="12">
        <f>AH56</f>
        <v>278.63579999999968</v>
      </c>
      <c r="AJ54" s="12">
        <f t="shared" ref="AJ54:AL54" si="26">AI56</f>
        <v>1426.2357999999999</v>
      </c>
      <c r="AK54" s="12">
        <f t="shared" si="26"/>
        <v>4613.2558000000008</v>
      </c>
      <c r="AL54" s="12">
        <f t="shared" si="26"/>
        <v>855.94580000000133</v>
      </c>
      <c r="AM54" s="12">
        <f>AL56</f>
        <v>1123.3258000000005</v>
      </c>
    </row>
    <row r="55" spans="1:39" x14ac:dyDescent="0.3">
      <c r="A55" s="8" t="s">
        <v>250</v>
      </c>
      <c r="B55" s="12">
        <v>492</v>
      </c>
      <c r="C55" s="12">
        <v>0</v>
      </c>
      <c r="D55" s="12">
        <f>-446+286.35</f>
        <v>-159.64999999999998</v>
      </c>
      <c r="E55" s="12">
        <f>-64.64+58.75</f>
        <v>-5.8900000000000006</v>
      </c>
      <c r="F55" s="12">
        <v>0</v>
      </c>
      <c r="G55" s="12">
        <v>0</v>
      </c>
      <c r="I55" s="8" t="s">
        <v>313</v>
      </c>
      <c r="J55" s="12">
        <v>-7.52</v>
      </c>
      <c r="K55" s="12">
        <v>-4.42</v>
      </c>
      <c r="L55" s="12">
        <f>-22.34-15.9</f>
        <v>-38.24</v>
      </c>
      <c r="M55" s="12">
        <f>-96.77-5.43</f>
        <v>-102.19999999999999</v>
      </c>
      <c r="N55" s="12">
        <v>-113.71</v>
      </c>
      <c r="O55" s="12">
        <v>-129.96</v>
      </c>
      <c r="Y55" s="8" t="s">
        <v>385</v>
      </c>
      <c r="Z55" s="12">
        <v>-14.34</v>
      </c>
      <c r="AA55" s="12">
        <v>13.69</v>
      </c>
      <c r="AB55" s="12">
        <v>0</v>
      </c>
      <c r="AC55" s="12">
        <v>0</v>
      </c>
      <c r="AD55" s="12">
        <v>0</v>
      </c>
      <c r="AE55" s="12">
        <v>-1096.56</v>
      </c>
      <c r="AG55" s="8" t="s">
        <v>435</v>
      </c>
      <c r="AH55" s="12">
        <v>0</v>
      </c>
      <c r="AI55" s="12">
        <v>0</v>
      </c>
      <c r="AJ55" s="12">
        <v>0</v>
      </c>
      <c r="AK55" s="12">
        <v>0</v>
      </c>
      <c r="AL55" s="12">
        <v>-1.4</v>
      </c>
      <c r="AM55" s="12">
        <v>-0.04</v>
      </c>
    </row>
    <row r="56" spans="1:39" x14ac:dyDescent="0.3">
      <c r="A56" s="8" t="s">
        <v>251</v>
      </c>
      <c r="B56" s="12">
        <v>8</v>
      </c>
      <c r="C56" s="12">
        <v>7.01</v>
      </c>
      <c r="D56" s="12">
        <v>4.01</v>
      </c>
      <c r="E56" s="12">
        <v>0.35</v>
      </c>
      <c r="F56" s="12">
        <v>0</v>
      </c>
      <c r="G56" s="12">
        <v>0</v>
      </c>
      <c r="I56" s="5" t="s">
        <v>314</v>
      </c>
      <c r="J56" s="27">
        <f>SUM(J46:J55)</f>
        <v>40.290000000000035</v>
      </c>
      <c r="K56" s="27">
        <f t="shared" ref="K56:O56" si="27">SUM(K46:K55)</f>
        <v>-896.68</v>
      </c>
      <c r="L56" s="27">
        <f t="shared" si="27"/>
        <v>24.990000000000016</v>
      </c>
      <c r="M56" s="27">
        <f t="shared" si="27"/>
        <v>-437.88000000000011</v>
      </c>
      <c r="N56" s="27">
        <f t="shared" si="27"/>
        <v>-524.04</v>
      </c>
      <c r="O56" s="27">
        <f t="shared" si="27"/>
        <v>399.65999999999997</v>
      </c>
      <c r="Y56" s="8" t="s">
        <v>386</v>
      </c>
      <c r="Z56" s="12">
        <v>-48</v>
      </c>
      <c r="AA56" s="12">
        <v>0</v>
      </c>
      <c r="AB56" s="12">
        <v>0</v>
      </c>
      <c r="AC56" s="12">
        <v>0</v>
      </c>
      <c r="AD56" s="12">
        <v>0</v>
      </c>
      <c r="AE56" s="12">
        <v>0</v>
      </c>
      <c r="AG56" s="5" t="s">
        <v>399</v>
      </c>
      <c r="AH56" s="27">
        <f>SUM(AH53:AH55)</f>
        <v>278.63579999999968</v>
      </c>
      <c r="AI56" s="27">
        <f t="shared" ref="AI56:AM56" si="28">SUM(AI53:AI55)</f>
        <v>1426.2357999999999</v>
      </c>
      <c r="AJ56" s="27">
        <f t="shared" si="28"/>
        <v>4613.2558000000008</v>
      </c>
      <c r="AK56" s="27">
        <f t="shared" si="28"/>
        <v>855.94580000000133</v>
      </c>
      <c r="AL56" s="27">
        <f t="shared" si="28"/>
        <v>1123.3258000000005</v>
      </c>
      <c r="AM56" s="27">
        <f t="shared" si="28"/>
        <v>3140.6358</v>
      </c>
    </row>
    <row r="57" spans="1:39" x14ac:dyDescent="0.3">
      <c r="A57" s="8" t="s">
        <v>252</v>
      </c>
      <c r="B57" s="12">
        <v>1977.37</v>
      </c>
      <c r="C57" s="12">
        <v>2156.1999999999998</v>
      </c>
      <c r="D57" s="12">
        <v>1819.31</v>
      </c>
      <c r="E57" s="12">
        <v>1461</v>
      </c>
      <c r="F57" s="12">
        <v>969.16</v>
      </c>
      <c r="G57" s="12">
        <v>610.53</v>
      </c>
      <c r="I57" s="8" t="s">
        <v>315</v>
      </c>
      <c r="J57" s="12">
        <v>-0.37</v>
      </c>
      <c r="K57" s="12">
        <v>0.74</v>
      </c>
      <c r="L57" s="12">
        <v>0</v>
      </c>
      <c r="M57" s="12">
        <v>3.37</v>
      </c>
      <c r="N57" s="12">
        <v>-3.13</v>
      </c>
      <c r="O57" s="12">
        <v>0.14000000000000001</v>
      </c>
      <c r="Y57" s="5" t="s">
        <v>387</v>
      </c>
      <c r="Z57" s="27">
        <f>SUM(Z38:Z56)</f>
        <v>-8256.2700000000023</v>
      </c>
      <c r="AA57" s="27">
        <f t="shared" ref="AA57:AE57" si="29">SUM(AA38:AA56)</f>
        <v>-5428.8399999999992</v>
      </c>
      <c r="AB57" s="27">
        <f t="shared" si="29"/>
        <v>-3667.6799999999994</v>
      </c>
      <c r="AC57" s="27">
        <f t="shared" si="29"/>
        <v>-8311.7000000000025</v>
      </c>
      <c r="AD57" s="27">
        <f t="shared" si="29"/>
        <v>2163.04</v>
      </c>
      <c r="AE57" s="27">
        <f t="shared" si="29"/>
        <v>-15517.509999999998</v>
      </c>
    </row>
    <row r="58" spans="1:39" x14ac:dyDescent="0.3">
      <c r="A58" s="5" t="s">
        <v>253</v>
      </c>
      <c r="B58" s="27">
        <f>SUM(B41:B57)</f>
        <v>-750.41999999999462</v>
      </c>
      <c r="C58" s="27">
        <f t="shared" ref="C58:G58" si="30">SUM(C41:C57)</f>
        <v>-14142.670000000006</v>
      </c>
      <c r="D58" s="27">
        <f t="shared" si="30"/>
        <v>-5281.8200000000015</v>
      </c>
      <c r="E58" s="27">
        <f t="shared" si="30"/>
        <v>-19603.600000000006</v>
      </c>
      <c r="F58" s="27">
        <f t="shared" si="30"/>
        <v>-6946.5500000000029</v>
      </c>
      <c r="G58" s="27">
        <f t="shared" si="30"/>
        <v>-9787.27</v>
      </c>
      <c r="I58" s="5" t="s">
        <v>316</v>
      </c>
      <c r="J58" s="27">
        <f>J29+J44+J56+J57</f>
        <v>229.84000000000032</v>
      </c>
      <c r="K58" s="27">
        <f t="shared" ref="K58:M58" si="31">K29+K44+K56+K57</f>
        <v>42.809999999999597</v>
      </c>
      <c r="L58" s="27">
        <f t="shared" si="31"/>
        <v>483.63000000000011</v>
      </c>
      <c r="M58" s="27">
        <f t="shared" si="31"/>
        <v>-104.25000000000023</v>
      </c>
      <c r="N58" s="27">
        <f t="shared" ref="N58" si="32">N29+N44+N56+N57</f>
        <v>52.700000000000152</v>
      </c>
      <c r="O58" s="27">
        <f t="shared" ref="O58" si="33">O29+O44+O56+O57</f>
        <v>595.25</v>
      </c>
      <c r="Y58" s="23" t="s">
        <v>338</v>
      </c>
      <c r="Z58" s="29"/>
      <c r="AA58" s="29"/>
      <c r="AB58" s="29"/>
      <c r="AC58" s="29"/>
      <c r="AD58" s="29"/>
      <c r="AE58" s="29"/>
    </row>
    <row r="59" spans="1:39" x14ac:dyDescent="0.3">
      <c r="A59" s="23" t="s">
        <v>254</v>
      </c>
      <c r="B59" s="28"/>
      <c r="C59" s="28"/>
      <c r="D59" s="28"/>
      <c r="E59" s="28"/>
      <c r="F59" s="28"/>
      <c r="G59" s="28"/>
      <c r="I59" s="8" t="s">
        <v>317</v>
      </c>
      <c r="J59" s="12">
        <v>36.770000000000003</v>
      </c>
      <c r="K59" s="12">
        <v>0</v>
      </c>
      <c r="L59" s="12">
        <v>40.6</v>
      </c>
      <c r="M59" s="12">
        <v>0</v>
      </c>
      <c r="N59" s="12">
        <v>0</v>
      </c>
      <c r="O59" s="12">
        <v>0</v>
      </c>
      <c r="Y59" s="8" t="s">
        <v>388</v>
      </c>
      <c r="Z59" s="12">
        <v>17.559999999999999</v>
      </c>
      <c r="AA59" s="12">
        <v>15.85</v>
      </c>
      <c r="AB59" s="12">
        <v>10.97</v>
      </c>
      <c r="AC59" s="12">
        <v>10.31</v>
      </c>
      <c r="AD59" s="12">
        <v>9.65</v>
      </c>
      <c r="AE59" s="12">
        <v>9.32</v>
      </c>
    </row>
    <row r="60" spans="1:39" x14ac:dyDescent="0.3">
      <c r="A60" s="8" t="s">
        <v>255</v>
      </c>
      <c r="B60" s="12">
        <v>12199.12</v>
      </c>
      <c r="C60" s="12">
        <v>13893.45</v>
      </c>
      <c r="D60" s="12">
        <v>7244.31</v>
      </c>
      <c r="E60" s="12">
        <v>7445.87</v>
      </c>
      <c r="F60" s="12">
        <v>1929.75</v>
      </c>
      <c r="G60" s="12">
        <v>3913.34</v>
      </c>
      <c r="I60" s="8" t="s">
        <v>318</v>
      </c>
      <c r="J60" s="12">
        <v>-1.84</v>
      </c>
      <c r="K60" s="12">
        <v>-14.06</v>
      </c>
      <c r="L60" s="12">
        <v>0</v>
      </c>
      <c r="M60" s="12">
        <v>0</v>
      </c>
      <c r="N60" s="12">
        <v>0</v>
      </c>
      <c r="O60" s="12">
        <v>0</v>
      </c>
      <c r="Y60" s="8" t="s">
        <v>255</v>
      </c>
      <c r="Z60" s="12">
        <v>42587.43</v>
      </c>
      <c r="AA60" s="12">
        <v>35737.519999999997</v>
      </c>
      <c r="AB60" s="12">
        <v>24654.13</v>
      </c>
      <c r="AC60" s="12">
        <v>27940.93</v>
      </c>
      <c r="AD60" s="12">
        <v>23125.43</v>
      </c>
      <c r="AE60" s="12">
        <v>38199.71</v>
      </c>
    </row>
    <row r="61" spans="1:39" x14ac:dyDescent="0.3">
      <c r="A61" s="8" t="s">
        <v>256</v>
      </c>
      <c r="B61" s="12">
        <v>-7063.39</v>
      </c>
      <c r="C61" s="12">
        <v>-7252.6</v>
      </c>
      <c r="D61" s="12">
        <v>-2293.1</v>
      </c>
      <c r="E61" s="12">
        <v>-1710.69</v>
      </c>
      <c r="F61" s="12">
        <v>-474.97</v>
      </c>
      <c r="G61" s="12">
        <v>-50.46</v>
      </c>
      <c r="I61" s="8" t="s">
        <v>319</v>
      </c>
      <c r="J61" s="12">
        <v>244.01</v>
      </c>
      <c r="K61" s="12">
        <f>J62</f>
        <v>508.41000000000031</v>
      </c>
      <c r="L61" s="12">
        <f>K62</f>
        <v>537.89999999999986</v>
      </c>
      <c r="M61" s="12">
        <f>L62</f>
        <v>1062.1300000000001</v>
      </c>
      <c r="N61" s="12">
        <f>M62</f>
        <v>961.24999999999989</v>
      </c>
      <c r="O61" s="12">
        <f>N62</f>
        <v>1010.82</v>
      </c>
      <c r="Y61" s="8" t="s">
        <v>256</v>
      </c>
      <c r="Z61" s="12">
        <v>-33685.03</v>
      </c>
      <c r="AA61" s="12">
        <v>-38318.78</v>
      </c>
      <c r="AB61" s="12">
        <v>-35806.44</v>
      </c>
      <c r="AC61" s="12">
        <v>-32794.99</v>
      </c>
      <c r="AD61" s="12">
        <v>-24356.65</v>
      </c>
      <c r="AE61" s="12">
        <v>-30782.41</v>
      </c>
    </row>
    <row r="62" spans="1:39" x14ac:dyDescent="0.3">
      <c r="A62" s="8" t="s">
        <v>257</v>
      </c>
      <c r="B62" s="12">
        <v>3649.5</v>
      </c>
      <c r="C62" s="12">
        <v>5100</v>
      </c>
      <c r="D62" s="12">
        <v>2576.38</v>
      </c>
      <c r="E62" s="12">
        <v>-5389.83</v>
      </c>
      <c r="F62" s="12">
        <v>-5583.81</v>
      </c>
      <c r="G62" s="12">
        <v>-6723.48</v>
      </c>
      <c r="I62" s="5" t="s">
        <v>320</v>
      </c>
      <c r="J62" s="27">
        <f>SUM(J57:J61)</f>
        <v>508.41000000000031</v>
      </c>
      <c r="K62" s="27">
        <f t="shared" ref="K62:O62" si="34">SUM(K57:K61)</f>
        <v>537.89999999999986</v>
      </c>
      <c r="L62" s="27">
        <f t="shared" si="34"/>
        <v>1062.1300000000001</v>
      </c>
      <c r="M62" s="27">
        <f>SUM(M57:M61)</f>
        <v>961.24999999999989</v>
      </c>
      <c r="N62" s="27">
        <f t="shared" si="34"/>
        <v>1010.82</v>
      </c>
      <c r="O62" s="27">
        <f t="shared" si="34"/>
        <v>1606.21</v>
      </c>
      <c r="Y62" s="8" t="s">
        <v>389</v>
      </c>
      <c r="Z62" s="12">
        <v>4915.2</v>
      </c>
      <c r="AA62" s="12">
        <v>-6151.2</v>
      </c>
      <c r="AB62" s="12">
        <v>2739.13</v>
      </c>
      <c r="AC62" s="12">
        <v>357.4</v>
      </c>
      <c r="AD62" s="12">
        <v>-10000</v>
      </c>
      <c r="AE62" s="12">
        <v>0</v>
      </c>
    </row>
    <row r="63" spans="1:39" x14ac:dyDescent="0.3">
      <c r="A63" s="8" t="s">
        <v>258</v>
      </c>
      <c r="B63" s="12">
        <v>-4608.59</v>
      </c>
      <c r="C63" s="12">
        <v>-6350</v>
      </c>
      <c r="D63" s="12">
        <v>-5426.88</v>
      </c>
      <c r="E63" s="12">
        <v>-25.02</v>
      </c>
      <c r="F63" s="12">
        <v>235.16</v>
      </c>
      <c r="G63" s="12">
        <v>386.51</v>
      </c>
      <c r="Y63" s="8" t="s">
        <v>390</v>
      </c>
      <c r="Z63" s="12">
        <v>-60.05</v>
      </c>
      <c r="AA63" s="12">
        <v>796.02</v>
      </c>
      <c r="AB63" s="12">
        <v>-1019.59</v>
      </c>
      <c r="AC63" s="12">
        <v>-612.58000000000004</v>
      </c>
      <c r="AD63" s="12">
        <v>-2253.33</v>
      </c>
      <c r="AE63" s="12">
        <v>0</v>
      </c>
    </row>
    <row r="64" spans="1:39" x14ac:dyDescent="0.3">
      <c r="A64" s="8" t="s">
        <v>259</v>
      </c>
      <c r="B64" s="12">
        <v>-3775.12</v>
      </c>
      <c r="C64" s="12">
        <v>100</v>
      </c>
      <c r="D64" s="12">
        <v>800</v>
      </c>
      <c r="E64" s="12">
        <v>0</v>
      </c>
      <c r="F64" s="12">
        <v>0</v>
      </c>
      <c r="G64" s="12">
        <v>0</v>
      </c>
      <c r="Y64" s="8" t="s">
        <v>391</v>
      </c>
      <c r="Z64" s="12">
        <v>308.29000000000002</v>
      </c>
      <c r="AA64" s="12">
        <v>66.73</v>
      </c>
      <c r="AB64" s="12">
        <v>143.82</v>
      </c>
      <c r="AC64" s="12">
        <v>87.93</v>
      </c>
      <c r="AD64" s="12">
        <f>-26.55+49.65-459.89</f>
        <v>-436.78999999999996</v>
      </c>
      <c r="AE64" s="12">
        <f>50.24-562.3</f>
        <v>-512.05999999999995</v>
      </c>
    </row>
    <row r="65" spans="1:31" x14ac:dyDescent="0.3">
      <c r="A65" s="8" t="s">
        <v>260</v>
      </c>
      <c r="B65" s="12">
        <v>-1923.87</v>
      </c>
      <c r="C65" s="12">
        <v>-1937.73</v>
      </c>
      <c r="D65" s="12">
        <v>-2550.5100000000002</v>
      </c>
      <c r="E65" s="12">
        <v>-2371</v>
      </c>
      <c r="F65" s="12">
        <v>-2808.51</v>
      </c>
      <c r="G65" s="12">
        <v>-2578.5</v>
      </c>
      <c r="Y65" s="8" t="s">
        <v>392</v>
      </c>
      <c r="Z65" s="12">
        <v>-3929.61</v>
      </c>
      <c r="AA65" s="12">
        <v>-3650.89</v>
      </c>
      <c r="AB65" s="12">
        <v>-2528.38</v>
      </c>
      <c r="AC65" s="12">
        <v>-3091.42</v>
      </c>
      <c r="AD65" s="12">
        <v>-4216.95</v>
      </c>
      <c r="AE65" s="12">
        <v>-3849.57</v>
      </c>
    </row>
    <row r="66" spans="1:31" x14ac:dyDescent="0.3">
      <c r="A66" s="8" t="s">
        <v>261</v>
      </c>
      <c r="B66" s="12">
        <v>-13.42</v>
      </c>
      <c r="C66" s="12">
        <v>-18.100000000000001</v>
      </c>
      <c r="D66" s="12">
        <v>-61.7</v>
      </c>
      <c r="E66" s="12">
        <v>-53.01</v>
      </c>
      <c r="F66" s="12">
        <v>-47.53</v>
      </c>
      <c r="G66" s="12">
        <v>-281.7</v>
      </c>
      <c r="Y66" s="8" t="s">
        <v>393</v>
      </c>
      <c r="Z66" s="12">
        <v>-621.72</v>
      </c>
      <c r="AA66" s="12">
        <v>0</v>
      </c>
      <c r="AB66" s="12">
        <v>0</v>
      </c>
      <c r="AC66" s="12">
        <v>0</v>
      </c>
      <c r="AD66" s="12">
        <v>-2871.15</v>
      </c>
      <c r="AE66" s="12">
        <v>8297.2999999999993</v>
      </c>
    </row>
    <row r="67" spans="1:31" x14ac:dyDescent="0.3">
      <c r="A67" s="8" t="s">
        <v>262</v>
      </c>
      <c r="B67" s="12">
        <v>-1960</v>
      </c>
      <c r="C67" s="12">
        <v>0</v>
      </c>
      <c r="D67" s="12">
        <v>109.25</v>
      </c>
      <c r="E67" s="12">
        <v>945.5</v>
      </c>
      <c r="F67" s="12">
        <v>29.48</v>
      </c>
      <c r="G67" s="12">
        <v>-244.95</v>
      </c>
      <c r="Y67" s="8" t="s">
        <v>394</v>
      </c>
      <c r="Z67" s="12">
        <v>-258.02999999999997</v>
      </c>
      <c r="AA67" s="12">
        <v>-381.64</v>
      </c>
      <c r="AB67" s="12">
        <v>-407.2</v>
      </c>
      <c r="AC67" s="12">
        <v>-423.34</v>
      </c>
      <c r="AD67" s="12">
        <v>-808.09</v>
      </c>
      <c r="AE67" s="12">
        <v>-1196.18</v>
      </c>
    </row>
    <row r="68" spans="1:31" x14ac:dyDescent="0.3">
      <c r="A68" s="8" t="s">
        <v>263</v>
      </c>
      <c r="B68" s="12">
        <v>-10.72</v>
      </c>
      <c r="C68" s="12">
        <v>0</v>
      </c>
      <c r="D68" s="12">
        <v>43.13</v>
      </c>
      <c r="E68" s="12">
        <v>-482.71</v>
      </c>
      <c r="F68" s="12">
        <v>0</v>
      </c>
      <c r="G68" s="12">
        <v>0</v>
      </c>
      <c r="Y68" s="8" t="s">
        <v>395</v>
      </c>
      <c r="Z68" s="12">
        <v>-162.79</v>
      </c>
      <c r="AA68" s="12">
        <v>-203.57</v>
      </c>
      <c r="AB68" s="12">
        <v>-155.59</v>
      </c>
      <c r="AC68" s="12">
        <v>-158.1</v>
      </c>
      <c r="AD68" s="12">
        <v>-167.21</v>
      </c>
      <c r="AE68" s="12">
        <v>-193.84</v>
      </c>
    </row>
    <row r="69" spans="1:31" x14ac:dyDescent="0.3">
      <c r="A69" s="8" t="s">
        <v>264</v>
      </c>
      <c r="B69" s="12">
        <v>-12.4</v>
      </c>
      <c r="C69" s="12">
        <v>0</v>
      </c>
      <c r="D69" s="12">
        <v>0</v>
      </c>
      <c r="E69" s="12">
        <v>0</v>
      </c>
      <c r="F69" s="12">
        <v>0</v>
      </c>
      <c r="G69" s="12">
        <v>0</v>
      </c>
      <c r="Y69" s="8" t="s">
        <v>395</v>
      </c>
      <c r="Z69" s="12">
        <v>-2739.7</v>
      </c>
      <c r="AA69" s="12">
        <v>-3184.42</v>
      </c>
      <c r="AB69" s="12">
        <v>-2812.33</v>
      </c>
      <c r="AC69" s="12">
        <v>-2888.63</v>
      </c>
      <c r="AD69" s="12">
        <v>-3438.27</v>
      </c>
      <c r="AE69" s="12">
        <v>-3415.65</v>
      </c>
    </row>
    <row r="70" spans="1:31" x14ac:dyDescent="0.3">
      <c r="A70" s="8" t="s">
        <v>265</v>
      </c>
      <c r="B70" s="12">
        <v>107.88</v>
      </c>
      <c r="C70" s="12">
        <v>-20.94</v>
      </c>
      <c r="D70" s="12">
        <v>0</v>
      </c>
      <c r="E70" s="12">
        <v>0</v>
      </c>
      <c r="F70" s="12">
        <v>0</v>
      </c>
      <c r="G70" s="12">
        <v>0</v>
      </c>
      <c r="Y70" s="5" t="s">
        <v>396</v>
      </c>
      <c r="Z70" s="27">
        <f>SUM(Z59:Z69)</f>
        <v>6371.55</v>
      </c>
      <c r="AA70" s="27">
        <f t="shared" ref="AA70:AE70" si="35">SUM(AA59:AA69)</f>
        <v>-15274.380000000003</v>
      </c>
      <c r="AB70" s="27">
        <f t="shared" si="35"/>
        <v>-15181.480000000001</v>
      </c>
      <c r="AC70" s="27">
        <f t="shared" si="35"/>
        <v>-11572.489999999998</v>
      </c>
      <c r="AD70" s="27">
        <f t="shared" si="35"/>
        <v>-25413.360000000001</v>
      </c>
      <c r="AE70" s="27">
        <f t="shared" si="35"/>
        <v>6556.619999999999</v>
      </c>
    </row>
    <row r="71" spans="1:31" x14ac:dyDescent="0.3">
      <c r="A71" s="8" t="s">
        <v>266</v>
      </c>
      <c r="B71" s="12">
        <v>-699.93</v>
      </c>
      <c r="C71" s="12">
        <v>-0.23</v>
      </c>
      <c r="D71" s="12">
        <v>-1026.6500000000001</v>
      </c>
      <c r="E71" s="12">
        <v>-1092.9100000000001</v>
      </c>
      <c r="F71" s="12">
        <v>-1079.68</v>
      </c>
      <c r="G71" s="12">
        <v>-1336.28</v>
      </c>
      <c r="Y71" s="5" t="s">
        <v>397</v>
      </c>
      <c r="Z71" s="27">
        <f>Z36+Z57+Z70</f>
        <v>4809.159999999998</v>
      </c>
      <c r="AA71" s="27">
        <f t="shared" ref="AA71:AE71" si="36">AA36+AA57+AA70</f>
        <v>2140.9199999999892</v>
      </c>
      <c r="AB71" s="27">
        <f t="shared" si="36"/>
        <v>314.41000000000167</v>
      </c>
      <c r="AC71" s="27">
        <f t="shared" si="36"/>
        <v>2892.7699999999986</v>
      </c>
      <c r="AD71" s="27">
        <f t="shared" si="36"/>
        <v>-4984.0399999999972</v>
      </c>
      <c r="AE71" s="27">
        <f t="shared" si="36"/>
        <v>199.82000000000153</v>
      </c>
    </row>
    <row r="72" spans="1:31" x14ac:dyDescent="0.3">
      <c r="A72" s="8" t="s">
        <v>267</v>
      </c>
      <c r="B72" s="12">
        <v>-144.69</v>
      </c>
      <c r="C72" s="12">
        <v>0</v>
      </c>
      <c r="D72" s="12">
        <v>0</v>
      </c>
      <c r="E72" s="12">
        <v>0</v>
      </c>
      <c r="F72" s="12">
        <v>0</v>
      </c>
      <c r="G72" s="12">
        <v>0</v>
      </c>
      <c r="Y72" s="8" t="s">
        <v>319</v>
      </c>
      <c r="Z72" s="12">
        <v>6460.23</v>
      </c>
      <c r="AA72" s="12">
        <f>Z74</f>
        <v>11117.949999999997</v>
      </c>
      <c r="AB72" s="12">
        <f t="shared" ref="AB72:AE72" si="37">AA74</f>
        <v>13257.009999999986</v>
      </c>
      <c r="AC72" s="12">
        <f t="shared" si="37"/>
        <v>13653.719999999987</v>
      </c>
      <c r="AD72" s="12">
        <f t="shared" si="37"/>
        <v>16810.169999999984</v>
      </c>
      <c r="AE72" s="12">
        <f t="shared" si="37"/>
        <v>11841.979999999987</v>
      </c>
    </row>
    <row r="73" spans="1:31" x14ac:dyDescent="0.3">
      <c r="A73" s="5" t="s">
        <v>268</v>
      </c>
      <c r="B73" s="27">
        <f>SUM(B60:B72)</f>
        <v>-4255.63</v>
      </c>
      <c r="C73" s="27">
        <f t="shared" ref="C73:G73" si="38">SUM(C60:C72)</f>
        <v>3513.8500000000004</v>
      </c>
      <c r="D73" s="27">
        <f t="shared" si="38"/>
        <v>-585.7699999999993</v>
      </c>
      <c r="E73" s="27">
        <f t="shared" si="38"/>
        <v>-2733.8</v>
      </c>
      <c r="F73" s="27">
        <f t="shared" si="38"/>
        <v>-7800.1100000000015</v>
      </c>
      <c r="G73" s="27">
        <f t="shared" si="38"/>
        <v>-6915.5199999999986</v>
      </c>
      <c r="Y73" s="8" t="s">
        <v>398</v>
      </c>
      <c r="Z73" s="12">
        <v>-151.44</v>
      </c>
      <c r="AA73" s="12">
        <v>-1.86</v>
      </c>
      <c r="AB73" s="12">
        <v>82.3</v>
      </c>
      <c r="AC73" s="12">
        <v>263.68</v>
      </c>
      <c r="AD73" s="12">
        <v>15.85</v>
      </c>
      <c r="AE73" s="12">
        <v>28.68</v>
      </c>
    </row>
    <row r="74" spans="1:31" x14ac:dyDescent="0.3">
      <c r="A74" s="5" t="s">
        <v>269</v>
      </c>
      <c r="B74" s="27">
        <f>B39+B58+B73</f>
        <v>2395.7600000000066</v>
      </c>
      <c r="C74" s="27">
        <f t="shared" ref="C74:G74" si="39">C39+C58+C73</f>
        <v>-3073.0400000000027</v>
      </c>
      <c r="D74" s="27">
        <f t="shared" si="39"/>
        <v>4552.5500000000056</v>
      </c>
      <c r="E74" s="27">
        <f t="shared" si="39"/>
        <v>-10404.150000000005</v>
      </c>
      <c r="F74" s="27">
        <f t="shared" si="39"/>
        <v>270.91999999999189</v>
      </c>
      <c r="G74" s="27">
        <f t="shared" si="39"/>
        <v>523.48999999999978</v>
      </c>
      <c r="Y74" s="5" t="s">
        <v>399</v>
      </c>
      <c r="Z74" s="27">
        <f>SUM(Z71:Z73)</f>
        <v>11117.949999999997</v>
      </c>
      <c r="AA74" s="27">
        <f t="shared" ref="AA74:AE74" si="40">SUM(AA71:AA73)</f>
        <v>13257.009999999986</v>
      </c>
      <c r="AB74" s="27">
        <f t="shared" si="40"/>
        <v>13653.719999999987</v>
      </c>
      <c r="AC74" s="27">
        <f t="shared" si="40"/>
        <v>16810.169999999984</v>
      </c>
      <c r="AD74" s="27">
        <f t="shared" si="40"/>
        <v>11841.979999999987</v>
      </c>
      <c r="AE74" s="27">
        <f t="shared" si="40"/>
        <v>12070.479999999989</v>
      </c>
    </row>
    <row r="75" spans="1:31" x14ac:dyDescent="0.3">
      <c r="A75" s="8" t="s">
        <v>270</v>
      </c>
      <c r="B75" s="12">
        <v>4798.1899999999996</v>
      </c>
      <c r="C75" s="12">
        <f>B78</f>
        <v>7195.4600000000064</v>
      </c>
      <c r="D75" s="12">
        <f>C78</f>
        <v>4200.9700000000039</v>
      </c>
      <c r="E75" s="12">
        <f>D78</f>
        <v>8542.2100000000082</v>
      </c>
      <c r="F75" s="12">
        <f>E78</f>
        <v>802.86000000000308</v>
      </c>
      <c r="G75" s="12">
        <f>F78</f>
        <v>1252.769999999995</v>
      </c>
    </row>
    <row r="76" spans="1:31" x14ac:dyDescent="0.3">
      <c r="A76" s="8" t="s">
        <v>271</v>
      </c>
      <c r="B76" s="12">
        <v>2.63</v>
      </c>
      <c r="C76" s="12">
        <v>78.55</v>
      </c>
      <c r="D76" s="12">
        <v>22.14</v>
      </c>
      <c r="E76" s="12">
        <v>2878.31</v>
      </c>
      <c r="F76" s="12">
        <v>178.99</v>
      </c>
      <c r="G76" s="12">
        <v>1307.3599999999999</v>
      </c>
    </row>
    <row r="77" spans="1:31" ht="28.8" x14ac:dyDescent="0.3">
      <c r="A77" s="7" t="s">
        <v>272</v>
      </c>
      <c r="B77" s="12">
        <v>-1.1200000000000001</v>
      </c>
      <c r="C77" s="12">
        <v>0</v>
      </c>
      <c r="D77" s="12">
        <f>-56-177.45</f>
        <v>-233.45</v>
      </c>
      <c r="E77" s="12">
        <v>-213.51</v>
      </c>
      <c r="F77" s="12">
        <v>0</v>
      </c>
      <c r="G77" s="12">
        <v>-0.26</v>
      </c>
    </row>
    <row r="78" spans="1:31" x14ac:dyDescent="0.3">
      <c r="A78" s="5" t="s">
        <v>273</v>
      </c>
      <c r="B78" s="27">
        <f>SUM(B74:B77)</f>
        <v>7195.4600000000064</v>
      </c>
      <c r="C78" s="27">
        <f t="shared" ref="C78:G78" si="41">SUM(C74:C77)</f>
        <v>4200.9700000000039</v>
      </c>
      <c r="D78" s="27">
        <f t="shared" si="41"/>
        <v>8542.2100000000082</v>
      </c>
      <c r="E78" s="27">
        <f t="shared" si="41"/>
        <v>802.86000000000308</v>
      </c>
      <c r="F78" s="27">
        <f t="shared" si="41"/>
        <v>1252.769999999995</v>
      </c>
      <c r="G78" s="27">
        <f t="shared" si="41"/>
        <v>3083.3599999999942</v>
      </c>
    </row>
  </sheetData>
  <mergeCells count="5">
    <mergeCell ref="E2:G2"/>
    <mergeCell ref="M2:O2"/>
    <mergeCell ref="U2:W2"/>
    <mergeCell ref="AC2:AE2"/>
    <mergeCell ref="AK2:AM2"/>
  </mergeCells>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5014-9859-4DA0-A387-67C66C5691B8}">
  <sheetPr codeName="Sheet5"/>
  <dimension ref="A1:AM32"/>
  <sheetViews>
    <sheetView tabSelected="1" topLeftCell="AI4" workbookViewId="0">
      <selection activeCell="AK34" sqref="AK34"/>
    </sheetView>
  </sheetViews>
  <sheetFormatPr defaultRowHeight="14.4" x14ac:dyDescent="0.3"/>
  <cols>
    <col min="1" max="1" width="23.6640625" style="1" bestFit="1" customWidth="1"/>
    <col min="2" max="7" width="11.33203125" style="1" customWidth="1"/>
    <col min="8" max="8" width="8.88671875" style="1"/>
    <col min="9" max="9" width="23.6640625" style="1" bestFit="1" customWidth="1"/>
    <col min="10" max="15" width="11.33203125" style="1" customWidth="1"/>
    <col min="16" max="16" width="8.88671875" style="1"/>
    <col min="17" max="17" width="23.6640625" style="1" bestFit="1" customWidth="1"/>
    <col min="18" max="23" width="11.33203125" style="1" customWidth="1"/>
    <col min="24" max="24" width="8.88671875" style="1"/>
    <col min="25" max="25" width="23.6640625" style="1" bestFit="1" customWidth="1"/>
    <col min="26" max="31" width="11.33203125" style="1" customWidth="1"/>
    <col min="32" max="32" width="8.88671875" style="1"/>
    <col min="33" max="33" width="23.6640625" style="1" bestFit="1" customWidth="1"/>
    <col min="34" max="39" width="11.33203125" style="1" customWidth="1"/>
    <col min="40" max="16384" width="8.88671875" style="1"/>
  </cols>
  <sheetData>
    <row r="1" spans="1:39" ht="31.2" x14ac:dyDescent="0.3">
      <c r="A1" s="17" t="s">
        <v>437</v>
      </c>
    </row>
    <row r="2" spans="1:39" ht="39" customHeight="1" x14ac:dyDescent="0.3">
      <c r="E2" s="127" t="e" vm="1">
        <v>#VALUE!</v>
      </c>
      <c r="F2" s="127"/>
      <c r="G2" s="127"/>
      <c r="M2" s="127" t="e" vm="2">
        <v>#VALUE!</v>
      </c>
      <c r="N2" s="127"/>
      <c r="O2" s="127"/>
      <c r="U2" s="127" t="e" vm="3">
        <v>#VALUE!</v>
      </c>
      <c r="V2" s="127"/>
      <c r="W2" s="127"/>
      <c r="AC2" s="127" t="e" vm="4">
        <v>#VALUE!</v>
      </c>
      <c r="AD2" s="127"/>
      <c r="AE2" s="127"/>
      <c r="AK2" s="127" t="e" vm="5">
        <v>#VALUE!</v>
      </c>
      <c r="AL2" s="127"/>
      <c r="AM2" s="127"/>
    </row>
    <row r="3" spans="1:39" x14ac:dyDescent="0.3">
      <c r="A3" s="18" t="s">
        <v>438</v>
      </c>
      <c r="B3" s="53" t="s">
        <v>65</v>
      </c>
      <c r="C3" s="53" t="s">
        <v>66</v>
      </c>
      <c r="D3" s="53" t="s">
        <v>67</v>
      </c>
      <c r="E3" s="53" t="s">
        <v>68</v>
      </c>
      <c r="F3" s="53" t="s">
        <v>69</v>
      </c>
      <c r="G3" s="54" t="s">
        <v>70</v>
      </c>
      <c r="I3" s="18" t="s">
        <v>438</v>
      </c>
      <c r="J3" s="53" t="s">
        <v>65</v>
      </c>
      <c r="K3" s="53" t="s">
        <v>66</v>
      </c>
      <c r="L3" s="53" t="s">
        <v>67</v>
      </c>
      <c r="M3" s="53" t="s">
        <v>68</v>
      </c>
      <c r="N3" s="53" t="s">
        <v>69</v>
      </c>
      <c r="O3" s="54" t="s">
        <v>70</v>
      </c>
      <c r="Q3" s="18" t="s">
        <v>438</v>
      </c>
      <c r="R3" s="53" t="s">
        <v>65</v>
      </c>
      <c r="S3" s="53" t="s">
        <v>66</v>
      </c>
      <c r="T3" s="53" t="s">
        <v>67</v>
      </c>
      <c r="U3" s="53" t="s">
        <v>68</v>
      </c>
      <c r="V3" s="53" t="s">
        <v>69</v>
      </c>
      <c r="W3" s="54" t="s">
        <v>70</v>
      </c>
      <c r="Y3" s="18" t="s">
        <v>438</v>
      </c>
      <c r="Z3" s="53" t="s">
        <v>65</v>
      </c>
      <c r="AA3" s="53" t="s">
        <v>66</v>
      </c>
      <c r="AB3" s="53" t="s">
        <v>67</v>
      </c>
      <c r="AC3" s="53" t="s">
        <v>68</v>
      </c>
      <c r="AD3" s="53" t="s">
        <v>69</v>
      </c>
      <c r="AE3" s="54" t="s">
        <v>70</v>
      </c>
      <c r="AG3" s="18" t="s">
        <v>438</v>
      </c>
      <c r="AH3" s="53" t="s">
        <v>65</v>
      </c>
      <c r="AI3" s="53" t="s">
        <v>66</v>
      </c>
      <c r="AJ3" s="53" t="s">
        <v>67</v>
      </c>
      <c r="AK3" s="53" t="s">
        <v>68</v>
      </c>
      <c r="AL3" s="53" t="s">
        <v>69</v>
      </c>
      <c r="AM3" s="54" t="s">
        <v>70</v>
      </c>
    </row>
    <row r="4" spans="1:39" x14ac:dyDescent="0.3">
      <c r="A4" s="2" t="s">
        <v>439</v>
      </c>
      <c r="I4" s="2" t="s">
        <v>439</v>
      </c>
      <c r="Q4" s="2" t="s">
        <v>439</v>
      </c>
      <c r="Y4" s="2" t="s">
        <v>439</v>
      </c>
      <c r="AG4" s="2" t="s">
        <v>439</v>
      </c>
    </row>
    <row r="5" spans="1:39" x14ac:dyDescent="0.3">
      <c r="A5" s="8" t="s">
        <v>440</v>
      </c>
      <c r="B5" s="63">
        <f>('Income Statement'!B8-'Income Statement'!B10)/'Income Statement'!B8</f>
        <v>0.77448920303878865</v>
      </c>
      <c r="C5" s="63">
        <f>('Income Statement'!C8-'Income Statement'!C10)/'Income Statement'!C8</f>
        <v>0.77551458935813988</v>
      </c>
      <c r="D5" s="63">
        <f>('Income Statement'!D8-'Income Statement'!D10)/'Income Statement'!D8</f>
        <v>0.74847576658872095</v>
      </c>
      <c r="E5" s="63">
        <f>('Income Statement'!E8-'Income Statement'!E10)/'Income Statement'!E8</f>
        <v>0.74762501344542531</v>
      </c>
      <c r="F5" s="63">
        <f>('Income Statement'!F8-'Income Statement'!F10)/'Income Statement'!F8</f>
        <v>0.74773679385806013</v>
      </c>
      <c r="G5" s="63">
        <f>('Income Statement'!G8-'Income Statement'!G10)/'Income Statement'!G8</f>
        <v>0.7508035060284568</v>
      </c>
      <c r="I5" s="8" t="s">
        <v>440</v>
      </c>
      <c r="J5" s="63">
        <f>('Income Statement'!J7-('Income Statement'!J9+'Income Statement'!J10))/'Income Statement'!J7</f>
        <v>0.58586952078164256</v>
      </c>
      <c r="K5" s="63">
        <f>('Income Statement'!K7-('Income Statement'!K9+'Income Statement'!K10))/'Income Statement'!K7</f>
        <v>0.63439291481708548</v>
      </c>
      <c r="L5" s="63">
        <f>('Income Statement'!L7-('Income Statement'!L9+'Income Statement'!L10))/'Income Statement'!L7</f>
        <v>0.56640186192933006</v>
      </c>
      <c r="M5" s="63">
        <f>('Income Statement'!M7-('Income Statement'!M9+'Income Statement'!M10))/'Income Statement'!M7</f>
        <v>0.57501063950432707</v>
      </c>
      <c r="N5" s="63">
        <f>('Income Statement'!N7-('Income Statement'!N9+'Income Statement'!N10))/'Income Statement'!N7</f>
        <v>0.58329482052693649</v>
      </c>
      <c r="O5" s="63">
        <f>('Income Statement'!O7-('Income Statement'!O9+'Income Statement'!O10))/'Income Statement'!O7</f>
        <v>0.61655687260761105</v>
      </c>
      <c r="Q5" s="8" t="s">
        <v>440</v>
      </c>
      <c r="R5" s="63">
        <f>('Income Statement'!R7-('Income Statement'!R9+'Income Statement'!R10))/'Income Statement'!R7</f>
        <v>0.53311869023176284</v>
      </c>
      <c r="S5" s="63">
        <f>('Income Statement'!S7-('Income Statement'!S9+'Income Statement'!S10))/'Income Statement'!S7</f>
        <v>0.56630036852980659</v>
      </c>
      <c r="T5" s="63">
        <f>('Income Statement'!T7-('Income Statement'!T9+'Income Statement'!T10))/'Income Statement'!T7</f>
        <v>0.5675229668595323</v>
      </c>
      <c r="U5" s="63">
        <f>('Income Statement'!U7-('Income Statement'!U9+'Income Statement'!U10))/'Income Statement'!U7</f>
        <v>0.5917179141952621</v>
      </c>
      <c r="V5" s="63">
        <f>('Income Statement'!V7-('Income Statement'!V9+'Income Statement'!V10))/'Income Statement'!V7</f>
        <v>0.57889683661398195</v>
      </c>
      <c r="W5" s="63">
        <f>('Income Statement'!W7-('Income Statement'!W9+'Income Statement'!W10))/'Income Statement'!W7</f>
        <v>0.54015547351073756</v>
      </c>
      <c r="Y5" s="8" t="s">
        <v>440</v>
      </c>
      <c r="Z5" s="63">
        <f>('Income Statement'!Z8-('Income Statement'!Z11+'Income Statement'!Z12+'Income Statement'!Z13+'Income Statement'!Z14+'Income Statement'!Z16+'Income Statement'!Z17))/'Income Statement'!Z8</f>
        <v>0.57468808955299411</v>
      </c>
      <c r="AA5" s="63">
        <f>('Income Statement'!AA8-('Income Statement'!AA11+'Income Statement'!AA12+'Income Statement'!AA13+'Income Statement'!AA14+'Income Statement'!AA16+'Income Statement'!AA17))/'Income Statement'!AA8</f>
        <v>0.59332659916139907</v>
      </c>
      <c r="AB5" s="63">
        <f>('Income Statement'!AB8-('Income Statement'!AB11+'Income Statement'!AB12+'Income Statement'!AB13+'Income Statement'!AB14+'Income Statement'!AB16+'Income Statement'!AB17))/'Income Statement'!AB8</f>
        <v>0.56443852825185925</v>
      </c>
      <c r="AC5" s="63">
        <f>('Income Statement'!AC8-('Income Statement'!AC11+'Income Statement'!AC12+'Income Statement'!AC13+'Income Statement'!AC14+'Income Statement'!AC16+'Income Statement'!AC17))/'Income Statement'!AC8</f>
        <v>0.54386407205846021</v>
      </c>
      <c r="AD5" s="63">
        <f>('Income Statement'!AD8-('Income Statement'!AD11+'Income Statement'!AD12+'Income Statement'!AD13+'Income Statement'!AD14+'Income Statement'!AD16+'Income Statement'!AD17))/'Income Statement'!AD8</f>
        <v>0.53274235016731397</v>
      </c>
      <c r="AE5" s="63">
        <f>('Income Statement'!AE8-('Income Statement'!AE11+'Income Statement'!AE12+'Income Statement'!AE13+'Income Statement'!AE14+'Income Statement'!AE16+'Income Statement'!AE17))/'Income Statement'!AE8</f>
        <v>0.52243477787034498</v>
      </c>
      <c r="AG5" s="8" t="s">
        <v>440</v>
      </c>
      <c r="AH5" s="63">
        <f>('Income Statement'!AH7-'Income Statement'!AH9)/'Income Statement'!AH7</f>
        <v>9.8438111201757258E-2</v>
      </c>
      <c r="AI5" s="63">
        <f>('Income Statement'!AI7-'Income Statement'!AI9)/'Income Statement'!AI7</f>
        <v>9.2069617975563789E-2</v>
      </c>
      <c r="AJ5" s="63">
        <f>('Income Statement'!AJ7-'Income Statement'!AJ9)/'Income Statement'!AJ7</f>
        <v>0.11853719425507735</v>
      </c>
      <c r="AK5" s="63">
        <f>('Income Statement'!AK7-'Income Statement'!AK9)/'Income Statement'!AK7</f>
        <v>0.11290341761000167</v>
      </c>
      <c r="AL5" s="63">
        <f>('Income Statement'!AL7-'Income Statement'!AL9)/'Income Statement'!AL7</f>
        <v>0.12021518929636742</v>
      </c>
      <c r="AM5" s="63">
        <f>('Income Statement'!AM7-'Income Statement'!AM9)/'Income Statement'!AM7</f>
        <v>0.12537226758195083</v>
      </c>
    </row>
    <row r="6" spans="1:39" x14ac:dyDescent="0.3">
      <c r="A6" s="8" t="s">
        <v>441</v>
      </c>
      <c r="B6" s="63">
        <f>('Income Statement'!B20+'Income Statement'!B16+'Income Statement'!B15)/'Income Statement'!B8</f>
        <v>0.56794243950600032</v>
      </c>
      <c r="C6" s="63">
        <f>('Income Statement'!C20+'Income Statement'!C16+'Income Statement'!C15)/'Income Statement'!C8</f>
        <v>0.73478201879774074</v>
      </c>
      <c r="D6" s="63">
        <f>('Income Statement'!D20+'Income Statement'!D16+'Income Statement'!D15)/'Income Statement'!D8</f>
        <v>0.60737515451717494</v>
      </c>
      <c r="E6" s="63">
        <f>('Income Statement'!E20+'Income Statement'!E16+'Income Statement'!E15)/'Income Statement'!E8</f>
        <v>0.55792869483637642</v>
      </c>
      <c r="F6" s="63">
        <f>('Income Statement'!F20+'Income Statement'!F16+'Income Statement'!F15)/'Income Statement'!F8</f>
        <v>0.61150415562152116</v>
      </c>
      <c r="G6" s="63">
        <f>('Income Statement'!G20+'Income Statement'!G16+'Income Statement'!G15)/'Income Statement'!G8</f>
        <v>0.61909707168064321</v>
      </c>
      <c r="I6" s="8" t="s">
        <v>441</v>
      </c>
      <c r="J6" s="63">
        <f>('Income Statement'!J18+'Income Statement'!J14+'Income Statement'!J13)/'Income Statement'!J7</f>
        <v>0.12009075557316594</v>
      </c>
      <c r="K6" s="63">
        <f>('Income Statement'!K18+'Income Statement'!K14+'Income Statement'!K13)/'Income Statement'!K7</f>
        <v>0.12115429233447494</v>
      </c>
      <c r="L6" s="63">
        <f>('Income Statement'!L18+'Income Statement'!L14+'Income Statement'!L13)/'Income Statement'!L7</f>
        <v>8.5998533596120016E-2</v>
      </c>
      <c r="M6" s="63">
        <f>('Income Statement'!M18+'Income Statement'!M14+'Income Statement'!M13)/'Income Statement'!M7</f>
        <v>8.5923295575795214E-2</v>
      </c>
      <c r="N6" s="63">
        <f>('Income Statement'!N18+'Income Statement'!N14+'Income Statement'!N13)/'Income Statement'!N7</f>
        <v>8.5958552433112068E-2</v>
      </c>
      <c r="O6" s="63">
        <f>('Income Statement'!O18+'Income Statement'!O14+'Income Statement'!O13)/'Income Statement'!O7</f>
        <v>8.4751897600617548E-2</v>
      </c>
      <c r="Q6" s="8" t="s">
        <v>441</v>
      </c>
      <c r="R6" s="63">
        <f>('Income Statement'!R17+'Income Statement'!R12+'Income Statement'!R14)/'Income Statement'!R7</f>
        <v>0.10399140982276082</v>
      </c>
      <c r="S6" s="63">
        <f>('Income Statement'!S17+'Income Statement'!S12+'Income Statement'!S14)/'Income Statement'!S7</f>
        <v>8.9099156124563525E-2</v>
      </c>
      <c r="T6" s="63">
        <f>('Income Statement'!T17+'Income Statement'!T12+'Income Statement'!T14)/'Income Statement'!T7</f>
        <v>6.6658233792706856E-2</v>
      </c>
      <c r="U6" s="63">
        <f>('Income Statement'!U17+'Income Statement'!U12+'Income Statement'!U14)/'Income Statement'!U7</f>
        <v>4.9734217522871486E-2</v>
      </c>
      <c r="V6" s="63">
        <f>('Income Statement'!V17+'Income Statement'!V12+'Income Statement'!V14)/'Income Statement'!V7</f>
        <v>6.3455033360745719E-2</v>
      </c>
      <c r="W6" s="63">
        <f>('Income Statement'!W17+'Income Statement'!W12+'Income Statement'!W14)/'Income Statement'!W7</f>
        <v>7.1849238692628103E-2</v>
      </c>
      <c r="Y6" s="8" t="s">
        <v>441</v>
      </c>
      <c r="Z6" s="63">
        <f>('Income Statement'!Z24+'Income Statement'!Z21+'Income Statement'!Z22)/'Income Statement'!Z8</f>
        <v>0.12644251266767281</v>
      </c>
      <c r="AA6" s="63">
        <f>('Income Statement'!AA24+'Income Statement'!AA21+'Income Statement'!AA22)/'Income Statement'!AA8</f>
        <v>0.13667363468394095</v>
      </c>
      <c r="AB6" s="63">
        <f>('Income Statement'!AB24+'Income Statement'!AB21+'Income Statement'!AB22)/'Income Statement'!AB8</f>
        <v>0.12892441515373507</v>
      </c>
      <c r="AC6" s="63">
        <f>('Income Statement'!AC24+'Income Statement'!AC21+'Income Statement'!AC22)/'Income Statement'!AC8</f>
        <v>0.12714053002774955</v>
      </c>
      <c r="AD6" s="63">
        <f>('Income Statement'!AD24+'Income Statement'!AD21+'Income Statement'!AD22)/'Income Statement'!AD8</f>
        <v>0.12274854448603091</v>
      </c>
      <c r="AE6" s="63">
        <f>('Income Statement'!AE24+'Income Statement'!AE21+'Income Statement'!AE22)/'Income Statement'!AE8</f>
        <v>0.11760042272111376</v>
      </c>
      <c r="AG6" s="8" t="s">
        <v>441</v>
      </c>
      <c r="AH6" s="63">
        <f>('Income Statement'!AH16+'Income Statement'!AH11+'Income Statement'!AH12)/'Income Statement'!AH7</f>
        <v>7.6148977938929496E-2</v>
      </c>
      <c r="AI6" s="63">
        <f>('Income Statement'!AI16+'Income Statement'!AI11+'Income Statement'!AI12)/'Income Statement'!AI7</f>
        <v>6.9853183864971718E-2</v>
      </c>
      <c r="AJ6" s="63">
        <f>('Income Statement'!AJ16+'Income Statement'!AJ11+'Income Statement'!AJ12)/'Income Statement'!AJ7</f>
        <v>0.1002945558277763</v>
      </c>
      <c r="AK6" s="63">
        <f>('Income Statement'!AK16+'Income Statement'!AK11+'Income Statement'!AK12)/'Income Statement'!AK7</f>
        <v>9.8269541976638425E-2</v>
      </c>
      <c r="AL6" s="63">
        <f>('Income Statement'!AL16+'Income Statement'!AL11+'Income Statement'!AL12)/'Income Statement'!AL7</f>
        <v>0.10540741356922015</v>
      </c>
      <c r="AM6" s="63">
        <f>('Income Statement'!AM16+'Income Statement'!AM11+'Income Statement'!AM12)/'Income Statement'!AM7</f>
        <v>0.11000745401910297</v>
      </c>
    </row>
    <row r="7" spans="1:39" x14ac:dyDescent="0.3">
      <c r="A7" s="8" t="s">
        <v>442</v>
      </c>
      <c r="B7" s="63">
        <f>'Income Statement'!B30/'Income Statement'!B8</f>
        <v>0.27555076952648894</v>
      </c>
      <c r="C7" s="63">
        <f>'Income Statement'!C30/'Income Statement'!C8</f>
        <v>0.34771343741627814</v>
      </c>
      <c r="D7" s="63">
        <f>'Income Statement'!D30/'Income Statement'!D8</f>
        <v>0.25607741704670195</v>
      </c>
      <c r="E7" s="63">
        <f>'Income Statement'!E30/'Income Statement'!E8</f>
        <v>0.24068985186153863</v>
      </c>
      <c r="F7" s="63">
        <f>'Income Statement'!F30/'Income Statement'!F8</f>
        <v>0.28727386549015632</v>
      </c>
      <c r="G7" s="63">
        <f>'Income Statement'!G30/'Income Statement'!G8</f>
        <v>0.34157529178818086</v>
      </c>
      <c r="I7" s="8" t="s">
        <v>442</v>
      </c>
      <c r="J7" s="63">
        <f>'Income Statement'!J27/Table7[[#This Row],[2020]]</f>
        <v>3.0628433601575016E-2</v>
      </c>
      <c r="K7" s="63">
        <f>'Income Statement'!K27/Table7[[#This Row],[2021]]</f>
        <v>5.0861755039388556E-2</v>
      </c>
      <c r="L7" s="63">
        <f>'Income Statement'!L27/Table7[[#This Row],[2022]]</f>
        <v>3.5991470641652527E-2</v>
      </c>
      <c r="M7" s="63">
        <f>'Income Statement'!M27/Table7[[#This Row],[2023]]</f>
        <v>2.6523766030897726E-2</v>
      </c>
      <c r="N7" s="63">
        <f>'Income Statement'!N27/Table7[[#This Row],[2024]]</f>
        <v>2.620055844415704E-2</v>
      </c>
      <c r="O7" s="63">
        <f>'Income Statement'!O27/Table7[[#This Row],[2025]]</f>
        <v>2.5349155832490807E-2</v>
      </c>
      <c r="Q7" s="8" t="s">
        <v>442</v>
      </c>
      <c r="R7" s="63">
        <f>'Income Statement'!R24/Table8[[#This Row],[2020]]</f>
        <v>4.7219255757330866E-2</v>
      </c>
      <c r="S7" s="63">
        <f>'Income Statement'!S24/Table8[[#This Row],[2021]]</f>
        <v>4.2050742080869466E-2</v>
      </c>
      <c r="T7" s="63">
        <f>'Income Statement'!T24/Table8[[#This Row],[2022]]</f>
        <v>2.7313787967015807E-2</v>
      </c>
      <c r="U7" s="63">
        <f>'Income Statement'!U24/Table8[[#This Row],[2023]]</f>
        <v>1.0167486569364207E-2</v>
      </c>
      <c r="V7" s="63">
        <f>'Income Statement'!V24/Table8[[#This Row],[2024]]</f>
        <v>1.7368021964702919E-2</v>
      </c>
      <c r="W7" s="63">
        <f>'Income Statement'!W24/Table8[[#This Row],[2025]]</f>
        <v>2.6040307406481285E-2</v>
      </c>
      <c r="Y7" s="8" t="s">
        <v>442</v>
      </c>
      <c r="Z7" s="63">
        <f>'Income Statement'!Z42/'Income Statement'!Z8</f>
        <v>7.3702995252252823E-2</v>
      </c>
      <c r="AA7" s="63">
        <f>'Income Statement'!AA42/'Income Statement'!AA8</f>
        <v>9.2686537208165082E-2</v>
      </c>
      <c r="AB7" s="63">
        <f>'Income Statement'!AB42/'Income Statement'!AB8</f>
        <v>6.5617172951837444E-2</v>
      </c>
      <c r="AC7" s="63">
        <f>'Income Statement'!AC42/'Income Statement'!AC8</f>
        <v>6.7271319832885507E-2</v>
      </c>
      <c r="AD7" s="63">
        <f>'Income Statement'!AD42/'Income Statement'!AD8</f>
        <v>6.9015115753501083E-2</v>
      </c>
      <c r="AE7" s="63">
        <f>'Income Statement'!AE42/'Income Statement'!AE8</f>
        <v>6.8011158501291996E-2</v>
      </c>
      <c r="AG7" s="8" t="s">
        <v>442</v>
      </c>
      <c r="AH7" s="63">
        <f>'Income Statement'!AH25/Table10[[#This Row],[2020]]</f>
        <v>6.6616487422146112E-2</v>
      </c>
      <c r="AI7" s="63">
        <f>'Income Statement'!AI25/Table10[[#This Row],[2021]]</f>
        <v>5.0981945761364993E-2</v>
      </c>
      <c r="AJ7" s="63">
        <f>'Income Statement'!AJ25/Table10[[#This Row],[2022]]</f>
        <v>6.1424336939654871E-2</v>
      </c>
      <c r="AK7" s="63">
        <f>'Income Statement'!AK25/Table10[[#This Row],[2023]]</f>
        <v>5.8601403036576162E-2</v>
      </c>
      <c r="AL7" s="63">
        <f>'Income Statement'!AL25/Table10[[#This Row],[2024]]</f>
        <v>6.3058058530849545E-2</v>
      </c>
      <c r="AM7" s="63">
        <f>'Income Statement'!AM25/Table10[[#This Row],[2025]]</f>
        <v>6.8233310797926633E-2</v>
      </c>
    </row>
    <row r="8" spans="1:39" x14ac:dyDescent="0.3">
      <c r="A8" s="8" t="s">
        <v>443</v>
      </c>
      <c r="B8" s="63">
        <f>'Income Statement'!B30/'Balance Sheet'!B43</f>
        <v>0.14644268407635624</v>
      </c>
      <c r="C8" s="63">
        <f>'Income Statement'!C30/(AVERAGE('Balance Sheet'!B43:C43))</f>
        <v>0.17427533849351587</v>
      </c>
      <c r="D8" s="63">
        <f>'Income Statement'!D30/(AVERAGE('Balance Sheet'!C43:D43))</f>
        <v>0.13301105350700862</v>
      </c>
      <c r="E8" s="63">
        <f>'Income Statement'!E30/(AVERAGE('Balance Sheet'!D43:E43))</f>
        <v>0.12077410991871723</v>
      </c>
      <c r="F8" s="63">
        <f>'Income Statement'!F30/(AVERAGE('Balance Sheet'!E43:F43))</f>
        <v>0.15973947295567376</v>
      </c>
      <c r="G8" s="63">
        <f>'Income Statement'!G30/(AVERAGE('Balance Sheet'!F43:G43))</f>
        <v>0.18510038041660251</v>
      </c>
      <c r="I8" s="8" t="s">
        <v>443</v>
      </c>
      <c r="J8" s="63">
        <f>'Income Statement'!J27/'Balance Sheet'!J40</f>
        <v>0.11146525061728099</v>
      </c>
      <c r="K8" s="63">
        <f>'Income Statement'!K27/(AVERAGE('Balance Sheet'!J40:K40))</f>
        <v>0.18004625984653469</v>
      </c>
      <c r="L8" s="63">
        <f>'Income Statement'!L27/(AVERAGE('Balance Sheet'!K40:L40))</f>
        <v>0.12929760608766336</v>
      </c>
      <c r="M8" s="63">
        <f>'Income Statement'!M27/(AVERAGE('Balance Sheet'!L40:M40))</f>
        <v>9.5489901035303956E-2</v>
      </c>
      <c r="N8" s="63">
        <f>'Income Statement'!N27/(AVERAGE('Balance Sheet'!M40:N40))</f>
        <v>0.10521410427800647</v>
      </c>
      <c r="O8" s="63">
        <f>'Income Statement'!O27/(AVERAGE('Balance Sheet'!N40:O40))</f>
        <v>9.7959966049800368E-2</v>
      </c>
      <c r="Q8" s="8" t="s">
        <v>443</v>
      </c>
      <c r="R8" s="63">
        <f>'Income Statement'!R24/'Balance Sheet'!R36</f>
        <v>0.2021461405929412</v>
      </c>
      <c r="S8" s="63">
        <f>'Income Statement'!S24/AVERAGE('Balance Sheet'!R36:S36)</f>
        <v>0.17953411170859745</v>
      </c>
      <c r="T8" s="63">
        <f>'Income Statement'!T24/AVERAGE('Balance Sheet'!S36:T36)</f>
        <v>0.10766202171464911</v>
      </c>
      <c r="U8" s="63">
        <f>'Income Statement'!U24/AVERAGE('Balance Sheet'!T36:U36)</f>
        <v>4.7631352865173365E-2</v>
      </c>
      <c r="V8" s="63">
        <f>'Income Statement'!V24/AVERAGE('Balance Sheet'!U36:V36)</f>
        <v>8.8159326411697783E-2</v>
      </c>
      <c r="W8" s="63">
        <f>'Income Statement'!W24/AVERAGE('Balance Sheet'!V36:W36)</f>
        <v>0.12087915579017552</v>
      </c>
      <c r="Y8" s="8" t="s">
        <v>443</v>
      </c>
      <c r="Z8" s="63">
        <f>'Income Statement'!Z42/'Balance Sheet'!Z37</f>
        <v>0.20880128259800865</v>
      </c>
      <c r="AA8" s="63">
        <f>'Income Statement'!AA42/AVERAGE('Balance Sheet'!Z37:AA37)</f>
        <v>0.22953028491532365</v>
      </c>
      <c r="AB8" s="63">
        <f>'Income Statement'!AB42/AVERAGE('Balance Sheet'!AA37:AB37)</f>
        <v>0.13376240561889274</v>
      </c>
      <c r="AC8" s="63">
        <f>'Income Statement'!AC42/AVERAGE('Balance Sheet'!AB37:AC37)</f>
        <v>0.12597325990450942</v>
      </c>
      <c r="AD8" s="63">
        <f>'Income Statement'!AD42/AVERAGE('Balance Sheet'!AC37:AD37)</f>
        <v>0.15085712533587736</v>
      </c>
      <c r="AE8" s="63">
        <f>'Income Statement'!AE42/AVERAGE('Balance Sheet'!AD37:AE37)</f>
        <v>0.16217535367891162</v>
      </c>
      <c r="AG8" s="8" t="s">
        <v>443</v>
      </c>
      <c r="AH8" s="63">
        <f>'Income Statement'!AH25/'Balance Sheet'!AH36</f>
        <v>0.13443257443383611</v>
      </c>
      <c r="AI8" s="63">
        <f>'Income Statement'!AI25/AVERAGE('Balance Sheet'!AH36:AI36)</f>
        <v>0.14012726140690437</v>
      </c>
      <c r="AJ8" s="63">
        <f>'Income Statement'!AJ25/AVERAGE('Balance Sheet'!AI36:AJ36)</f>
        <v>0.16480186945089895</v>
      </c>
      <c r="AK8" s="63">
        <f>'Income Statement'!AK25/AVERAGE('Balance Sheet'!AJ36:AK36)</f>
        <v>0.17336919874519888</v>
      </c>
      <c r="AL8" s="63">
        <f>'Income Statement'!AL25/AVERAGE('Balance Sheet'!AK36:AL36)</f>
        <v>0.1678021266816952</v>
      </c>
      <c r="AM8" s="63">
        <f>'Income Statement'!AM25/AVERAGE('Balance Sheet'!AL36:AM36)</f>
        <v>0.18129061341184582</v>
      </c>
    </row>
    <row r="9" spans="1:39" x14ac:dyDescent="0.3">
      <c r="A9" s="8" t="s">
        <v>444</v>
      </c>
      <c r="B9" s="63">
        <f>('Income Statement'!B20+'Income Statement'!B15)/('Balance Sheet'!B36-'Balance Sheet'!B64)</f>
        <v>0.11228021252238235</v>
      </c>
      <c r="C9" s="63">
        <f>('Income Statement'!C20+'Income Statement'!C15)/('Balance Sheet'!C36-'Balance Sheet'!C64)</f>
        <v>0.1254950538950787</v>
      </c>
      <c r="D9" s="63">
        <f>('Income Statement'!D20+'Income Statement'!D15)/('Balance Sheet'!D36-'Balance Sheet'!D64)</f>
        <v>9.7592179500300552E-2</v>
      </c>
      <c r="E9" s="63">
        <f>('Income Statement'!E20+'Income Statement'!E15)/('Balance Sheet'!E36-'Balance Sheet'!E64)</f>
        <v>8.7702337818881454E-2</v>
      </c>
      <c r="F9" s="63">
        <f>('Income Statement'!F20+'Income Statement'!F15)/('Balance Sheet'!F36-'Balance Sheet'!F64)</f>
        <v>0.13035840693805656</v>
      </c>
      <c r="G9" s="63">
        <f>('Income Statement'!G20+'Income Statement'!G15)/('Balance Sheet'!G36-'Balance Sheet'!G64)</f>
        <v>0.13697719080729823</v>
      </c>
      <c r="I9" s="8" t="s">
        <v>444</v>
      </c>
      <c r="J9" s="63">
        <f>('Income Statement'!J18+'Income Statement'!J13)/('Balance Sheet'!J33-'Balance Sheet'!J63)</f>
        <v>0.15953210719633651</v>
      </c>
      <c r="K9" s="63">
        <f>('Income Statement'!K18+'Income Statement'!K13)/('Balance Sheet'!K33-'Balance Sheet'!K63)</f>
        <v>0.17167085068751065</v>
      </c>
      <c r="L9" s="63">
        <f>('Income Statement'!L18+'Income Statement'!L13)/('Balance Sheet'!L33-'Balance Sheet'!L63)</f>
        <v>0.12083077179564645</v>
      </c>
      <c r="M9" s="63">
        <f>('Income Statement'!M18+'Income Statement'!M13)/('Balance Sheet'!M33-'Balance Sheet'!M63)</f>
        <v>0.13665838425894811</v>
      </c>
      <c r="N9" s="63">
        <f>('Income Statement'!N18+'Income Statement'!N13)/('Balance Sheet'!N33-'Balance Sheet'!N63)</f>
        <v>0.15918360419451857</v>
      </c>
      <c r="O9" s="63">
        <f>('Income Statement'!O18+'Income Statement'!O13)/('Balance Sheet'!O33-'Balance Sheet'!O63)</f>
        <v>0.15598320371239369</v>
      </c>
      <c r="Q9" s="8" t="s">
        <v>444</v>
      </c>
      <c r="R9" s="63">
        <f>('Income Statement'!R17+'Income Statement'!R12)/('Balance Sheet'!R31-'Balance Sheet'!R57)</f>
        <v>0.34828923625315972</v>
      </c>
      <c r="S9" s="63">
        <f>('Income Statement'!S17+'Income Statement'!S12)/('Balance Sheet'!S31-'Balance Sheet'!S57)</f>
        <v>0.27086535444377624</v>
      </c>
      <c r="T9" s="63">
        <f>('Income Statement'!T17+'Income Statement'!T12)/('Balance Sheet'!T31-'Balance Sheet'!T57)</f>
        <v>0.17908338523677378</v>
      </c>
      <c r="U9" s="63">
        <f>('Income Statement'!U17+'Income Statement'!U12)/('Balance Sheet'!U31-'Balance Sheet'!U57)</f>
        <v>0.15687079131657355</v>
      </c>
      <c r="V9" s="63">
        <f>('Income Statement'!V17+'Income Statement'!V12)/('Balance Sheet'!V31-'Balance Sheet'!V57)</f>
        <v>0.24047917078907957</v>
      </c>
      <c r="W9" s="63">
        <f>('Income Statement'!W17+'Income Statement'!W12)/('Balance Sheet'!W31-'Balance Sheet'!W57)</f>
        <v>0.23367556744117277</v>
      </c>
      <c r="Y9" s="8" t="s">
        <v>444</v>
      </c>
      <c r="Z9" s="63">
        <f>('Income Statement'!Z24+'Income Statement'!Z21)/('Balance Sheet'!Z31-'Balance Sheet'!Z59)</f>
        <v>0.26966774798920062</v>
      </c>
      <c r="AA9" s="63">
        <f>('Income Statement'!AA24+'Income Statement'!AA21)/('Balance Sheet'!AA31-'Balance Sheet'!AA59)</f>
        <v>0.20955787177283555</v>
      </c>
      <c r="AB9" s="63">
        <f>('Income Statement'!AB24+'Income Statement'!AB21)/('Balance Sheet'!AB31-'Balance Sheet'!AB59)</f>
        <v>0.10909608654005495</v>
      </c>
      <c r="AC9" s="63">
        <f>('Income Statement'!AC24+'Income Statement'!AC21)/('Balance Sheet'!AC31-'Balance Sheet'!AC59)</f>
        <v>0.11991586719586005</v>
      </c>
      <c r="AD9" s="63">
        <f>('Income Statement'!AD24+'Income Statement'!AD21)/('Balance Sheet'!AD31-'Balance Sheet'!AD59)</f>
        <v>0.14702731476003508</v>
      </c>
      <c r="AE9" s="63">
        <f>('Income Statement'!AE24+'Income Statement'!AE21)/('Balance Sheet'!AE31-'Balance Sheet'!AE59)</f>
        <v>0.14890399046595634</v>
      </c>
      <c r="AG9" s="8" t="s">
        <v>444</v>
      </c>
      <c r="AH9" s="63">
        <f>('Income Statement'!AH16+'Income Statement'!AH11)/('Balance Sheet'!AH31-'Balance Sheet'!AH55)</f>
        <v>8.0504549463967415E-2</v>
      </c>
      <c r="AI9" s="63">
        <f>('Income Statement'!AI16+'Income Statement'!AI11)/('Balance Sheet'!AI31-'Balance Sheet'!AI55)</f>
        <v>8.6393763564614021E-2</v>
      </c>
      <c r="AJ9" s="63">
        <f>('Income Statement'!AJ16+'Income Statement'!AJ11)/('Balance Sheet'!AJ31-'Balance Sheet'!AJ55)</f>
        <v>0.12244692864288313</v>
      </c>
      <c r="AK9" s="63">
        <f>('Income Statement'!AK16+'Income Statement'!AK11)/('Balance Sheet'!AK31-'Balance Sheet'!AK55)</f>
        <v>0.14116387759697105</v>
      </c>
      <c r="AL9" s="63">
        <f>('Income Statement'!AL16+'Income Statement'!AL11)/('Balance Sheet'!AL31-'Balance Sheet'!AL55)</f>
        <v>0.14771427830185868</v>
      </c>
      <c r="AM9" s="63">
        <f>('Income Statement'!AM16+'Income Statement'!AM11)/('Balance Sheet'!AM31-'Balance Sheet'!AM55)</f>
        <v>0.18142260644469438</v>
      </c>
    </row>
    <row r="10" spans="1:39" x14ac:dyDescent="0.3">
      <c r="A10" s="2" t="s">
        <v>445</v>
      </c>
      <c r="I10" s="2" t="s">
        <v>445</v>
      </c>
      <c r="Q10" s="2" t="s">
        <v>445</v>
      </c>
      <c r="Y10" s="2" t="s">
        <v>445</v>
      </c>
      <c r="AG10" s="2" t="s">
        <v>445</v>
      </c>
    </row>
    <row r="11" spans="1:39" x14ac:dyDescent="0.3">
      <c r="A11" s="8" t="s">
        <v>446</v>
      </c>
      <c r="B11" s="12">
        <f>'Balance Sheet'!B34/'Balance Sheet'!B64</f>
        <v>1.9255463868500755</v>
      </c>
      <c r="C11" s="12">
        <f>'Balance Sheet'!C34/'Balance Sheet'!C64</f>
        <v>1.7568032264015176</v>
      </c>
      <c r="D11" s="12">
        <f>'Balance Sheet'!D34/'Balance Sheet'!D64</f>
        <v>1.4633849602516418</v>
      </c>
      <c r="E11" s="12">
        <f>'Balance Sheet'!E34/'Balance Sheet'!E64</f>
        <v>1.3598284676973804</v>
      </c>
      <c r="F11" s="12">
        <f>'Balance Sheet'!F34/'Balance Sheet'!F64</f>
        <v>1.0530124474654576</v>
      </c>
      <c r="G11" s="12">
        <f>'Balance Sheet'!G34/'Balance Sheet'!G64</f>
        <v>0.89583416911670577</v>
      </c>
      <c r="I11" s="8" t="s">
        <v>446</v>
      </c>
      <c r="J11" s="12">
        <f>'Balance Sheet'!J31/'Balance Sheet'!J63</f>
        <v>1.2591707668306737</v>
      </c>
      <c r="K11" s="12">
        <f>'Balance Sheet'!K31/'Balance Sheet'!K63</f>
        <v>1.3119554390469308</v>
      </c>
      <c r="L11" s="12">
        <f>'Balance Sheet'!L31/'Balance Sheet'!L63</f>
        <v>1.3003053337431019</v>
      </c>
      <c r="M11" s="12">
        <f>'Balance Sheet'!M31/'Balance Sheet'!M63</f>
        <v>1.2136947018421389</v>
      </c>
      <c r="N11" s="12">
        <f>'Balance Sheet'!N31/'Balance Sheet'!N63</f>
        <v>1.2004542991850853</v>
      </c>
      <c r="O11" s="12">
        <f>'Balance Sheet'!O31/'Balance Sheet'!O63</f>
        <v>1.2331593336808511</v>
      </c>
      <c r="Q11" s="8" t="s">
        <v>446</v>
      </c>
      <c r="R11" s="12">
        <f>'Balance Sheet'!R30/'Balance Sheet'!R57</f>
        <v>1.1334330212429862</v>
      </c>
      <c r="S11" s="12">
        <f>'Balance Sheet'!S30/'Balance Sheet'!S57</f>
        <v>1.1551488664299372</v>
      </c>
      <c r="T11" s="12">
        <f>'Balance Sheet'!T30/'Balance Sheet'!T57</f>
        <v>1.1310941880323524</v>
      </c>
      <c r="U11" s="12">
        <f>'Balance Sheet'!U30/'Balance Sheet'!U57</f>
        <v>1.1137692817660896</v>
      </c>
      <c r="V11" s="12">
        <f>'Balance Sheet'!V30/'Balance Sheet'!V57</f>
        <v>1.1117506209705719</v>
      </c>
      <c r="W11" s="12">
        <f>'Balance Sheet'!W30/'Balance Sheet'!W57</f>
        <v>1.1947238162850773</v>
      </c>
      <c r="Y11" s="8" t="s">
        <v>446</v>
      </c>
      <c r="Z11" s="12">
        <f>'Balance Sheet'!Z30/'Balance Sheet'!Z59</f>
        <v>1.1751631967842822</v>
      </c>
      <c r="AA11" s="12">
        <f>'Balance Sheet'!AA30/'Balance Sheet'!AA59</f>
        <v>1.4618846574166409</v>
      </c>
      <c r="AB11" s="12">
        <f>'Balance Sheet'!AB30/'Balance Sheet'!AB59</f>
        <v>1.3058349386335648</v>
      </c>
      <c r="AC11" s="12">
        <f>'Balance Sheet'!AC30/'Balance Sheet'!AC59</f>
        <v>1.3710731042336521</v>
      </c>
      <c r="AD11" s="12">
        <f>'Balance Sheet'!AD30/'Balance Sheet'!AD59</f>
        <v>1.2342005898499151</v>
      </c>
      <c r="AE11" s="12">
        <f>'Balance Sheet'!AE30/'Balance Sheet'!AE59</f>
        <v>1.2147379152145186</v>
      </c>
      <c r="AG11" s="8" t="s">
        <v>446</v>
      </c>
      <c r="AH11" s="12">
        <f>'Balance Sheet'!AH30/'Balance Sheet'!AH55</f>
        <v>3.1582861733734306</v>
      </c>
      <c r="AI11" s="12">
        <f>'Balance Sheet'!AI30/'Balance Sheet'!AI55</f>
        <v>3.979997369123879</v>
      </c>
      <c r="AJ11" s="12">
        <f>'Balance Sheet'!AJ30/'Balance Sheet'!AJ55</f>
        <v>2.1152832049081542</v>
      </c>
      <c r="AK11" s="12">
        <f>'Balance Sheet'!AK30/'Balance Sheet'!AK55</f>
        <v>2.036087788407428</v>
      </c>
      <c r="AL11" s="12">
        <f>'Balance Sheet'!AL30/'Balance Sheet'!AL55</f>
        <v>2.1282177266493711</v>
      </c>
      <c r="AM11" s="12">
        <f>'Balance Sheet'!AM30/'Balance Sheet'!AM55</f>
        <v>2.0456288001711753</v>
      </c>
    </row>
    <row r="12" spans="1:39" x14ac:dyDescent="0.3">
      <c r="A12" s="8" t="s">
        <v>447</v>
      </c>
      <c r="B12" s="12">
        <f>('Balance Sheet'!B34-'Balance Sheet'!B24)/'Balance Sheet'!B64</f>
        <v>1.888090254363364</v>
      </c>
      <c r="C12" s="12">
        <f>('Balance Sheet'!C34-'Balance Sheet'!C24)/'Balance Sheet'!C64</f>
        <v>1.6171337804745818</v>
      </c>
      <c r="D12" s="12">
        <f>('Balance Sheet'!D34-'Balance Sheet'!D24)/'Balance Sheet'!D64</f>
        <v>1.4276236402174749</v>
      </c>
      <c r="E12" s="12">
        <f>('Balance Sheet'!E34-'Balance Sheet'!E24)/'Balance Sheet'!E64</f>
        <v>1.3201927546018188</v>
      </c>
      <c r="F12" s="12">
        <f>('Balance Sheet'!F34-'Balance Sheet'!F24)/'Balance Sheet'!F64</f>
        <v>1.0263600194695344</v>
      </c>
      <c r="G12" s="12">
        <f>('Balance Sheet'!G34-'Balance Sheet'!G24)/'Balance Sheet'!G64</f>
        <v>0.87091349689852715</v>
      </c>
      <c r="I12" s="8" t="s">
        <v>447</v>
      </c>
      <c r="J12" s="12">
        <f>('Balance Sheet'!J31-'Balance Sheet'!J22)/'Balance Sheet'!J63</f>
        <v>1.1141389655586229</v>
      </c>
      <c r="K12" s="12">
        <f>('Balance Sheet'!K31-'Balance Sheet'!K22)/'Balance Sheet'!K63</f>
        <v>1.1835706057849171</v>
      </c>
      <c r="L12" s="12">
        <f>('Balance Sheet'!L31-'Balance Sheet'!L22)/'Balance Sheet'!L63</f>
        <v>1.1853431412139714</v>
      </c>
      <c r="M12" s="12">
        <f>('Balance Sheet'!M31-'Balance Sheet'!M22)/'Balance Sheet'!M63</f>
        <v>1.1124639998022308</v>
      </c>
      <c r="N12" s="12">
        <f>('Balance Sheet'!N31-'Balance Sheet'!N22)/'Balance Sheet'!N63</f>
        <v>1.1063284043401846</v>
      </c>
      <c r="O12" s="12">
        <f>('Balance Sheet'!O31-'Balance Sheet'!O22)/'Balance Sheet'!O63</f>
        <v>1.1471571161483798</v>
      </c>
      <c r="Q12" s="8" t="s">
        <v>447</v>
      </c>
      <c r="R12" s="12">
        <f>('Balance Sheet'!R30-'Balance Sheet'!R20)/'Balance Sheet'!R57</f>
        <v>1.0536463561120892</v>
      </c>
      <c r="S12" s="12">
        <f>('Balance Sheet'!S30-'Balance Sheet'!S20)/'Balance Sheet'!S57</f>
        <v>1.0732818075686688</v>
      </c>
      <c r="T12" s="12">
        <f>('Balance Sheet'!T30-'Balance Sheet'!T20)/'Balance Sheet'!T57</f>
        <v>1.0429781387128789</v>
      </c>
      <c r="U12" s="12">
        <f>('Balance Sheet'!U30-'Balance Sheet'!U20)/'Balance Sheet'!U57</f>
        <v>1.0337384281252333</v>
      </c>
      <c r="V12" s="12">
        <f>('Balance Sheet'!V30-'Balance Sheet'!V20)/'Balance Sheet'!V57</f>
        <v>1.0282680941535878</v>
      </c>
      <c r="W12" s="12">
        <f>('Balance Sheet'!W30-'Balance Sheet'!W20)/'Balance Sheet'!W57</f>
        <v>1.1244416671596755</v>
      </c>
      <c r="Y12" s="8" t="s">
        <v>447</v>
      </c>
      <c r="Z12" s="12">
        <f>('Balance Sheet'!Z30-'Balance Sheet'!Z21)/'Balance Sheet'!Z59</f>
        <v>1.1411266955581867</v>
      </c>
      <c r="AA12" s="12">
        <f>('Balance Sheet'!AA30-'Balance Sheet'!AA21)/'Balance Sheet'!AA59</f>
        <v>1.4215603032169797</v>
      </c>
      <c r="AB12" s="12">
        <f>('Balance Sheet'!AB30-'Balance Sheet'!AB21)/'Balance Sheet'!AB59</f>
        <v>1.2685588574753051</v>
      </c>
      <c r="AC12" s="12">
        <f>('Balance Sheet'!AC30-'Balance Sheet'!AC21)/'Balance Sheet'!AC59</f>
        <v>1.3289373051063953</v>
      </c>
      <c r="AD12" s="12">
        <f>('Balance Sheet'!AD30-'Balance Sheet'!AD21)/'Balance Sheet'!AD59</f>
        <v>1.1968215023635662</v>
      </c>
      <c r="AE12" s="12">
        <f>('Balance Sheet'!AE30-'Balance Sheet'!AE21)/'Balance Sheet'!AE59</f>
        <v>1.1767594242536923</v>
      </c>
      <c r="AG12" s="8" t="s">
        <v>447</v>
      </c>
      <c r="AH12" s="12">
        <f>('Balance Sheet'!AH30-'Balance Sheet'!AH20)/'Balance Sheet'!AH55</f>
        <v>3.1548818766236355</v>
      </c>
      <c r="AI12" s="12">
        <f>('Balance Sheet'!AI30-'Balance Sheet'!AI20)/'Balance Sheet'!AI55</f>
        <v>3.9706338418365115</v>
      </c>
      <c r="AJ12" s="12">
        <f>('Balance Sheet'!AJ30-'Balance Sheet'!AJ20)/'Balance Sheet'!AJ55</f>
        <v>2.1079925501223382</v>
      </c>
      <c r="AK12" s="12">
        <f>('Balance Sheet'!AK30-'Balance Sheet'!AK20)/'Balance Sheet'!AK55</f>
        <v>2.0228227349465389</v>
      </c>
      <c r="AL12" s="12">
        <f>('Balance Sheet'!AL30-'Balance Sheet'!AL20)/'Balance Sheet'!AL55</f>
        <v>2.1140846239179614</v>
      </c>
      <c r="AM12" s="12">
        <f>('Balance Sheet'!AM30-'Balance Sheet'!AM20)/'Balance Sheet'!AM55</f>
        <v>2.0456288001711753</v>
      </c>
    </row>
    <row r="13" spans="1:39" x14ac:dyDescent="0.3">
      <c r="A13" s="23" t="s">
        <v>448</v>
      </c>
      <c r="B13" s="29"/>
      <c r="C13" s="29"/>
      <c r="D13" s="29"/>
      <c r="E13" s="29"/>
      <c r="F13" s="29"/>
      <c r="G13" s="29"/>
      <c r="I13" s="23" t="s">
        <v>448</v>
      </c>
      <c r="J13" s="29"/>
      <c r="K13" s="29"/>
      <c r="L13" s="29"/>
      <c r="M13" s="29"/>
      <c r="N13" s="29"/>
      <c r="O13" s="29"/>
      <c r="Q13" s="23" t="s">
        <v>448</v>
      </c>
      <c r="R13" s="29"/>
      <c r="S13" s="29"/>
      <c r="T13" s="29"/>
      <c r="U13" s="29"/>
      <c r="V13" s="29"/>
      <c r="W13" s="29"/>
      <c r="Y13" s="23" t="s">
        <v>448</v>
      </c>
      <c r="Z13" s="29"/>
      <c r="AA13" s="29"/>
      <c r="AB13" s="29"/>
      <c r="AC13" s="29"/>
      <c r="AD13" s="29"/>
      <c r="AE13" s="29"/>
      <c r="AG13" s="23" t="s">
        <v>448</v>
      </c>
      <c r="AH13" s="29"/>
      <c r="AI13" s="29"/>
      <c r="AJ13" s="29"/>
      <c r="AK13" s="29"/>
      <c r="AL13" s="29"/>
      <c r="AM13" s="29"/>
    </row>
    <row r="14" spans="1:39" x14ac:dyDescent="0.3">
      <c r="A14" s="8" t="s">
        <v>449</v>
      </c>
      <c r="B14" s="12">
        <f>('Balance Sheet'!B46+'Balance Sheet'!B54)/'Balance Sheet'!B43</f>
        <v>1.0728384542399747</v>
      </c>
      <c r="C14" s="12">
        <f>('Balance Sheet'!C46+'Balance Sheet'!C54)/'Balance Sheet'!C43</f>
        <v>1.0385958320364723</v>
      </c>
      <c r="D14" s="12">
        <f>('Balance Sheet'!D46+'Balance Sheet'!D54)/'Balance Sheet'!D43</f>
        <v>1.0724865086917508</v>
      </c>
      <c r="E14" s="12">
        <f>('Balance Sheet'!E46+'Balance Sheet'!E54)/'Balance Sheet'!E43</f>
        <v>1.061745331463283</v>
      </c>
      <c r="F14" s="12">
        <f>('Balance Sheet'!F46+'Balance Sheet'!F54)/'Balance Sheet'!F43</f>
        <v>0.84849073208294368</v>
      </c>
      <c r="G14" s="12">
        <f>('Balance Sheet'!G46+'Balance Sheet'!G54)/'Balance Sheet'!G43</f>
        <v>0.70505887491700447</v>
      </c>
      <c r="I14" s="8" t="s">
        <v>449</v>
      </c>
      <c r="J14" s="12">
        <f>('Balance Sheet'!J43+'Balance Sheet'!J54)/'Balance Sheet'!J40</f>
        <v>0.83795065762180376</v>
      </c>
      <c r="K14" s="12">
        <f>('Balance Sheet'!K43+'Balance Sheet'!K54)/'Balance Sheet'!K40</f>
        <v>0.64837235095648016</v>
      </c>
      <c r="L14" s="12">
        <f>('Balance Sheet'!L43+'Balance Sheet'!L54)/'Balance Sheet'!L40</f>
        <v>0.83960728652373418</v>
      </c>
      <c r="M14" s="12">
        <f>('Balance Sheet'!M43+'Balance Sheet'!M54)/'Balance Sheet'!M40</f>
        <v>0.78452702040538069</v>
      </c>
      <c r="N14" s="12">
        <f>('Balance Sheet'!N43+'Balance Sheet'!N54)/'Balance Sheet'!N40</f>
        <v>0.76458933541438079</v>
      </c>
      <c r="O14" s="12">
        <f>('Balance Sheet'!O43+'Balance Sheet'!O54)/'Balance Sheet'!O40</f>
        <v>0.6475051245505391</v>
      </c>
      <c r="Q14" s="8" t="s">
        <v>449</v>
      </c>
      <c r="R14" s="12">
        <f>('Balance Sheet'!R39+'Balance Sheet'!R46)/'Balance Sheet'!R36</f>
        <v>0.73699411634341117</v>
      </c>
      <c r="S14" s="12">
        <f>('Balance Sheet'!S39+'Balance Sheet'!S46)/'Balance Sheet'!S36</f>
        <v>0.54868752771833118</v>
      </c>
      <c r="T14" s="12">
        <f>('Balance Sheet'!T39+'Balance Sheet'!T46)/'Balance Sheet'!T36</f>
        <v>0.79081915948650938</v>
      </c>
      <c r="U14" s="12">
        <f>('Balance Sheet'!U39+'Balance Sheet'!U46)/'Balance Sheet'!U36</f>
        <v>0.84701518261026343</v>
      </c>
      <c r="V14" s="12">
        <f>('Balance Sheet'!V39+'Balance Sheet'!V46)/'Balance Sheet'!V36</f>
        <v>0.9249407915618818</v>
      </c>
      <c r="W14" s="12">
        <f>('Balance Sheet'!W39+'Balance Sheet'!W46)/'Balance Sheet'!W36</f>
        <v>0.69212428353701294</v>
      </c>
      <c r="Y14" s="8" t="s">
        <v>449</v>
      </c>
      <c r="Z14" s="12">
        <f>('Balance Sheet'!Z40+'Balance Sheet'!Z48+'Balance Sheet'!Z49)/'Balance Sheet'!Z37</f>
        <v>0.49420463878057358</v>
      </c>
      <c r="AA14" s="12">
        <f>('Balance Sheet'!AA40+'Balance Sheet'!AA48+'Balance Sheet'!AA49)/'Balance Sheet'!AA37</f>
        <v>0.39409559512652292</v>
      </c>
      <c r="AB14" s="12">
        <f>('Balance Sheet'!AB40+'Balance Sheet'!AB48+'Balance Sheet'!AB49)/'Balance Sheet'!AB37</f>
        <v>1.2945727298282244</v>
      </c>
      <c r="AC14" s="12">
        <f>('Balance Sheet'!AC40+'Balance Sheet'!AC48+'Balance Sheet'!AC49)/'Balance Sheet'!AC37</f>
        <v>1.1443136158332723</v>
      </c>
      <c r="AD14" s="12">
        <f>('Balance Sheet'!AD40+'Balance Sheet'!AD48+'Balance Sheet'!AD49)/'Balance Sheet'!AD37</f>
        <v>1.1120443500251489</v>
      </c>
      <c r="AE14" s="12">
        <f>('Balance Sheet'!AE40+'Balance Sheet'!AE48+'Balance Sheet'!AE49)/'Balance Sheet'!AE37</f>
        <v>1.1226621196135167</v>
      </c>
      <c r="AG14" s="8" t="s">
        <v>449</v>
      </c>
      <c r="AH14" s="12">
        <f>('Balance Sheet'!AH39+'Balance Sheet'!AH46)/'Balance Sheet'!AH36</f>
        <v>0.83204414973617946</v>
      </c>
      <c r="AI14" s="12">
        <f>('Balance Sheet'!AI39+'Balance Sheet'!AI46)/'Balance Sheet'!AI36</f>
        <v>1.047146243488382</v>
      </c>
      <c r="AJ14" s="12">
        <f>('Balance Sheet'!AJ39+'Balance Sheet'!AJ46)/'Balance Sheet'!AJ36</f>
        <v>1.030946947197299</v>
      </c>
      <c r="AK14" s="12">
        <f>('Balance Sheet'!AK39+'Balance Sheet'!AK46)/'Balance Sheet'!AK36</f>
        <v>0.8843076371063453</v>
      </c>
      <c r="AL14" s="12">
        <f>('Balance Sheet'!AL39+'Balance Sheet'!AL46)/'Balance Sheet'!AL36</f>
        <v>0.68464014361096981</v>
      </c>
      <c r="AM14" s="12">
        <f>('Balance Sheet'!AM39+'Balance Sheet'!AM46)/'Balance Sheet'!AM36</f>
        <v>0.62490665281340319</v>
      </c>
    </row>
    <row r="15" spans="1:39" x14ac:dyDescent="0.3">
      <c r="A15" s="8" t="s">
        <v>450</v>
      </c>
      <c r="B15" s="12">
        <f>('Income Statement'!B20+Table6[[#This Row],[2020]])/Table6[[#This Row],[2020]]</f>
        <v>3.3754039952789086</v>
      </c>
      <c r="C15" s="12">
        <f>('Income Statement'!C20+Table6[[#This Row],[2021]])/Table6[[#This Row],[2021]]</f>
        <v>3.7962168945013723</v>
      </c>
      <c r="D15" s="12">
        <f>('Income Statement'!D20+Table6[[#This Row],[2022]])/Table6[[#This Row],[2022]]</f>
        <v>3.3998160319506909</v>
      </c>
      <c r="E15" s="12">
        <f>('Income Statement'!E20+Table6[[#This Row],[2023]])/Table6[[#This Row],[2023]]</f>
        <v>3.8420453391121794</v>
      </c>
      <c r="F15" s="12">
        <f>('Income Statement'!F20+Table6[[#This Row],[2024]])/Table6[[#This Row],[2024]]</f>
        <v>4.8892621133285044</v>
      </c>
      <c r="G15" s="12">
        <f>('Income Statement'!G20+Table6[[#This Row],[2025]])/Table6[[#This Row],[2025]]</f>
        <v>6.1889628804575372</v>
      </c>
      <c r="I15" s="8" t="s">
        <v>450</v>
      </c>
      <c r="J15" s="12">
        <f>('Income Statement'!J18+'Income Statement'!J13)/'Income Statement'!J13</f>
        <v>2.2805198794371209</v>
      </c>
      <c r="K15" s="12">
        <f>('Income Statement'!K18+'Income Statement'!K13)/'Income Statement'!K13</f>
        <v>2.7621462832488</v>
      </c>
      <c r="L15" s="12">
        <f>('Income Statement'!L18+'Income Statement'!L13)/'Income Statement'!L13</f>
        <v>2.3407261625413138</v>
      </c>
      <c r="M15" s="12">
        <f>('Income Statement'!M18+'Income Statement'!M13)/'Income Statement'!M13</f>
        <v>2.1799464381360427</v>
      </c>
      <c r="N15" s="12">
        <f>('Income Statement'!N18+'Income Statement'!N13)/'Income Statement'!N13</f>
        <v>2.3534396232242094</v>
      </c>
      <c r="O15" s="12">
        <f>('Income Statement'!O18+'Income Statement'!O13)/'Income Statement'!O13</f>
        <v>2.4271590376910059</v>
      </c>
      <c r="Q15" s="8" t="s">
        <v>450</v>
      </c>
      <c r="R15" s="12">
        <f>('Income Statement'!R17+'Income Statement'!R12)/'Income Statement'!R12</f>
        <v>3.5659783102798897</v>
      </c>
      <c r="S15" s="12">
        <f>('Income Statement'!S17+'Income Statement'!S12)/'Income Statement'!S12</f>
        <v>3.8775743271536718</v>
      </c>
      <c r="T15" s="12">
        <f>('Income Statement'!T17+'Income Statement'!T12)/'Income Statement'!T12</f>
        <v>2.402120253164556</v>
      </c>
      <c r="U15" s="12">
        <f>('Income Statement'!U17+'Income Statement'!U12)/'Income Statement'!U12</f>
        <v>1.298891550158747</v>
      </c>
      <c r="V15" s="12">
        <f>('Income Statement'!V17+'Income Statement'!V12)/'Income Statement'!V12</f>
        <v>1.6510005647734007</v>
      </c>
      <c r="W15" s="12">
        <f>('Income Statement'!W17+'Income Statement'!W12)/'Income Statement'!W12</f>
        <v>2.0962943986497655</v>
      </c>
      <c r="Y15" s="8" t="s">
        <v>450</v>
      </c>
      <c r="Z15" s="12">
        <f>('Income Statement'!Z24+'Income Statement'!Z21)/'Income Statement'!Z21</f>
        <v>5.8024965494554266</v>
      </c>
      <c r="AA15" s="12">
        <f>('Income Statement'!AA24+'Income Statement'!AA21)/'Income Statement'!AA21</f>
        <v>4.1266098368698687</v>
      </c>
      <c r="AB15" s="12">
        <f>('Income Statement'!AB24+'Income Statement'!AB21)/'Income Statement'!AB21</f>
        <v>5.6063409796205592</v>
      </c>
      <c r="AC15" s="12">
        <f>('Income Statement'!AC24+'Income Statement'!AC21)/'Income Statement'!AC21</f>
        <v>6.2922336272590105</v>
      </c>
      <c r="AD15" s="12">
        <f>('Income Statement'!AD24+'Income Statement'!AD21)/'Income Statement'!AD21</f>
        <v>6.7598319161837077</v>
      </c>
      <c r="AE15" s="12">
        <f>('Income Statement'!AE24+'Income Statement'!AE21)/'Income Statement'!AE21</f>
        <v>7.9290480660514691</v>
      </c>
      <c r="AG15" s="8" t="s">
        <v>450</v>
      </c>
      <c r="AH15" s="12">
        <f>('Income Statement'!AH16+'Income Statement'!AH11)/'Income Statement'!AH11</f>
        <v>15.013890011119752</v>
      </c>
      <c r="AI15" s="12">
        <f>('Income Statement'!AI16+'Income Statement'!AI11)/'Income Statement'!AI11</f>
        <v>24.688816776664897</v>
      </c>
      <c r="AJ15" s="12">
        <f>('Income Statement'!AJ16+'Income Statement'!AJ11)/'Income Statement'!AJ11</f>
        <v>3.4839350416903163</v>
      </c>
      <c r="AK15" s="12">
        <f>('Income Statement'!AK16+'Income Statement'!AK11)/'Income Statement'!AK11</f>
        <v>3.481151655993326</v>
      </c>
      <c r="AL15" s="12">
        <f>('Income Statement'!AL16+'Income Statement'!AL11)/'Income Statement'!AL11</f>
        <v>3.819495329996391</v>
      </c>
      <c r="AM15" s="12">
        <f>('Income Statement'!AM16+'Income Statement'!AM11)/'Income Statement'!AM11</f>
        <v>4.4283276750690375</v>
      </c>
    </row>
    <row r="16" spans="1:39" x14ac:dyDescent="0.3">
      <c r="A16" s="2" t="s">
        <v>451</v>
      </c>
      <c r="B16" s="50"/>
      <c r="C16" s="50"/>
      <c r="D16" s="50"/>
      <c r="E16" s="50"/>
      <c r="F16" s="50"/>
      <c r="G16" s="50"/>
      <c r="I16" s="2" t="s">
        <v>451</v>
      </c>
      <c r="J16" s="50"/>
      <c r="K16" s="50"/>
      <c r="L16" s="50"/>
      <c r="M16" s="50"/>
      <c r="N16" s="50"/>
      <c r="O16" s="50"/>
      <c r="Q16" s="2" t="s">
        <v>451</v>
      </c>
      <c r="R16" s="50"/>
      <c r="S16" s="50"/>
      <c r="T16" s="50"/>
      <c r="U16" s="50"/>
      <c r="V16" s="50"/>
      <c r="W16" s="50"/>
      <c r="Y16" s="2" t="s">
        <v>451</v>
      </c>
      <c r="Z16" s="50"/>
      <c r="AA16" s="50"/>
      <c r="AB16" s="50"/>
      <c r="AC16" s="50"/>
      <c r="AD16" s="50"/>
      <c r="AE16" s="50"/>
      <c r="AG16" s="2" t="s">
        <v>451</v>
      </c>
      <c r="AH16" s="50"/>
      <c r="AI16" s="50"/>
      <c r="AJ16" s="50"/>
      <c r="AK16" s="50"/>
      <c r="AL16" s="50"/>
      <c r="AM16" s="50"/>
    </row>
    <row r="17" spans="1:39" x14ac:dyDescent="0.3">
      <c r="A17" s="8" t="s">
        <v>452</v>
      </c>
      <c r="B17" s="12">
        <f>'Income Statement'!B8/'Balance Sheet'!B36</f>
        <v>0.22079758316510903</v>
      </c>
      <c r="C17" s="12">
        <f>'Income Statement'!C8/(AVERAGE('Balance Sheet'!B36:C36))</f>
        <v>0.21115537298190287</v>
      </c>
      <c r="D17" s="12">
        <f>'Income Statement'!D8/(AVERAGE('Balance Sheet'!C36:D36))</f>
        <v>0.22104513123851491</v>
      </c>
      <c r="E17" s="12">
        <f>'Income Statement'!E8/(AVERAGE('Balance Sheet'!D36:E36))</f>
        <v>0.20881952384292068</v>
      </c>
      <c r="F17" s="12">
        <f>'Income Statement'!F8/(AVERAGE('Balance Sheet'!E36:F36))</f>
        <v>0.24129345701663232</v>
      </c>
      <c r="G17" s="12">
        <f>'Income Statement'!G8/(AVERAGE('Balance Sheet'!F36:G36))</f>
        <v>0.25473405910164837</v>
      </c>
      <c r="I17" s="8" t="s">
        <v>452</v>
      </c>
      <c r="J17" s="12">
        <f>'Income Statement'!J7/'Balance Sheet'!J33</f>
        <v>0.80611946777868249</v>
      </c>
      <c r="K17" s="12">
        <f>'Income Statement'!K7/AVERAGE('Balance Sheet'!J33:K33)</f>
        <v>0.83619270811250423</v>
      </c>
      <c r="L17" s="12">
        <f>'Income Statement'!L7/AVERAGE('Balance Sheet'!K33:L33)</f>
        <v>0.91302206292392085</v>
      </c>
      <c r="M17" s="12">
        <f>'Income Statement'!M7/AVERAGE('Balance Sheet'!L33:M33)</f>
        <v>0.89155139817070717</v>
      </c>
      <c r="N17" s="12">
        <f>'Income Statement'!N7/AVERAGE('Balance Sheet'!M33:N33)</f>
        <v>0.94623264235956284</v>
      </c>
      <c r="O17" s="12">
        <f>'Income Statement'!O7/AVERAGE('Balance Sheet'!N33:O33)</f>
        <v>0.93983259767585425</v>
      </c>
      <c r="Q17" s="8" t="s">
        <v>452</v>
      </c>
      <c r="R17" s="12">
        <f>'Income Statement'!R7/'Balance Sheet'!R31</f>
        <v>0.93007039710490469</v>
      </c>
      <c r="S17" s="12">
        <f>'Income Statement'!S7/'Balance Sheet'!S31</f>
        <v>0.93566107510348506</v>
      </c>
      <c r="T17" s="12">
        <f>'Income Statement'!T7/'Balance Sheet'!T31</f>
        <v>0.84175031223667929</v>
      </c>
      <c r="U17" s="12">
        <f>'Income Statement'!U7/'Balance Sheet'!U31</f>
        <v>0.92739018295475528</v>
      </c>
      <c r="V17" s="12">
        <f>'Income Statement'!V7/'Balance Sheet'!V31</f>
        <v>1.0491349328244217</v>
      </c>
      <c r="W17" s="12">
        <f>'Income Statement'!W7/'Balance Sheet'!W31</f>
        <v>0.9881712828540411</v>
      </c>
      <c r="Y17" s="8" t="s">
        <v>452</v>
      </c>
      <c r="Z17" s="12">
        <f>'Income Statement'!Z8/'Balance Sheet'!Z31</f>
        <v>1.0441990726111725</v>
      </c>
      <c r="AA17" s="12">
        <f>'Income Statement'!AA8/(AVERAGE('Balance Sheet'!Z31:AA31))</f>
        <v>0.963067177669514</v>
      </c>
      <c r="AB17" s="12">
        <f>'Income Statement'!AB8/(AVERAGE('Balance Sheet'!AA31:AB31))</f>
        <v>0.67855381332157316</v>
      </c>
      <c r="AC17" s="12">
        <f>'Income Statement'!AC8/(AVERAGE('Balance Sheet'!AB31:AC31))</f>
        <v>0.57276836159060718</v>
      </c>
      <c r="AD17" s="12">
        <f>'Income Statement'!AD8/(AVERAGE('Balance Sheet'!AC31:AD31))</f>
        <v>0.67196085813759487</v>
      </c>
      <c r="AE17" s="12">
        <f>'Income Statement'!AE8/(AVERAGE('Balance Sheet'!AD31:AE31))</f>
        <v>0.72217226113434374</v>
      </c>
      <c r="AG17" s="8" t="s">
        <v>452</v>
      </c>
      <c r="AH17" s="12">
        <f>'Income Statement'!AH7/'Balance Sheet'!AH31</f>
        <v>0.8331624761876294</v>
      </c>
      <c r="AI17" s="12">
        <f>'Income Statement'!AI7/(AVERAGE('Balance Sheet'!AH31:AI31))</f>
        <v>1.1104805423930091</v>
      </c>
      <c r="AJ17" s="12">
        <f>'Income Statement'!AJ7/(AVERAGE('Balance Sheet'!AI31:AJ31))</f>
        <v>0.9467406170166347</v>
      </c>
      <c r="AK17" s="12">
        <f>'Income Statement'!AK7/(AVERAGE('Balance Sheet'!AJ31:AK31))</f>
        <v>1.055959975743509</v>
      </c>
      <c r="AL17" s="12">
        <f>'Income Statement'!AL7/(AVERAGE('Balance Sheet'!AK31:AL31))</f>
        <v>1.1211999858783035</v>
      </c>
      <c r="AM17" s="12">
        <f>'Income Statement'!AM7/(AVERAGE('Balance Sheet'!AL31:AM31))</f>
        <v>1.1804020358850447</v>
      </c>
    </row>
    <row r="18" spans="1:39" x14ac:dyDescent="0.3">
      <c r="A18" s="8" t="s">
        <v>453</v>
      </c>
      <c r="B18" s="12">
        <f>'Income Statement'!B10/'Balance Sheet'!B24</f>
        <v>10.7439295129735</v>
      </c>
      <c r="C18" s="12">
        <f>'Income Statement'!C10/(AVERAGE('Balance Sheet'!B24:C24))</f>
        <v>5.0924359244764199</v>
      </c>
      <c r="D18" s="12">
        <f>'Income Statement'!D10/(AVERAGE('Balance Sheet'!C24:D24))</f>
        <v>7.0128217140303706</v>
      </c>
      <c r="E18" s="12">
        <f>'Income Statement'!E10/(AVERAGE('Balance Sheet'!D24:E24))</f>
        <v>13.342362643196754</v>
      </c>
      <c r="F18" s="12">
        <f>'Income Statement'!F10/(AVERAGE('Balance Sheet'!E24:F24))</f>
        <v>16.001124252372172</v>
      </c>
      <c r="G18" s="12">
        <f>'Income Statement'!G10/(AVERAGE('Balance Sheet'!F24:G24))</f>
        <v>16.824071468034319</v>
      </c>
      <c r="I18" s="8" t="s">
        <v>453</v>
      </c>
      <c r="J18" s="12">
        <f>('Income Statement'!J9+'Income Statement'!J10)/'Balance Sheet'!J22</f>
        <v>4.3586860287120937</v>
      </c>
      <c r="K18" s="12">
        <f>('Income Statement'!K9+'Income Statement'!K10)/AVERAGE('Balance Sheet'!J22:K22)</f>
        <v>4.1751600040357424</v>
      </c>
      <c r="L18" s="12">
        <f>('Income Statement'!L9+'Income Statement'!L10)/AVERAGE('Balance Sheet'!K22:L22)</f>
        <v>5.9489366022029344</v>
      </c>
      <c r="M18" s="12">
        <f>('Income Statement'!M9+'Income Statement'!M10)/AVERAGE('Balance Sheet'!L22:M22)</f>
        <v>5.9972553237255326</v>
      </c>
      <c r="N18" s="12">
        <f>('Income Statement'!N9+'Income Statement'!N10)/AVERAGE('Balance Sheet'!M22:N22)</f>
        <v>6.3560342857585512</v>
      </c>
      <c r="O18" s="12">
        <f>('Income Statement'!O9+'Income Statement'!O10)/AVERAGE('Balance Sheet'!N22:O22)</f>
        <v>6.1685261599068344</v>
      </c>
      <c r="Q18" s="8" t="s">
        <v>453</v>
      </c>
      <c r="R18" s="12">
        <f>('Income Statement'!R9+'Income Statement'!R10)/'Balance Sheet'!R20</f>
        <v>7.2073290196179522</v>
      </c>
      <c r="S18" s="12">
        <f>('Income Statement'!S9+'Income Statement'!S10)/AVERAGE('Balance Sheet'!R20:S20)</f>
        <v>7.0463900322616526</v>
      </c>
      <c r="T18" s="12">
        <f>('Income Statement'!T9+'Income Statement'!T10)/AVERAGE('Balance Sheet'!S20:T20)</f>
        <v>6.233648385271497</v>
      </c>
      <c r="U18" s="12">
        <f>('Income Statement'!U9+'Income Statement'!U10)/AVERAGE('Balance Sheet'!T20:U20)</f>
        <v>6.4153854531593177</v>
      </c>
      <c r="V18" s="12">
        <f>('Income Statement'!V9+'Income Statement'!V10)/AVERAGE('Balance Sheet'!U20:V20)</f>
        <v>7.154305309150935</v>
      </c>
      <c r="W18" s="12">
        <f>('Income Statement'!W9+'Income Statement'!W10)/AVERAGE('Balance Sheet'!V20:W20)</f>
        <v>8.5638528828220259</v>
      </c>
      <c r="Y18" s="8" t="s">
        <v>453</v>
      </c>
      <c r="Z18" s="12">
        <f>('Income Statement'!Z11+'Income Statement'!Z12+'Income Statement'!Z13+'Income Statement'!Z14+'Income Statement'!Z16+'Income Statement'!Z17)/'Balance Sheet'!Z21</f>
        <v>22.696393371601857</v>
      </c>
      <c r="AA18" s="12">
        <f>('Income Statement'!AA11+'Income Statement'!AA12+'Income Statement'!AA13+'Income Statement'!AA14+'Income Statement'!AA16+'Income Statement'!AA17)/AVERAGE('Balance Sheet'!Z21:AA21)</f>
        <v>20.14536125334461</v>
      </c>
      <c r="AB18" s="12">
        <f>('Income Statement'!AB11+'Income Statement'!AB12+'Income Statement'!AB13+'Income Statement'!AB14+'Income Statement'!AB16+'Income Statement'!AB17)/AVERAGE('Balance Sheet'!AA21:AB21)</f>
        <v>15.715294914268318</v>
      </c>
      <c r="AC18" s="12">
        <f>('Income Statement'!AC11+'Income Statement'!AC12+'Income Statement'!AC13+'Income Statement'!AC14+'Income Statement'!AC16+'Income Statement'!AC17)/AVERAGE('Balance Sheet'!AB21:AC21)</f>
        <v>13.304684429342084</v>
      </c>
      <c r="AD18" s="12">
        <f>('Income Statement'!AD11+'Income Statement'!AD12+'Income Statement'!AD13+'Income Statement'!AD14+'Income Statement'!AD16+'Income Statement'!AD17)/AVERAGE('Balance Sheet'!AC21:AD21)</f>
        <v>15.653179388458748</v>
      </c>
      <c r="AE18" s="12">
        <f>('Income Statement'!AE11+'Income Statement'!AE12+'Income Statement'!AE13+'Income Statement'!AE14+'Income Statement'!AE16+'Income Statement'!AE17)/AVERAGE('Balance Sheet'!AD21:AE21)</f>
        <v>17.367854988615008</v>
      </c>
      <c r="AG18" s="8" t="s">
        <v>453</v>
      </c>
      <c r="AH18" s="12">
        <f>'Income Statement'!AH9/'Balance Sheet'!AH20</f>
        <v>1013.6960433025843</v>
      </c>
      <c r="AI18" s="12">
        <f>'Income Statement'!AI9/AVERAGE('Balance Sheet'!AH20:AI20)</f>
        <v>821.24511889421797</v>
      </c>
      <c r="AJ18" s="12">
        <f>'Income Statement'!AJ9/AVERAGE('Balance Sheet'!AI20:AJ20)</f>
        <v>387.72234332425074</v>
      </c>
      <c r="AK18" s="12">
        <f>'Income Statement'!AK9/AVERAGE('Balance Sheet'!AJ20:AK20)</f>
        <v>328.98438074237413</v>
      </c>
      <c r="AL18" s="12">
        <f>'Income Statement'!AL9/AVERAGE('Balance Sheet'!AK20:AL20)</f>
        <v>302.79126566922764</v>
      </c>
      <c r="AM18" s="12">
        <f>'Income Statement'!AM9/AVERAGE('Balance Sheet'!AL20:AM20)</f>
        <v>623.66687268232386</v>
      </c>
    </row>
    <row r="19" spans="1:39" x14ac:dyDescent="0.3">
      <c r="A19" s="8" t="s">
        <v>454</v>
      </c>
      <c r="B19" s="12">
        <f>'Income Statement'!B8/'Balance Sheet'!B26</f>
        <v>5.3047286884581064</v>
      </c>
      <c r="C19" s="12">
        <f>'Income Statement'!C8/AVERAGE('Balance Sheet'!B26:C26)</f>
        <v>5.8371293208629567</v>
      </c>
      <c r="D19" s="12">
        <f>'Income Statement'!D8/AVERAGE('Balance Sheet'!C26:D26)</f>
        <v>8.3955510221797827</v>
      </c>
      <c r="E19" s="12">
        <f>'Income Statement'!E8/AVERAGE('Balance Sheet'!D26:E26)</f>
        <v>8.201739888021935</v>
      </c>
      <c r="F19" s="12">
        <f>'Income Statement'!F8/AVERAGE('Balance Sheet'!E26:F26)</f>
        <v>8.1666152815110422</v>
      </c>
      <c r="G19" s="12">
        <f>'Income Statement'!G8/AVERAGE('Balance Sheet'!F26:G26)</f>
        <v>7.9965132789253408</v>
      </c>
      <c r="I19" s="8" t="s">
        <v>454</v>
      </c>
      <c r="J19" s="12">
        <f>'Income Statement'!J7/'Balance Sheet'!J22</f>
        <v>10.524910016135038</v>
      </c>
      <c r="K19" s="12">
        <f>'Income Statement'!K7/(AVERAGE('Balance Sheet'!J24:K24))</f>
        <v>2.7025204431096577</v>
      </c>
      <c r="L19" s="12">
        <f>'Income Statement'!L7/(AVERAGE('Balance Sheet'!K24:L24))</f>
        <v>3.0985692385773045</v>
      </c>
      <c r="M19" s="12">
        <f>'Income Statement'!M7/(AVERAGE('Balance Sheet'!L24:M24))</f>
        <v>3.3369494670407587</v>
      </c>
      <c r="N19" s="12">
        <f>'Income Statement'!N7/(AVERAGE('Balance Sheet'!M24:N24))</f>
        <v>3.5617688716361537</v>
      </c>
      <c r="O19" s="12">
        <f>'Income Statement'!O7/(AVERAGE('Balance Sheet'!N24:O24))</f>
        <v>3.2855670466357756</v>
      </c>
      <c r="Q19" s="8" t="s">
        <v>454</v>
      </c>
      <c r="R19" s="12">
        <f>'Income Statement'!R7/('Balance Sheet'!R22+'Balance Sheet'!R12)</f>
        <v>2.1996242272415052</v>
      </c>
      <c r="S19" s="12">
        <f>'Income Statement'!S7/(AVERAGE('Balance Sheet'!R22:S22)+AVERAGE('Balance Sheet'!R12:S12))</f>
        <v>2.3873224599513243</v>
      </c>
      <c r="T19" s="12">
        <f>'Income Statement'!T7/(AVERAGE('Balance Sheet'!S22:T22)+AVERAGE('Balance Sheet'!S12:T12))</f>
        <v>2.4694680093818921</v>
      </c>
      <c r="U19" s="12">
        <f>'Income Statement'!U7/(AVERAGE('Balance Sheet'!T22:U22)+AVERAGE('Balance Sheet'!T12:U12))</f>
        <v>2.69901435402969</v>
      </c>
      <c r="V19" s="12">
        <f>'Income Statement'!V7/(AVERAGE('Balance Sheet'!U22:V22)+AVERAGE('Balance Sheet'!U12:V12))</f>
        <v>3.4188412646228867</v>
      </c>
      <c r="W19" s="12">
        <f>'Income Statement'!W7/(AVERAGE('Balance Sheet'!V22:W22)+AVERAGE('Balance Sheet'!V12:W12))</f>
        <v>4.5232860626210529</v>
      </c>
      <c r="Y19" s="8" t="s">
        <v>454</v>
      </c>
      <c r="Z19" s="12">
        <f>'Income Statement'!Z8/'Balance Sheet'!Z23</f>
        <v>5.2955064600816248</v>
      </c>
      <c r="AA19" s="12">
        <f>'Income Statement'!AA8/AVERAGE('Balance Sheet'!Z23:AA23)</f>
        <v>4.8187172060033321</v>
      </c>
      <c r="AB19" s="12">
        <f>'Income Statement'!AB8/AVERAGE('Balance Sheet'!AA23:AB23)</f>
        <v>4.173831044128633</v>
      </c>
      <c r="AC19" s="12">
        <f>'Income Statement'!AC8/AVERAGE('Balance Sheet'!AB23:AC23)</f>
        <v>4.0996616626784057</v>
      </c>
      <c r="AD19" s="12">
        <f>'Income Statement'!AD8/AVERAGE('Balance Sheet'!AC23:AD23)</f>
        <v>4.8185019263660172</v>
      </c>
      <c r="AE19" s="12">
        <f>'Income Statement'!AE8/AVERAGE('Balance Sheet'!AD23:AE23)</f>
        <v>5.0711852108945505</v>
      </c>
      <c r="AG19" s="8" t="s">
        <v>454</v>
      </c>
      <c r="AH19" s="12">
        <f>'Income Statement'!AH7/'Balance Sheet'!AH22</f>
        <v>12.367601291635696</v>
      </c>
      <c r="AI19" s="12">
        <f>'Income Statement'!AI7/AVERAGE('Balance Sheet'!AH22:AI22)</f>
        <v>16.286104126810226</v>
      </c>
      <c r="AJ19" s="12">
        <f>'Income Statement'!AJ7/AVERAGE('Balance Sheet'!AI22:AJ22)</f>
        <v>16.833107403545359</v>
      </c>
      <c r="AK19" s="12">
        <f>'Income Statement'!AK7/AVERAGE('Balance Sheet'!AJ22:AK22)</f>
        <v>21.160951417322423</v>
      </c>
      <c r="AL19" s="12">
        <f>'Income Statement'!AL7/AVERAGE('Balance Sheet'!AK22:AL22)</f>
        <v>20.792708190826115</v>
      </c>
      <c r="AM19" s="12">
        <f>'Income Statement'!AM7/AVERAGE('Balance Sheet'!AL22:AM22)</f>
        <v>17.978799247338216</v>
      </c>
    </row>
    <row r="20" spans="1:39" x14ac:dyDescent="0.3">
      <c r="A20" s="2" t="s">
        <v>455</v>
      </c>
      <c r="B20" s="50"/>
      <c r="C20" s="50"/>
      <c r="D20" s="50"/>
      <c r="E20" s="50"/>
      <c r="F20" s="50"/>
      <c r="G20" s="50"/>
      <c r="I20" s="2" t="s">
        <v>455</v>
      </c>
      <c r="J20" s="50"/>
      <c r="K20" s="50"/>
      <c r="L20" s="50"/>
      <c r="M20" s="50"/>
      <c r="N20" s="50"/>
      <c r="O20" s="50"/>
      <c r="Q20" s="2" t="s">
        <v>455</v>
      </c>
      <c r="R20" s="50"/>
      <c r="S20" s="50"/>
      <c r="T20" s="50"/>
      <c r="U20" s="50"/>
      <c r="V20" s="50"/>
      <c r="W20" s="50"/>
      <c r="Y20" s="2" t="s">
        <v>455</v>
      </c>
      <c r="Z20" s="50"/>
      <c r="AA20" s="50"/>
      <c r="AB20" s="50"/>
      <c r="AC20" s="50"/>
      <c r="AD20" s="50"/>
      <c r="AE20" s="50"/>
      <c r="AG20" s="2" t="s">
        <v>455</v>
      </c>
      <c r="AH20" s="50"/>
      <c r="AI20" s="50"/>
      <c r="AJ20" s="50"/>
      <c r="AK20" s="50"/>
      <c r="AL20" s="50"/>
      <c r="AM20" s="50"/>
    </row>
    <row r="21" spans="1:39" x14ac:dyDescent="0.3">
      <c r="A21" s="8" t="s">
        <v>456</v>
      </c>
      <c r="B21" s="12">
        <f ca="1">B28/('Income Statement'!B30/'Company Info'!$B$11)</f>
        <v>14.343734379169938</v>
      </c>
      <c r="C21" s="12">
        <f ca="1">C28/('Income Statement'!C30/'Company Info'!$B$11)</f>
        <v>30.05267915559131</v>
      </c>
      <c r="D21" s="12">
        <f ca="1">D28/('Income Statement'!D30/'Company Info'!$B$11)</f>
        <v>33.763756088008094</v>
      </c>
      <c r="E21" s="12">
        <f ca="1">E28/('Income Statement'!E30/'Company Info'!$B$11)</f>
        <v>25.311609737147098</v>
      </c>
      <c r="F21" s="12">
        <f ca="1">F28/('Income Statement'!F30/'Company Info'!$B$11)</f>
        <v>36.165846640975609</v>
      </c>
      <c r="G21" s="12">
        <f ca="1">G28/('Income Statement'!G30/'Company Info'!$B$11)</f>
        <v>23.024536815878111</v>
      </c>
      <c r="I21" s="8" t="s">
        <v>456</v>
      </c>
      <c r="J21" s="12">
        <f ca="1">J28/('Income Statement'!J27/'Company Info'!$C$11)</f>
        <v>8.0062669447367316</v>
      </c>
      <c r="K21" s="12">
        <f ca="1">K28/('Income Statement'!K27/'Company Info'!$C$11)</f>
        <v>9.7246798078666004</v>
      </c>
      <c r="L21" s="12">
        <f ca="1">L28/('Income Statement'!L27/'Company Info'!$C$11)</f>
        <v>11.70538837700447</v>
      </c>
      <c r="M21" s="12">
        <f ca="1">M28/('Income Statement'!M27/'Company Info'!$C$11)</f>
        <v>21.084539437267352</v>
      </c>
      <c r="N21" s="12">
        <f ca="1">N28/('Income Statement'!N27/'Company Info'!$C$11)</f>
        <v>35.71692874588107</v>
      </c>
      <c r="O21" s="12">
        <f ca="1">O28/('Income Statement'!O27/'Company Info'!$C$11)</f>
        <v>29.336629594373271</v>
      </c>
      <c r="Q21" s="8" t="s">
        <v>456</v>
      </c>
      <c r="R21" s="12">
        <f ca="1">R28/('Income Statement'!R24/'Company Info'!$D$11)</f>
        <v>8.7318043570519102</v>
      </c>
      <c r="S21" s="12">
        <f ca="1">S28/('Income Statement'!S24/'Company Info'!$D$11)</f>
        <v>19.787282891880231</v>
      </c>
      <c r="T21" s="12">
        <f ca="1">T28/('Income Statement'!T24/'Company Info'!$D$11)</f>
        <v>26.848847546044951</v>
      </c>
      <c r="U21" s="12">
        <f ca="1">U28/('Income Statement'!U24/'Company Info'!$D$11)</f>
        <v>69.011174231665237</v>
      </c>
      <c r="V21" s="12">
        <f ca="1">V28/('Income Statement'!V24/'Company Info'!$D$11)</f>
        <v>54.118172905012145</v>
      </c>
      <c r="W21" s="12">
        <f ca="1">W28/('Income Statement'!W24/'Company Info'!$D$11)</f>
        <v>36.571366997231799</v>
      </c>
      <c r="Y21" s="8" t="s">
        <v>456</v>
      </c>
      <c r="Z21" s="12">
        <f ca="1">Z28/('Income Statement'!Z42/'Company Info'!$E$11)</f>
        <v>10.208634609171042</v>
      </c>
      <c r="AA21" s="12">
        <f ca="1">AA28/('Income Statement'!AA42/'Company Info'!$E$11)</f>
        <v>15.105406592071354</v>
      </c>
      <c r="AB21" s="12">
        <f ca="1">AB28/('Income Statement'!AB42/'Company Info'!$E$11)</f>
        <v>23.337074053865777</v>
      </c>
      <c r="AC21" s="12">
        <f ca="1">AC28/('Income Statement'!AC42/'Company Info'!$E$11)</f>
        <v>23.758061454261629</v>
      </c>
      <c r="AD21" s="12">
        <f ca="1">AD28/('Income Statement'!AD42/'Company Info'!$E$11)</f>
        <v>33.302347871307198</v>
      </c>
      <c r="AE21" s="12">
        <f ca="1">AE28/('Income Statement'!AE42/'Company Info'!$E$11)</f>
        <v>27.181869666327689</v>
      </c>
      <c r="AG21" s="8" t="s">
        <v>456</v>
      </c>
      <c r="AH21" s="12">
        <f ca="1">AH28/('Income Statement'!AH25/'Company Info'!$F$11)</f>
        <v>3.880553723881055</v>
      </c>
      <c r="AI21" s="12">
        <f ca="1">AI28/('Income Statement'!AI25/'Company Info'!$F$11)</f>
        <v>8.0541953667399202</v>
      </c>
      <c r="AJ21" s="12">
        <f ca="1">AJ28/('Income Statement'!AJ25/'Company Info'!$F$11)</f>
        <v>6.8759799106467421</v>
      </c>
      <c r="AK21" s="12">
        <f ca="1">AK28/('Income Statement'!AK25/'Company Info'!$F$11)</f>
        <v>12.093817652977556</v>
      </c>
      <c r="AL21" s="12">
        <f ca="1">AL28/('Income Statement'!AL25/'Company Info'!$F$11)</f>
        <v>40.558242593627675</v>
      </c>
      <c r="AM21" s="12">
        <f ca="1">AM28/('Income Statement'!AM25/'Company Info'!$F$11)</f>
        <v>46.541393548305216</v>
      </c>
    </row>
    <row r="22" spans="1:39" x14ac:dyDescent="0.3">
      <c r="A22" s="8" t="s">
        <v>457</v>
      </c>
      <c r="B22" s="12">
        <f ca="1">B28/('Balance Sheet'!B43/'Company Info'!$B$11)</f>
        <v>2.1005349621639531</v>
      </c>
      <c r="C22" s="12">
        <f ca="1">C28/('Balance Sheet'!C43/'Company Info'!$B$11)</f>
        <v>4.7272156185380885</v>
      </c>
      <c r="D22" s="12">
        <f ca="1">D28/('Balance Sheet'!D43/'Company Info'!$B$11)</f>
        <v>3.9460607545977577</v>
      </c>
      <c r="E22" s="12">
        <f ca="1">E28/('Balance Sheet'!E43/'Company Info'!$B$11)</f>
        <v>2.9090601763476434</v>
      </c>
      <c r="F22" s="12">
        <f ca="1">F28/('Balance Sheet'!F43/'Company Info'!$B$11)</f>
        <v>5.3735155660671401</v>
      </c>
      <c r="G22" s="12">
        <f ca="1">G28/('Balance Sheet'!G43/'Company Info'!$B$11)</f>
        <v>3.9197675246493411</v>
      </c>
      <c r="I22" s="8" t="s">
        <v>457</v>
      </c>
      <c r="J22" s="12">
        <f ca="1">J28/('Balance Sheet'!J40/'Company Info'!$C$11)</f>
        <v>0.89242055150393251</v>
      </c>
      <c r="K22" s="12">
        <f ca="1">K28/('Balance Sheet'!K40/'Company Info'!$C$11)</f>
        <v>1.6683667069195167</v>
      </c>
      <c r="L22" s="12">
        <f ca="1">L28/('Balance Sheet'!L40/'Company Info'!$C$11)</f>
        <v>1.4177991259702953</v>
      </c>
      <c r="M22" s="12">
        <f ca="1">M28/('Balance Sheet'!M40/'Company Info'!$C$11)</f>
        <v>1.9540839194181336</v>
      </c>
      <c r="N22" s="12">
        <f ca="1">N28/('Balance Sheet'!N40/'Company Info'!$C$11)</f>
        <v>3.6039601588950112</v>
      </c>
      <c r="O22" s="12">
        <f ca="1">O28/('Balance Sheet'!O40/'Company Info'!$C$11)</f>
        <v>2.5726000980079955</v>
      </c>
      <c r="Q22" s="8" t="s">
        <v>457</v>
      </c>
      <c r="R22" s="12">
        <f ca="1">R28/('Balance Sheet'!R36/'Company Info'!$D$11)</f>
        <v>1.7651005511906721</v>
      </c>
      <c r="S22" s="12">
        <f ca="1">S28/('Balance Sheet'!S36/'Company Info'!$D$11)</f>
        <v>3.2553083766657043</v>
      </c>
      <c r="T22" s="12">
        <f ca="1">T28/('Balance Sheet'!T36/'Company Info'!$D$11)</f>
        <v>2.7866972565767845</v>
      </c>
      <c r="U22" s="12">
        <f ca="1">U28/('Balance Sheet'!U36/'Company Info'!$D$11)</f>
        <v>3.2210777372978878</v>
      </c>
      <c r="V22" s="12">
        <f ca="1">V28/('Balance Sheet'!V36/'Company Info'!$D$11)</f>
        <v>4.5821471299167422</v>
      </c>
      <c r="W22" s="12">
        <f ca="1">W28/('Balance Sheet'!W36/'Company Info'!$D$11)</f>
        <v>3.9033075578079273</v>
      </c>
      <c r="Y22" s="8" t="s">
        <v>457</v>
      </c>
      <c r="Z22" s="12">
        <f ca="1">Z28/('Balance Sheet'!Z37/'Company Info'!$E$11)</f>
        <v>2.1315759999693342</v>
      </c>
      <c r="AA22" s="12">
        <f ca="1">AA28/('Balance Sheet'!AA37/'Company Info'!$E$11)</f>
        <v>3.230752379185196</v>
      </c>
      <c r="AB22" s="12">
        <f ca="1">AB28/('Balance Sheet'!AB37/'Company Info'!$E$11)</f>
        <v>2.5494921449019561</v>
      </c>
      <c r="AC22" s="12">
        <f ca="1">AC28/('Balance Sheet'!AC37/'Company Info'!$E$11)</f>
        <v>2.8744929140706872</v>
      </c>
      <c r="AD22" s="12">
        <f ca="1">AD28/('Balance Sheet'!AD37/'Company Info'!$E$11)</f>
        <v>5.0488215425580156</v>
      </c>
      <c r="AE22" s="12">
        <f ca="1">AE28/('Balance Sheet'!AE37/'Company Info'!$E$11)</f>
        <v>4.1627281957559763</v>
      </c>
      <c r="AG22" s="8" t="s">
        <v>457</v>
      </c>
      <c r="AH22" s="12">
        <f ca="1">AH28/('Balance Sheet'!AH36/'Company Info'!$F$11)</f>
        <v>0.52167282733013975</v>
      </c>
      <c r="AI22" s="12">
        <f ca="1">AI28/('Balance Sheet'!AI36/'Company Info'!$F$11)</f>
        <v>1.0765298221458888</v>
      </c>
      <c r="AJ22" s="12">
        <f ca="1">AJ28/('Balance Sheet'!AJ36/'Company Info'!$F$11)</f>
        <v>1.065747866320693</v>
      </c>
      <c r="AK22" s="12">
        <f ca="1">AK28/('Balance Sheet'!AK36/'Company Info'!$F$11)</f>
        <v>1.9738948966354779</v>
      </c>
      <c r="AL22" s="12">
        <f ca="1">AL28/('Balance Sheet'!AL36/'Company Info'!$F$11)</f>
        <v>6.2222679327909809</v>
      </c>
      <c r="AM22" s="12">
        <f ca="1">AM28/('Balance Sheet'!AM36/'Company Info'!$F$11)</f>
        <v>8.4972642780609764</v>
      </c>
    </row>
    <row r="23" spans="1:39" x14ac:dyDescent="0.3">
      <c r="A23" s="8" t="s">
        <v>458</v>
      </c>
      <c r="B23" s="12">
        <f ca="1">(B30+'Balance Sheet'!B46+'Balance Sheet'!B54-'Balance Sheet'!B28)/('Income Statement'!B20+'Income Statement'!B15+'Income Statement'!B16)</f>
        <v>9.5911320849294111</v>
      </c>
      <c r="C23" s="12">
        <f ca="1">(C30+'Balance Sheet'!C46+'Balance Sheet'!C54-'Balance Sheet'!C28)/('Income Statement'!C20+'Income Statement'!C15+'Income Statement'!C16)</f>
        <v>16.952589660986924</v>
      </c>
      <c r="D23" s="12">
        <f ca="1">(D30+'Balance Sheet'!D46+'Balance Sheet'!D54-'Balance Sheet'!D28)/('Income Statement'!D20+'Income Statement'!D15+'Income Statement'!D16)</f>
        <v>17.367654286288236</v>
      </c>
      <c r="E23" s="12">
        <f ca="1">(E30+'Balance Sheet'!E46+'Balance Sheet'!E54-'Balance Sheet'!E28)/('Income Statement'!E20+'Income Statement'!E15+'Income Statement'!E16)</f>
        <v>14.830196559207913</v>
      </c>
      <c r="F23" s="12">
        <f ca="1">(F30+'Balance Sheet'!F46+'Balance Sheet'!F54-'Balance Sheet'!F28)/('Income Statement'!F20+'Income Statement'!F15+'Income Statement'!F16)</f>
        <v>19.581505920980927</v>
      </c>
      <c r="G23" s="12">
        <f ca="1">(G30+'Balance Sheet'!G46+'Balance Sheet'!G54-'Balance Sheet'!G28)/('Income Statement'!G20+'Income Statement'!G15+'Income Statement'!G16)</f>
        <v>14.81844059861524</v>
      </c>
      <c r="I23" s="8" t="s">
        <v>458</v>
      </c>
      <c r="J23" s="12">
        <f ca="1">(J30+'Balance Sheet'!J43+'Balance Sheet'!J54-'Balance Sheet'!J25)/('Income Statement'!J18+'Income Statement'!J14+'Income Statement'!J13)</f>
        <v>3.6322855957945408</v>
      </c>
      <c r="K23" s="12">
        <f ca="1">(K30+'Balance Sheet'!K43+'Balance Sheet'!K54-'Balance Sheet'!K25)/('Income Statement'!K18+'Income Statement'!K14+'Income Statement'!K13)</f>
        <v>5.3282352694990491</v>
      </c>
      <c r="L23" s="12">
        <f ca="1">(L30+'Balance Sheet'!L43+'Balance Sheet'!L54-'Balance Sheet'!L25)/('Income Statement'!L18+'Income Statement'!L14+'Income Statement'!L13)</f>
        <v>6.969420800481827</v>
      </c>
      <c r="M23" s="12">
        <f ca="1">(M30+'Balance Sheet'!M43+'Balance Sheet'!M54-'Balance Sheet'!M25)/('Income Statement'!M18+'Income Statement'!M14+'Income Statement'!M13)</f>
        <v>8.443009243280077</v>
      </c>
      <c r="N23" s="12">
        <f ca="1">(N30+'Balance Sheet'!N43+'Balance Sheet'!N54-'Balance Sheet'!N25)/('Income Statement'!N18+'Income Statement'!N14+'Income Statement'!N13)</f>
        <v>12.599986730160239</v>
      </c>
      <c r="O23" s="12">
        <f ca="1">(O30+'Balance Sheet'!O43+'Balance Sheet'!O54-'Balance Sheet'!O25)/('Income Statement'!O18+'Income Statement'!O14+'Income Statement'!O13)</f>
        <v>10.138521496361937</v>
      </c>
      <c r="Q23" s="8" t="s">
        <v>458</v>
      </c>
      <c r="R23" s="12">
        <f ca="1">(R30+'Balance Sheet'!R39+'Balance Sheet'!R46-Table3[[#This Row],[2020]])/('Income Statement'!R17+'Income Statement'!R14+'Income Statement'!R12)</f>
        <v>5.4977156850937394</v>
      </c>
      <c r="S23" s="12">
        <f ca="1">(S30+'Balance Sheet'!S39+'Balance Sheet'!S46-Table3[[#This Row],[2021]])/('Income Statement'!S17+'Income Statement'!S14+'Income Statement'!S12)</f>
        <v>10.742152451051565</v>
      </c>
      <c r="T23" s="12">
        <f ca="1">(T30+'Balance Sheet'!T39+'Balance Sheet'!T46-Table3[[#This Row],[2022]])/('Income Statement'!T17+'Income Statement'!T14+'Income Statement'!T12)</f>
        <v>13.897166632131139</v>
      </c>
      <c r="U23" s="12">
        <f ca="1">(U30+'Balance Sheet'!U39+'Balance Sheet'!U46-Table3[[#This Row],[2023]])/('Income Statement'!U17+'Income Statement'!U14+'Income Statement'!U12)</f>
        <v>17.491814644910292</v>
      </c>
      <c r="V23" s="12">
        <f ca="1">(V30+'Balance Sheet'!V39+'Balance Sheet'!V46-Table3[[#This Row],[2024]])/('Income Statement'!V17+'Income Statement'!V14+'Income Statement'!V12)</f>
        <v>17.640594168810903</v>
      </c>
      <c r="W23" s="12">
        <f ca="1">(W30+'Balance Sheet'!W39+'Balance Sheet'!W46-Table3[[#This Row],[2025]])/('Income Statement'!W17+'Income Statement'!W14+'Income Statement'!W12)</f>
        <v>15.258294597271986</v>
      </c>
      <c r="Y23" s="8" t="s">
        <v>458</v>
      </c>
      <c r="Z23" s="12">
        <f ca="1">(Z30+'Balance Sheet'!Z40+'Balance Sheet'!Z48+'Balance Sheet'!Z49-'Balance Sheet'!Z24)/('Income Statement'!Z24+'Income Statement'!Z21+'Income Statement'!Z22)</f>
        <v>7.1556475402731294</v>
      </c>
      <c r="AA23" s="12">
        <f ca="1">(AA30+'Balance Sheet'!AA40+'Balance Sheet'!AA48+'Balance Sheet'!AA49-'Balance Sheet'!AA24)/('Income Statement'!AA24+'Income Statement'!AA21+'Income Statement'!AA22)</f>
        <v>11.330085002453613</v>
      </c>
      <c r="AB23" s="12">
        <f ca="1">(AB30+'Balance Sheet'!AB40+'Balance Sheet'!AB48+'Balance Sheet'!AB49-'Balance Sheet'!AB24)/('Income Statement'!AB24+'Income Statement'!AB21+'Income Statement'!AB22)</f>
        <v>17.23612293196118</v>
      </c>
      <c r="AC23" s="12">
        <f ca="1">(AC30+'Balance Sheet'!AC40+'Balance Sheet'!AC48+'Balance Sheet'!AC49-'Balance Sheet'!AC24)/('Income Statement'!AC24+'Income Statement'!AC21+'Income Statement'!AC22)</f>
        <v>16.860161428399504</v>
      </c>
      <c r="AD23" s="12">
        <f ca="1">(AD30+'Balance Sheet'!AD40+'Balance Sheet'!AD48+'Balance Sheet'!AD49-'Balance Sheet'!AD24)/('Income Statement'!AD24+'Income Statement'!AD21+'Income Statement'!AD22)</f>
        <v>22.415860540480722</v>
      </c>
      <c r="AE23" s="12">
        <f ca="1">(AE30+'Balance Sheet'!AE40+'Balance Sheet'!AE48+'Balance Sheet'!AE49-'Balance Sheet'!AE24)/('Income Statement'!AE24+'Income Statement'!AE21+'Income Statement'!AE22)</f>
        <v>19.560703512419657</v>
      </c>
      <c r="AG23" s="8" t="s">
        <v>458</v>
      </c>
      <c r="AH23" s="12">
        <f ca="1">(AH30+'Balance Sheet'!AH39+'Balance Sheet'!AH46-'Balance Sheet'!AH24)/('Income Statement'!AH16+'Income Statement'!AH11+'Income Statement'!AH12)</f>
        <v>8.4610055864216029</v>
      </c>
      <c r="AI23" s="12">
        <f ca="1">(AI30+'Balance Sheet'!AI39+'Balance Sheet'!AI46-'Balance Sheet'!AI24)/('Income Statement'!AI16+'Income Statement'!AI11+'Income Statement'!AI12)</f>
        <v>10.219457451303288</v>
      </c>
      <c r="AJ23" s="12">
        <f ca="1">(AJ30+'Balance Sheet'!AJ39+'Balance Sheet'!AJ46-'Balance Sheet'!AJ24)/('Income Statement'!AJ16+'Income Statement'!AJ11+'Income Statement'!AJ12)</f>
        <v>5.4386309255427525</v>
      </c>
      <c r="AK23" s="12">
        <f ca="1">(AK30+'Balance Sheet'!AK39+'Balance Sheet'!AK46-'Balance Sheet'!AK24)/('Income Statement'!AK16+'Income Statement'!AK11+'Income Statement'!AK12)</f>
        <v>10.021044638400229</v>
      </c>
      <c r="AL23" s="12">
        <f ca="1">(AL30+'Balance Sheet'!AL39+'Balance Sheet'!AL46-'Balance Sheet'!AL24)/('Income Statement'!AL16+'Income Statement'!AL11+'Income Statement'!AL12)</f>
        <v>26.440674852643475</v>
      </c>
      <c r="AM23" s="12">
        <f ca="1">(AM30+'Balance Sheet'!AM39+'Balance Sheet'!AM46-'Balance Sheet'!AM24)/('Income Statement'!AM16+'Income Statement'!AM11+'Income Statement'!AM12)</f>
        <v>29.791304719508378</v>
      </c>
    </row>
    <row r="24" spans="1:39" x14ac:dyDescent="0.3">
      <c r="A24" s="2" t="s">
        <v>459</v>
      </c>
      <c r="B24" s="50"/>
      <c r="C24" s="50"/>
      <c r="D24" s="50"/>
      <c r="E24" s="50"/>
      <c r="F24" s="50"/>
      <c r="G24" s="50"/>
      <c r="I24" s="2" t="s">
        <v>459</v>
      </c>
      <c r="J24" s="50"/>
      <c r="K24" s="50"/>
      <c r="L24" s="50"/>
      <c r="M24" s="50"/>
      <c r="N24" s="50"/>
      <c r="O24" s="50"/>
      <c r="Q24" s="2" t="s">
        <v>459</v>
      </c>
      <c r="R24" s="50"/>
      <c r="S24" s="50"/>
      <c r="T24" s="50"/>
      <c r="U24" s="50"/>
      <c r="V24" s="50"/>
      <c r="W24" s="50"/>
      <c r="Y24" s="2" t="s">
        <v>459</v>
      </c>
      <c r="Z24" s="50"/>
      <c r="AA24" s="50"/>
      <c r="AB24" s="50"/>
      <c r="AC24" s="50"/>
      <c r="AD24" s="50"/>
      <c r="AE24" s="50"/>
      <c r="AG24" s="2" t="s">
        <v>459</v>
      </c>
      <c r="AH24" s="50"/>
      <c r="AI24" s="50"/>
      <c r="AJ24" s="50"/>
      <c r="AK24" s="50"/>
      <c r="AL24" s="50"/>
      <c r="AM24" s="50"/>
    </row>
    <row r="25" spans="1:39" x14ac:dyDescent="0.3">
      <c r="A25" s="8" t="s">
        <v>460</v>
      </c>
      <c r="B25" s="12">
        <f>'Cash Flow Statement'!B39/('Balance Sheet'!B46+'Balance Sheet'!B54)</f>
        <v>0.26696807445866527</v>
      </c>
      <c r="C25" s="12">
        <f>'Cash Flow Statement'!C39/('Balance Sheet'!C46+'Balance Sheet'!C54)</f>
        <v>0.22665846320727473</v>
      </c>
      <c r="D25" s="12">
        <f>'Cash Flow Statement'!D39/('Balance Sheet'!D46+'Balance Sheet'!D54)</f>
        <v>0.2292506727822827</v>
      </c>
      <c r="E25" s="12">
        <f>'Cash Flow Statement'!E39/('Balance Sheet'!E46+'Balance Sheet'!E54)</f>
        <v>0.23953061573915815</v>
      </c>
      <c r="F25" s="12">
        <f>'Cash Flow Statement'!F39/('Balance Sheet'!F46+'Balance Sheet'!F54)</f>
        <v>0.32449934884396298</v>
      </c>
      <c r="G25" s="12">
        <f>'Cash Flow Statement'!G39/('Balance Sheet'!G46+'Balance Sheet'!G54)</f>
        <v>0.37603730012837799</v>
      </c>
      <c r="I25" s="8" t="s">
        <v>460</v>
      </c>
      <c r="J25" s="12">
        <f>'Cash Flow Statement'!J29/('Balance Sheet'!J43+'Balance Sheet'!J54)</f>
        <v>0.32001037974856439</v>
      </c>
      <c r="K25" s="12">
        <f>'Cash Flow Statement'!K29/('Balance Sheet'!K43+'Balance Sheet'!K54)</f>
        <v>0.37209785654048899</v>
      </c>
      <c r="L25" s="12">
        <f>'Cash Flow Statement'!L29/('Balance Sheet'!L43+'Balance Sheet'!L54)</f>
        <v>0.19241616203012185</v>
      </c>
      <c r="M25" s="12">
        <f>'Cash Flow Statement'!M29/('Balance Sheet'!M43+'Balance Sheet'!M54)</f>
        <v>0.17824769311818725</v>
      </c>
      <c r="N25" s="12">
        <f>'Cash Flow Statement'!N29/('Balance Sheet'!N43+'Balance Sheet'!N54)</f>
        <v>0.21563491251406938</v>
      </c>
      <c r="O25" s="12">
        <f>'Cash Flow Statement'!O29/('Balance Sheet'!O43+'Balance Sheet'!O54)</f>
        <v>0.21819835649927663</v>
      </c>
      <c r="Q25" s="8" t="s">
        <v>460</v>
      </c>
      <c r="R25" s="12">
        <f>'Cash Flow Statement'!R33/('Balance Sheet'!R39+'Balance Sheet'!R46)</f>
        <v>4.2414395188670059E-2</v>
      </c>
      <c r="S25" s="12">
        <f>'Cash Flow Statement'!S33/('Balance Sheet'!S39+'Balance Sheet'!S46)</f>
        <v>0.45813759208427834</v>
      </c>
      <c r="T25" s="12">
        <f>'Cash Flow Statement'!T33/('Balance Sheet'!T39+'Balance Sheet'!T46)</f>
        <v>-9.9105393141463854E-2</v>
      </c>
      <c r="U25" s="12">
        <f>'Cash Flow Statement'!U33/('Balance Sheet'!U39+'Balance Sheet'!U46)</f>
        <v>0.18993253924775777</v>
      </c>
      <c r="V25" s="12">
        <f>'Cash Flow Statement'!V33/('Balance Sheet'!V39+'Balance Sheet'!V46)</f>
        <v>8.2134900271363318E-2</v>
      </c>
      <c r="W25" s="12">
        <f>'Cash Flow Statement'!W33/('Balance Sheet'!W39+'Balance Sheet'!W46)</f>
        <v>0.11323120153467896</v>
      </c>
      <c r="Y25" s="8" t="s">
        <v>460</v>
      </c>
      <c r="Z25" s="12">
        <f>'Cash Flow Statement'!Z36/('Balance Sheet'!Z40+'Balance Sheet'!Z48+'Balance Sheet'!Z49)</f>
        <v>0.25960062516239873</v>
      </c>
      <c r="AA25" s="12">
        <f>'Cash Flow Statement'!AA36/('Balance Sheet'!AA40+'Balance Sheet'!AA48+'Balance Sheet'!AA49)</f>
        <v>0.95948667525455988</v>
      </c>
      <c r="AB25" s="12">
        <f>'Cash Flow Statement'!AB36/('Balance Sheet'!AB40+'Balance Sheet'!AB48+'Balance Sheet'!AB49)</f>
        <v>0.15521053472622071</v>
      </c>
      <c r="AC25" s="12">
        <f>'Cash Flow Statement'!AC36/('Balance Sheet'!AC40+'Balance Sheet'!AC48+'Balance Sheet'!AC49)</f>
        <v>0.19218893259140865</v>
      </c>
      <c r="AD25" s="12">
        <f>'Cash Flow Statement'!AD36/('Balance Sheet'!AD40+'Balance Sheet'!AD48+'Balance Sheet'!AD49)</f>
        <v>0.16017464784434415</v>
      </c>
      <c r="AE25" s="12">
        <f>'Cash Flow Statement'!AE36/('Balance Sheet'!AE40+'Balance Sheet'!AE48+'Balance Sheet'!AE49)</f>
        <v>7.0706673868514619E-2</v>
      </c>
      <c r="AG25" s="8" t="s">
        <v>460</v>
      </c>
      <c r="AH25" s="12">
        <f>'Cash Flow Statement'!AH35/('Balance Sheet'!AH39+'Balance Sheet'!AH46)</f>
        <v>-0.22550019334434984</v>
      </c>
      <c r="AI25" s="12">
        <f>'Cash Flow Statement'!AI35/('Balance Sheet'!AI39+'Balance Sheet'!AI46)</f>
        <v>7.1068148700396558E-2</v>
      </c>
      <c r="AJ25" s="12">
        <f>'Cash Flow Statement'!AJ35/('Balance Sheet'!AJ39+'Balance Sheet'!AJ46)</f>
        <v>0.72780491798804625</v>
      </c>
      <c r="AK25" s="12">
        <f>'Cash Flow Statement'!AK35/('Balance Sheet'!AK39+'Balance Sheet'!AK46)</f>
        <v>-0.6342154257186865</v>
      </c>
      <c r="AL25" s="12">
        <f>'Cash Flow Statement'!AL35/('Balance Sheet'!AL39+'Balance Sheet'!AL46)</f>
        <v>0.49341155958154626</v>
      </c>
      <c r="AM25" s="12">
        <f>'Cash Flow Statement'!AM35/('Balance Sheet'!AM39+'Balance Sheet'!AM46)</f>
        <v>0.35626143528879078</v>
      </c>
    </row>
    <row r="26" spans="1:39" x14ac:dyDescent="0.3">
      <c r="A26" s="8" t="s">
        <v>461</v>
      </c>
      <c r="B26" s="63">
        <f>('Cash Flow Statement'!B39+'Cash Flow Statement'!B41)/'Income Statement'!B8</f>
        <v>0.27525006516474676</v>
      </c>
      <c r="C26" s="63">
        <f>('Cash Flow Statement'!C39+'Cash Flow Statement'!C41)/'Income Statement'!C8</f>
        <v>0.38583578457874523</v>
      </c>
      <c r="D26" s="63">
        <f>('Cash Flow Statement'!D39+'Cash Flow Statement'!D41)/'Income Statement'!D8</f>
        <v>0.34155029517885765</v>
      </c>
      <c r="E26" s="63">
        <f>('Cash Flow Statement'!E39+'Cash Flow Statement'!E41)/'Income Statement'!E8</f>
        <v>0.12534796314636787</v>
      </c>
      <c r="F26" s="63">
        <f>('Cash Flow Statement'!F39+'Cash Flow Statement'!F41)/'Income Statement'!F8</f>
        <v>0.26945357635843753</v>
      </c>
      <c r="G26" s="63">
        <f>('Cash Flow Statement'!G39+'Cash Flow Statement'!G41)/'Income Statement'!G8</f>
        <v>0.28339984955106179</v>
      </c>
      <c r="I26" s="8" t="s">
        <v>461</v>
      </c>
      <c r="J26" s="12">
        <f>('Cash Flow Statement'!J29+'Cash Flow Statement'!J31)/'Income Statement'!J7</f>
        <v>3.675113287232272E-2</v>
      </c>
      <c r="K26" s="12">
        <f>('Cash Flow Statement'!K29+'Cash Flow Statement'!K31)/'Income Statement'!K7</f>
        <v>5.1461764565788201E-2</v>
      </c>
      <c r="L26" s="12">
        <f>('Cash Flow Statement'!L29+'Cash Flow Statement'!L31)/'Income Statement'!L7</f>
        <v>2.7280493465085466E-2</v>
      </c>
      <c r="M26" s="12">
        <f>('Cash Flow Statement'!M29+'Cash Flow Statement'!M31)/'Income Statement'!M7</f>
        <v>-7.0171951461910666E-3</v>
      </c>
      <c r="N26" s="12">
        <f>('Cash Flow Statement'!N29+'Cash Flow Statement'!N31)/'Income Statement'!N7</f>
        <v>2.4955282822814343E-2</v>
      </c>
      <c r="O26" s="12">
        <f>('Cash Flow Statement'!O29+'Cash Flow Statement'!O31)/'Income Statement'!O7</f>
        <v>1.5163377313517676E-2</v>
      </c>
      <c r="Q26" s="8" t="s">
        <v>461</v>
      </c>
      <c r="R26" s="63">
        <f>('Cash Flow Statement'!R33+'Cash Flow Statement'!R35)/'Income Statement'!R7</f>
        <v>-9.9361498004002895E-3</v>
      </c>
      <c r="S26" s="63">
        <f>('Cash Flow Statement'!S33+'Cash Flow Statement'!S35)/'Income Statement'!S7</f>
        <v>5.0552642550433229E-2</v>
      </c>
      <c r="T26" s="63">
        <f>('Cash Flow Statement'!T33+'Cash Flow Statement'!T35)/'Income Statement'!T7</f>
        <v>-3.1030795256363E-2</v>
      </c>
      <c r="U26" s="63">
        <f>('Cash Flow Statement'!U33+'Cash Flow Statement'!U35)/'Income Statement'!U7</f>
        <v>2.4746679235234957E-2</v>
      </c>
      <c r="V26" s="63">
        <f>('Cash Flow Statement'!V33+'Cash Flow Statement'!V35)/'Income Statement'!V7</f>
        <v>3.6946737999196764E-3</v>
      </c>
      <c r="W26" s="63">
        <f>('Cash Flow Statement'!W33+'Cash Flow Statement'!W35)/'Income Statement'!W7</f>
        <v>1.0793172232675546E-2</v>
      </c>
      <c r="Y26" s="8" t="s">
        <v>461</v>
      </c>
      <c r="Z26" s="63">
        <f>('Cash Flow Statement'!Z36+'Cash Flow Statement'!Z38)/'Income Statement'!Z8</f>
        <v>2.2034964928045023E-2</v>
      </c>
      <c r="AA26" s="63">
        <f>('Cash Flow Statement'!AA36+'Cash Flow Statement'!AA38)/'Income Statement'!AA8</f>
        <v>0.15089795893188049</v>
      </c>
      <c r="AB26" s="63">
        <f>('Cash Flow Statement'!AB36+'Cash Flow Statement'!AB38)/'Income Statement'!AB8</f>
        <v>0.10109648499943102</v>
      </c>
      <c r="AC26" s="63">
        <f>('Cash Flow Statement'!AC36+'Cash Flow Statement'!AC38)/'Income Statement'!AC8</f>
        <v>0.1000331937741729</v>
      </c>
      <c r="AD26" s="63">
        <f>('Cash Flow Statement'!AD36+'Cash Flow Statement'!AD38)/'Income Statement'!AD8</f>
        <v>6.1036501201619721E-2</v>
      </c>
      <c r="AE26" s="63">
        <f>('Cash Flow Statement'!AE36+'Cash Flow Statement'!AE38)/'Income Statement'!AE8</f>
        <v>1.8247877014354735E-2</v>
      </c>
      <c r="AG26" s="8" t="s">
        <v>461</v>
      </c>
      <c r="AH26" s="63">
        <f>('Cash Flow Statement'!AH35+'Cash Flow Statement'!AH37+'Cash Flow Statement'!AH38)/'Income Statement'!AH7</f>
        <v>-9.505197597750438E-2</v>
      </c>
      <c r="AI26" s="63">
        <f>('Cash Flow Statement'!AI35+'Cash Flow Statement'!AI37+'Cash Flow Statement'!AI38)/'Income Statement'!AI7</f>
        <v>2.5629617532149998E-2</v>
      </c>
      <c r="AJ26" s="63">
        <f>('Cash Flow Statement'!AJ35+'Cash Flow Statement'!AJ37+'Cash Flow Statement'!AJ38)/'Income Statement'!AJ7</f>
        <v>0.29649723253804294</v>
      </c>
      <c r="AK26" s="63">
        <f>('Cash Flow Statement'!AK35+'Cash Flow Statement'!AK37+'Cash Flow Statement'!AK38)/'Income Statement'!AK7</f>
        <v>-0.2018686013336676</v>
      </c>
      <c r="AL26" s="63">
        <f>('Cash Flow Statement'!AL35+'Cash Flow Statement'!AL37+'Cash Flow Statement'!AL38)/'Income Statement'!AL7</f>
        <v>0.1333804242032032</v>
      </c>
      <c r="AM26" s="63">
        <f>('Cash Flow Statement'!AM35+'Cash Flow Statement'!AM37+'Cash Flow Statement'!AM38)/'Income Statement'!AM7</f>
        <v>6.4497633782307953E-2</v>
      </c>
    </row>
    <row r="28" spans="1:39" x14ac:dyDescent="0.3">
      <c r="A28" s="20" t="s">
        <v>462</v>
      </c>
      <c r="B28" s="12">
        <v>251.3</v>
      </c>
      <c r="C28" s="12">
        <v>702.4</v>
      </c>
      <c r="D28" s="12">
        <v>774.2</v>
      </c>
      <c r="E28" s="12">
        <v>631.9</v>
      </c>
      <c r="F28" s="12">
        <v>1356.8</v>
      </c>
      <c r="G28" s="26">
        <v>1179</v>
      </c>
      <c r="I28" s="20" t="s">
        <v>462</v>
      </c>
      <c r="J28" s="12">
        <v>182.65</v>
      </c>
      <c r="K28" s="12">
        <v>377</v>
      </c>
      <c r="L28" s="12">
        <v>366.75</v>
      </c>
      <c r="M28" s="12">
        <v>537.1</v>
      </c>
      <c r="N28" s="12">
        <v>1079</v>
      </c>
      <c r="O28" s="26">
        <v>974.5</v>
      </c>
      <c r="Q28" s="20" t="s">
        <v>462</v>
      </c>
      <c r="R28" s="12">
        <v>185.5</v>
      </c>
      <c r="S28" s="12">
        <v>410.85</v>
      </c>
      <c r="T28" s="12">
        <v>378.95</v>
      </c>
      <c r="U28" s="12">
        <v>456.35</v>
      </c>
      <c r="V28" s="12">
        <v>705</v>
      </c>
      <c r="W28" s="26">
        <v>784.1</v>
      </c>
      <c r="Y28" s="20" t="s">
        <v>462</v>
      </c>
      <c r="Z28" s="12">
        <v>808.5</v>
      </c>
      <c r="AA28" s="12">
        <v>1418.9</v>
      </c>
      <c r="AB28" s="12">
        <v>1767.65</v>
      </c>
      <c r="AC28" s="12">
        <v>2164.1999999999998</v>
      </c>
      <c r="AD28" s="12">
        <v>3763.9</v>
      </c>
      <c r="AE28" s="26">
        <v>3492.3</v>
      </c>
      <c r="AG28" s="20" t="s">
        <v>462</v>
      </c>
      <c r="AH28" s="12">
        <v>12.8</v>
      </c>
      <c r="AI28" s="12">
        <v>29.1</v>
      </c>
      <c r="AJ28" s="12">
        <v>32.700000000000003</v>
      </c>
      <c r="AK28" s="12">
        <v>68.599999999999994</v>
      </c>
      <c r="AL28" s="12">
        <v>261</v>
      </c>
      <c r="AM28" s="26">
        <v>351.45</v>
      </c>
    </row>
    <row r="29" spans="1:39" x14ac:dyDescent="0.3">
      <c r="A29" s="20" t="s">
        <v>463</v>
      </c>
      <c r="B29" s="12">
        <f ca="1">'Company Info'!$B$11</f>
        <v>216.01390000000001</v>
      </c>
      <c r="C29" s="12">
        <f ca="1">'Company Info'!$B$11</f>
        <v>216.01390000000001</v>
      </c>
      <c r="D29" s="12">
        <f ca="1">'Company Info'!$B$11</f>
        <v>216.01390000000001</v>
      </c>
      <c r="E29" s="12">
        <f ca="1">'Company Info'!$B$11</f>
        <v>216.01390000000001</v>
      </c>
      <c r="F29" s="12">
        <f ca="1">'Company Info'!$B$11</f>
        <v>216.01390000000001</v>
      </c>
      <c r="G29" s="26">
        <f ca="1">'Company Info'!$B$11</f>
        <v>216.01390000000001</v>
      </c>
      <c r="H29" s="60"/>
      <c r="I29" s="20" t="s">
        <v>463</v>
      </c>
      <c r="J29" s="12">
        <f ca="1">'Company Info'!$C$11</f>
        <v>17.077259999999999</v>
      </c>
      <c r="K29" s="12">
        <f ca="1">'Company Info'!$C$11</f>
        <v>17.077259999999999</v>
      </c>
      <c r="L29" s="12">
        <f ca="1">'Company Info'!$C$11</f>
        <v>17.077259999999999</v>
      </c>
      <c r="M29" s="12">
        <f ca="1">'Company Info'!$C$11</f>
        <v>17.077259999999999</v>
      </c>
      <c r="N29" s="12">
        <f ca="1">'Company Info'!$C$11</f>
        <v>17.077259999999999</v>
      </c>
      <c r="O29" s="26">
        <f ca="1">'Company Info'!$C$11</f>
        <v>17.077259999999999</v>
      </c>
      <c r="P29" s="60"/>
      <c r="Q29" s="20" t="s">
        <v>463</v>
      </c>
      <c r="R29" s="12">
        <f ca="1">'Company Info'!$D$11</f>
        <v>26.62</v>
      </c>
      <c r="S29" s="12">
        <f ca="1">'Company Info'!$D$11</f>
        <v>26.62</v>
      </c>
      <c r="T29" s="12">
        <f ca="1">'Company Info'!$D$11</f>
        <v>26.62</v>
      </c>
      <c r="U29" s="12">
        <f ca="1">'Company Info'!$D$11</f>
        <v>26.62</v>
      </c>
      <c r="V29" s="12">
        <f ca="1">'Company Info'!$D$11</f>
        <v>26.62</v>
      </c>
      <c r="W29" s="26">
        <f ca="1">'Company Info'!$D$11</f>
        <v>26.62</v>
      </c>
      <c r="X29" s="60"/>
      <c r="Y29" s="20" t="s">
        <v>463</v>
      </c>
      <c r="Z29" s="12">
        <f ca="1">'Company Info'!$E$11</f>
        <v>137.5581</v>
      </c>
      <c r="AA29" s="12">
        <f ca="1">'Company Info'!$E$11</f>
        <v>137.5581</v>
      </c>
      <c r="AB29" s="12">
        <f ca="1">'Company Info'!$E$11</f>
        <v>137.5581</v>
      </c>
      <c r="AC29" s="12">
        <f ca="1">'Company Info'!$E$11</f>
        <v>137.5581</v>
      </c>
      <c r="AD29" s="12">
        <f ca="1">'Company Info'!$E$11</f>
        <v>137.5581</v>
      </c>
      <c r="AE29" s="26">
        <f ca="1">'Company Info'!$E$11</f>
        <v>137.5581</v>
      </c>
      <c r="AF29" s="60"/>
      <c r="AG29" s="20" t="s">
        <v>463</v>
      </c>
      <c r="AH29" s="12">
        <f ca="1">'Company Info'!$F$11</f>
        <v>208.50200000000001</v>
      </c>
      <c r="AI29" s="12">
        <f ca="1">'Company Info'!$F$11</f>
        <v>208.50200000000001</v>
      </c>
      <c r="AJ29" s="12">
        <f ca="1">'Company Info'!$F$11</f>
        <v>208.50200000000001</v>
      </c>
      <c r="AK29" s="12">
        <f ca="1">'Company Info'!$F$11</f>
        <v>208.50200000000001</v>
      </c>
      <c r="AL29" s="12">
        <f ca="1">'Company Info'!$F$11</f>
        <v>208.50200000000001</v>
      </c>
      <c r="AM29" s="26">
        <f ca="1">'Company Info'!$F$11</f>
        <v>208.50200000000001</v>
      </c>
    </row>
    <row r="30" spans="1:39" x14ac:dyDescent="0.3">
      <c r="A30" s="37" t="s">
        <v>464</v>
      </c>
      <c r="B30" s="38">
        <f ca="1">B28*B29</f>
        <v>54284.293070000007</v>
      </c>
      <c r="C30" s="38">
        <f t="shared" ref="C30:G30" ca="1" si="0">C28*C29</f>
        <v>151728.16336000001</v>
      </c>
      <c r="D30" s="38">
        <f t="shared" ca="1" si="0"/>
        <v>167237.96138000002</v>
      </c>
      <c r="E30" s="38">
        <f t="shared" ca="1" si="0"/>
        <v>136499.18341</v>
      </c>
      <c r="F30" s="38">
        <f t="shared" ca="1" si="0"/>
        <v>293087.65951999999</v>
      </c>
      <c r="G30" s="39">
        <f t="shared" ca="1" si="0"/>
        <v>254680.38810000001</v>
      </c>
      <c r="I30" s="37" t="s">
        <v>464</v>
      </c>
      <c r="J30" s="38">
        <f t="shared" ref="J30" ca="1" si="1">J28*J29</f>
        <v>3119.1615389999997</v>
      </c>
      <c r="K30" s="38">
        <f t="shared" ref="K30" ca="1" si="2">K28*K29</f>
        <v>6438.1270199999999</v>
      </c>
      <c r="L30" s="38">
        <f t="shared" ref="L30" ca="1" si="3">L28*L29</f>
        <v>6263.0851049999992</v>
      </c>
      <c r="M30" s="38">
        <f t="shared" ref="M30:N30" ca="1" si="4">M28*M29</f>
        <v>9172.1963460000006</v>
      </c>
      <c r="N30" s="38">
        <f t="shared" ca="1" si="4"/>
        <v>18426.363539999998</v>
      </c>
      <c r="O30" s="39">
        <f t="shared" ref="O30" ca="1" si="5">O28*O29</f>
        <v>16641.789870000001</v>
      </c>
      <c r="Q30" s="37" t="s">
        <v>464</v>
      </c>
      <c r="R30" s="38">
        <f t="shared" ref="R30" ca="1" si="6">R28*R29</f>
        <v>4938.01</v>
      </c>
      <c r="S30" s="38">
        <f t="shared" ref="S30:T30" ca="1" si="7">S28*S29</f>
        <v>10936.827000000001</v>
      </c>
      <c r="T30" s="38">
        <f t="shared" ca="1" si="7"/>
        <v>10087.648999999999</v>
      </c>
      <c r="U30" s="38">
        <f t="shared" ref="U30" ca="1" si="8">U28*U29</f>
        <v>12148.037</v>
      </c>
      <c r="V30" s="38">
        <f t="shared" ref="V30" ca="1" si="9">V28*V29</f>
        <v>18767.100000000002</v>
      </c>
      <c r="W30" s="39">
        <f t="shared" ref="W30" ca="1" si="10">W28*W29</f>
        <v>20872.742000000002</v>
      </c>
      <c r="Y30" s="37" t="s">
        <v>464</v>
      </c>
      <c r="Z30" s="38">
        <f t="shared" ref="Z30" ca="1" si="11">Z28*Z29</f>
        <v>111215.72384999999</v>
      </c>
      <c r="AA30" s="38">
        <f t="shared" ref="AA30" ca="1" si="12">AA28*AA29</f>
        <v>195181.18809000001</v>
      </c>
      <c r="AB30" s="38">
        <f t="shared" ref="AB30" ca="1" si="13">AB28*AB29</f>
        <v>243154.575465</v>
      </c>
      <c r="AC30" s="38">
        <f t="shared" ref="AC30" ca="1" si="14">AC28*AC29</f>
        <v>297703.24001999997</v>
      </c>
      <c r="AD30" s="38">
        <f t="shared" ref="AD30" ca="1" si="15">AD28*AD29</f>
        <v>517754.93258999998</v>
      </c>
      <c r="AE30" s="39">
        <f t="shared" ref="AE30" ca="1" si="16">AE28*AE29</f>
        <v>480394.15263000003</v>
      </c>
      <c r="AG30" s="37" t="s">
        <v>464</v>
      </c>
      <c r="AH30" s="38">
        <f t="shared" ref="AH30" ca="1" si="17">AH28*AH29</f>
        <v>2668.8256000000001</v>
      </c>
      <c r="AI30" s="38">
        <f t="shared" ref="AI30" ca="1" si="18">AI28*AI29</f>
        <v>6067.4082000000008</v>
      </c>
      <c r="AJ30" s="38">
        <f t="shared" ref="AJ30" ca="1" si="19">AJ28*AJ29</f>
        <v>6818.0154000000011</v>
      </c>
      <c r="AK30" s="38">
        <f t="shared" ref="AK30:AL30" ca="1" si="20">AK28*AK29</f>
        <v>14303.2372</v>
      </c>
      <c r="AL30" s="38">
        <f t="shared" ca="1" si="20"/>
        <v>54419.022000000004</v>
      </c>
      <c r="AM30" s="39">
        <f t="shared" ref="AM30" ca="1" si="21">AM28*AM29</f>
        <v>73278.027900000001</v>
      </c>
    </row>
    <row r="31" spans="1:39" s="106" customFormat="1" x14ac:dyDescent="0.3">
      <c r="A31" s="104" t="s">
        <v>526</v>
      </c>
      <c r="B31" s="105">
        <f>'Income Statement'!B30/'Balance Sheet'!B36</f>
        <v>6.0840943950734729E-2</v>
      </c>
      <c r="C31" s="105">
        <f>'Income Statement'!C30/AVERAGE('Balance Sheet'!B36:C36)</f>
        <v>7.3421560568453753E-2</v>
      </c>
      <c r="D31" s="105">
        <f>'Income Statement'!D30/AVERAGE('Balance Sheet'!C36:D36)</f>
        <v>5.6604666258308137E-2</v>
      </c>
      <c r="E31" s="105">
        <f>'Income Statement'!E30/AVERAGE('Balance Sheet'!D36:E36)</f>
        <v>5.0260740259549616E-2</v>
      </c>
      <c r="F31" s="105">
        <f>'Income Statement'!F30/AVERAGE('Balance Sheet'!E36:F36)</f>
        <v>6.9317304114650855E-2</v>
      </c>
      <c r="G31" s="105">
        <f>'Income Statement'!G30/AVERAGE('Balance Sheet'!F36:G36)</f>
        <v>8.7010860566033243E-2</v>
      </c>
      <c r="I31" s="104" t="s">
        <v>526</v>
      </c>
      <c r="J31" s="105">
        <f>'Income Statement'!J27/'Balance Sheet'!J33</f>
        <v>2.4690176593796367E-2</v>
      </c>
      <c r="K31" s="105">
        <f>'Income Statement'!K27/AVERAGE('Balance Sheet'!J33:K33)</f>
        <v>4.2530228685741127E-2</v>
      </c>
      <c r="L31" s="105">
        <f>'Income Statement'!L27/AVERAGE('Balance Sheet'!K33:L33)</f>
        <v>3.286100677290732E-2</v>
      </c>
      <c r="M31" s="105">
        <f>'Income Statement'!M27/AVERAGE('Balance Sheet'!L33:M33)</f>
        <v>2.3647300689599575E-2</v>
      </c>
      <c r="N31" s="105">
        <f>'Income Statement'!N27/AVERAGE('Balance Sheet'!M33:N33)</f>
        <v>2.4791823647910872E-2</v>
      </c>
      <c r="O31" s="105">
        <f>'Income Statement'!O27/AVERAGE('Balance Sheet'!N33:O33)</f>
        <v>2.3823962974939866E-2</v>
      </c>
      <c r="Q31" s="104" t="s">
        <v>526</v>
      </c>
      <c r="R31" s="105">
        <f>'Income Statement'!R24/Table3[[#This Row],[2020]]</f>
        <v>4.3917231953218776E-2</v>
      </c>
      <c r="S31" s="105">
        <f>'Income Statement'!S24/AVERAGE(Table3[[#This Row],[2020]:[2021]])</f>
        <v>4.1056419893852759E-2</v>
      </c>
      <c r="T31" s="105">
        <f>'Income Statement'!T24/AVERAGE(Table3[[#This Row],[2020]:[2021]])</f>
        <v>2.7908738751118836E-2</v>
      </c>
      <c r="U31" s="105">
        <f>'Income Statement'!U24/AVERAGE(Table3[[#This Row],[2020]:[2021]])</f>
        <v>1.3075628878844461E-2</v>
      </c>
      <c r="V31" s="105">
        <f>'Income Statement'!V24/AVERAGE(Table3[[#This Row],[2020]:[2021]])</f>
        <v>2.5759055743939479E-2</v>
      </c>
      <c r="W31" s="105">
        <f>'Income Statement'!W24/AVERAGE(Table3[[#This Row],[2020]:[2021]])</f>
        <v>4.2394957827141276E-2</v>
      </c>
      <c r="Y31" s="104" t="s">
        <v>526</v>
      </c>
      <c r="Z31" s="105">
        <f>'Income Statement'!Z42/Table4[[#This Row],[2020]]</f>
        <v>7.6960599291068049E-2</v>
      </c>
      <c r="AA31" s="105">
        <f>'Income Statement'!AA42/AVERAGE(Table4[[#This Row],[2020]:[2021]])</f>
        <v>8.9263361797027943E-2</v>
      </c>
      <c r="AB31" s="105">
        <f>'Income Statement'!AB42/AVERAGE(Table4[[#This Row],[2020]:[2021]])</f>
        <v>7.1978657669368853E-2</v>
      </c>
      <c r="AC31" s="105">
        <f>'Income Statement'!AC42/AVERAGE(Table4[[#This Row],[2020]:[2021]])</f>
        <v>8.6564586991464729E-2</v>
      </c>
      <c r="AD31" s="105">
        <f>'Income Statement'!AD42/AVERAGE(Table4[[#This Row],[2020]:[2021]])</f>
        <v>0.10740316843180947</v>
      </c>
      <c r="AE31" s="105">
        <f>'Income Statement'!AE42/AVERAGE(Table4[[#This Row],[2020]:[2021]])</f>
        <v>0.12209168518507987</v>
      </c>
      <c r="AG31" s="104" t="s">
        <v>526</v>
      </c>
      <c r="AH31" s="105">
        <f>'Income Statement'!AH25/Table5[[#This Row],[2020]]</f>
        <v>5.5502357615557323E-2</v>
      </c>
      <c r="AI31" s="105">
        <f>'Income Statement'!AI25/AVERAGE(Table5[[#This Row],[2020]:[2021]])</f>
        <v>5.6614458781331561E-2</v>
      </c>
      <c r="AJ31" s="105">
        <f>'Income Statement'!AJ25/AVERAGE(Table5[[#This Row],[2020]:[2021]])</f>
        <v>7.4519457456685007E-2</v>
      </c>
      <c r="AK31" s="105">
        <f>'Income Statement'!AK25/AVERAGE(Table5[[#This Row],[2020]:[2021]])</f>
        <v>8.8882698285997444E-2</v>
      </c>
      <c r="AL31" s="105">
        <f>'Income Statement'!AL25/AVERAGE(Table5[[#This Row],[2020]:[2021]])</f>
        <v>0.10083653402433221</v>
      </c>
      <c r="AM31" s="105">
        <f>'Income Statement'!AM25/AVERAGE(Table5[[#This Row],[2020]:[2021]])</f>
        <v>0.11832613953813294</v>
      </c>
    </row>
    <row r="32" spans="1:39" x14ac:dyDescent="0.3">
      <c r="A32" s="37" t="s">
        <v>550</v>
      </c>
      <c r="B32" s="38">
        <f>('Balance Sheet'!B46+'Balance Sheet'!B54)/('Balance Sheet'!B36-'Balance Sheet'!B64)</f>
        <v>0.50865665453371289</v>
      </c>
      <c r="C32" s="38">
        <f>('Balance Sheet'!C46+'Balance Sheet'!C54)/('Balance Sheet'!C36-'Balance Sheet'!C64)</f>
        <v>0.48863048879714971</v>
      </c>
      <c r="D32" s="38">
        <f>('Balance Sheet'!D46+'Balance Sheet'!D54)/('Balance Sheet'!D36-'Balance Sheet'!D64)</f>
        <v>0.51288392210237421</v>
      </c>
      <c r="E32" s="38">
        <f>('Balance Sheet'!E46+'Balance Sheet'!E54)/('Balance Sheet'!E36-'Balance Sheet'!E64)</f>
        <v>0.48133654963095918</v>
      </c>
      <c r="F32" s="38">
        <f>('Balance Sheet'!F46+'Balance Sheet'!F54)/('Balance Sheet'!F36-'Balance Sheet'!F64)</f>
        <v>0.4514937589802705</v>
      </c>
      <c r="G32" s="38">
        <f>('Balance Sheet'!G46+'Balance Sheet'!G54)/('Balance Sheet'!G36-'Balance Sheet'!G64)</f>
        <v>0.40045906338097542</v>
      </c>
      <c r="I32" s="37" t="s">
        <v>550</v>
      </c>
      <c r="J32" s="38">
        <f>('Balance Sheet'!J43+'Balance Sheet'!J54)/('Balance Sheet'!J33-'Balance Sheet'!J63)</f>
        <v>0.39332809572732186</v>
      </c>
      <c r="K32" s="38">
        <f>('Balance Sheet'!K43+'Balance Sheet'!K54)/('Balance Sheet'!K33-'Balance Sheet'!K63)</f>
        <v>0.35688223883151698</v>
      </c>
      <c r="L32" s="38">
        <f>('Balance Sheet'!L43+'Balance Sheet'!L54)/('Balance Sheet'!L33-'Balance Sheet'!L63)</f>
        <v>0.48308082649967171</v>
      </c>
      <c r="M32" s="38">
        <f>('Balance Sheet'!M43+'Balance Sheet'!M54)/('Balance Sheet'!M33-'Balance Sheet'!M63)</f>
        <v>0.49458867772480036</v>
      </c>
      <c r="N32" s="38">
        <f>('Balance Sheet'!N43+'Balance Sheet'!N54)/('Balance Sheet'!N33-'Balance Sheet'!N63)</f>
        <v>0.51037140708556161</v>
      </c>
      <c r="O32" s="38">
        <f>('Balance Sheet'!O43+'Balance Sheet'!O54)/('Balance Sheet'!O33-'Balance Sheet'!O63)</f>
        <v>0.46690513798304084</v>
      </c>
      <c r="Q32" s="37" t="s">
        <v>550</v>
      </c>
      <c r="R32" s="38">
        <f>('Balance Sheet'!R39+'Balance Sheet'!R46)/('Balance Sheet'!R31-'Balance Sheet'!R57)</f>
        <v>0.65386091263989476</v>
      </c>
      <c r="S32" s="38">
        <f>('Balance Sheet'!S39+'Balance Sheet'!S46)/('Balance Sheet'!S31-'Balance Sheet'!S57)</f>
        <v>0.49020087540619178</v>
      </c>
      <c r="T32" s="38">
        <f>('Balance Sheet'!T39+'Balance Sheet'!T46)/('Balance Sheet'!T31-'Balance Sheet'!T57)</f>
        <v>0.67538408546137363</v>
      </c>
      <c r="U32" s="38">
        <f>('Balance Sheet'!U39+'Balance Sheet'!U46)/('Balance Sheet'!U31-'Balance Sheet'!U57)</f>
        <v>0.71631988124309021</v>
      </c>
      <c r="V32" s="38">
        <f>('Balance Sheet'!V39+'Balance Sheet'!V46)/('Balance Sheet'!V31-'Balance Sheet'!V57)</f>
        <v>0.8422573853265064</v>
      </c>
      <c r="W32" s="38">
        <f>('Balance Sheet'!W39+'Balance Sheet'!W46)/('Balance Sheet'!W31-'Balance Sheet'!W57)</f>
        <v>0.62171596360850978</v>
      </c>
      <c r="Y32" s="37" t="s">
        <v>550</v>
      </c>
      <c r="Z32" s="38">
        <f>('Balance Sheet'!Z40+'Balance Sheet'!Z48)/('Balance Sheet'!Z31-'Balance Sheet'!Z59)</f>
        <v>0.36941148435322807</v>
      </c>
      <c r="AA32" s="38">
        <f>('Balance Sheet'!AA40+'Balance Sheet'!AA48)/('Balance Sheet'!AA31-'Balance Sheet'!AA59)</f>
        <v>0.29597906346969682</v>
      </c>
      <c r="AB32" s="38">
        <f>('Balance Sheet'!AB40+'Balance Sheet'!AB48)/('Balance Sheet'!AB31-'Balance Sheet'!AB59)</f>
        <v>0.57334984117829513</v>
      </c>
      <c r="AC32" s="38">
        <f>('Balance Sheet'!AC40+'Balance Sheet'!AC48)/('Balance Sheet'!AC31-'Balance Sheet'!AC59)</f>
        <v>0.54736475311837585</v>
      </c>
      <c r="AD32" s="38">
        <f>('Balance Sheet'!AD40+'Balance Sheet'!AD48)/('Balance Sheet'!AD31-'Balance Sheet'!AD59)</f>
        <v>0.51734677998075296</v>
      </c>
      <c r="AE32" s="38">
        <f>('Balance Sheet'!AE40+'Balance Sheet'!AE48)/('Balance Sheet'!AE31-'Balance Sheet'!AE59)</f>
        <v>0.5258403678446798</v>
      </c>
      <c r="AG32" s="37" t="s">
        <v>550</v>
      </c>
      <c r="AH32" s="38">
        <f>('Balance Sheet'!AH39+'Balance Sheet'!AH46)/('Balance Sheet'!AH31-'Balance Sheet'!AH55)</f>
        <v>0.43909747519472708</v>
      </c>
      <c r="AI32" s="38">
        <f>('Balance Sheet'!AI39+'Balance Sheet'!AI46)/('Balance Sheet'!AI31-'Balance Sheet'!AI55)</f>
        <v>0.50389072833546489</v>
      </c>
      <c r="AJ32" s="38">
        <f>('Balance Sheet'!AJ39+'Balance Sheet'!AJ46)/('Balance Sheet'!AJ31-'Balance Sheet'!AJ55)</f>
        <v>0.50596381512326549</v>
      </c>
      <c r="AK32" s="38">
        <f>('Balance Sheet'!AK39+'Balance Sheet'!AK46)/('Balance Sheet'!AK31-'Balance Sheet'!AK55)</f>
        <v>0.4609550624438451</v>
      </c>
      <c r="AL32" s="38">
        <f>('Balance Sheet'!AL39+'Balance Sheet'!AL46)/('Balance Sheet'!AL31-'Balance Sheet'!AL55)</f>
        <v>0.39831646673545024</v>
      </c>
      <c r="AM32" s="38">
        <f>('Balance Sheet'!AM39+'Balance Sheet'!AM46)/('Balance Sheet'!AM31-'Balance Sheet'!AM55)</f>
        <v>0.38836368982330921</v>
      </c>
    </row>
  </sheetData>
  <mergeCells count="5">
    <mergeCell ref="E2:G2"/>
    <mergeCell ref="M2:O2"/>
    <mergeCell ref="U2:W2"/>
    <mergeCell ref="AC2:AE2"/>
    <mergeCell ref="AK2:AM2"/>
  </mergeCells>
  <conditionalFormatting sqref="B5:G5">
    <cfRule type="colorScale" priority="86">
      <colorScale>
        <cfvo type="num" val="0.3"/>
        <cfvo type="percentile" val="50"/>
        <cfvo type="num" val="0.4"/>
        <color rgb="FFF8696B"/>
        <color rgb="FFFFEB84"/>
        <color rgb="FF63BE7B"/>
      </colorScale>
    </cfRule>
  </conditionalFormatting>
  <conditionalFormatting sqref="B6:G6">
    <cfRule type="colorScale" priority="85">
      <colorScale>
        <cfvo type="num" val="0.1"/>
        <cfvo type="percentile" val="50"/>
        <cfvo type="num" val="0.15"/>
        <color rgb="FFF8696B"/>
        <color rgb="FFFFEB84"/>
        <color rgb="FF63BE7B"/>
      </colorScale>
    </cfRule>
  </conditionalFormatting>
  <conditionalFormatting sqref="B7:G7">
    <cfRule type="colorScale" priority="84">
      <colorScale>
        <cfvo type="num" val="0.05"/>
        <cfvo type="percentile" val="50"/>
        <cfvo type="num" val="0.08"/>
        <color rgb="FFF8696B"/>
        <color rgb="FFFFEB84"/>
        <color rgb="FF63BE7B"/>
      </colorScale>
    </cfRule>
  </conditionalFormatting>
  <conditionalFormatting sqref="B8:G8">
    <cfRule type="colorScale" priority="83">
      <colorScale>
        <cfvo type="num" val="0.12"/>
        <cfvo type="percentile" val="50"/>
        <cfvo type="num" val="0.18"/>
        <color rgb="FFF8696B"/>
        <color rgb="FFFFEB84"/>
        <color rgb="FF63BE7B"/>
      </colorScale>
    </cfRule>
  </conditionalFormatting>
  <conditionalFormatting sqref="B9:G9">
    <cfRule type="colorScale" priority="82">
      <colorScale>
        <cfvo type="num" val="0.1"/>
        <cfvo type="percentile" val="50"/>
        <cfvo type="num" val="0.15"/>
        <color rgb="FFF8696B"/>
        <color rgb="FFFFEB84"/>
        <color rgb="FF63BE7B"/>
      </colorScale>
    </cfRule>
  </conditionalFormatting>
  <conditionalFormatting sqref="B11:G11">
    <cfRule type="colorScale" priority="81">
      <colorScale>
        <cfvo type="num" val="1.2"/>
        <cfvo type="percentile" val="50"/>
        <cfvo type="num" val="1.8"/>
        <color rgb="FFF8696B"/>
        <color rgb="FFFFEB84"/>
        <color rgb="FF63BE7B"/>
      </colorScale>
    </cfRule>
  </conditionalFormatting>
  <conditionalFormatting sqref="B12:G12">
    <cfRule type="colorScale" priority="80">
      <colorScale>
        <cfvo type="num" val="1"/>
        <cfvo type="percentile" val="50"/>
        <cfvo type="num" val="1.5"/>
        <color rgb="FFF8696B"/>
        <color rgb="FFFFEB84"/>
        <color rgb="FF63BE7B"/>
      </colorScale>
    </cfRule>
  </conditionalFormatting>
  <conditionalFormatting sqref="B14:G14">
    <cfRule type="colorScale" priority="78">
      <colorScale>
        <cfvo type="num" val="0.3"/>
        <cfvo type="percentile" val="50"/>
        <cfvo type="num" val="0.8"/>
        <color rgb="FFF8696B"/>
        <color rgb="FFFFEB84"/>
        <color rgb="FF63BE7B"/>
      </colorScale>
    </cfRule>
  </conditionalFormatting>
  <conditionalFormatting sqref="B15:G15">
    <cfRule type="colorScale" priority="77">
      <colorScale>
        <cfvo type="min"/>
        <cfvo type="percentile" val="50"/>
        <cfvo type="num" val="3"/>
        <color rgb="FFF8696B"/>
        <color rgb="FFFFEB84"/>
        <color rgb="FF63BE7B"/>
      </colorScale>
    </cfRule>
  </conditionalFormatting>
  <conditionalFormatting sqref="B17:G17">
    <cfRule type="colorScale" priority="76">
      <colorScale>
        <cfvo type="num" val="0.5"/>
        <cfvo type="percentile" val="50"/>
        <cfvo type="num" val="1"/>
        <color rgb="FFF8696B"/>
        <color rgb="FFFFEB84"/>
        <color rgb="FF63BE7B"/>
      </colorScale>
    </cfRule>
  </conditionalFormatting>
  <conditionalFormatting sqref="B18:G18">
    <cfRule type="colorScale" priority="75">
      <colorScale>
        <cfvo type="num" val="4"/>
        <cfvo type="percentile" val="50"/>
        <cfvo type="num" val="6"/>
        <color rgb="FFF8696B"/>
        <color rgb="FFFFEB84"/>
        <color rgb="FF63BE7B"/>
      </colorScale>
    </cfRule>
  </conditionalFormatting>
  <conditionalFormatting sqref="B19:G19">
    <cfRule type="colorScale" priority="74">
      <colorScale>
        <cfvo type="num" val="6"/>
        <cfvo type="percentile" val="50"/>
        <cfvo type="num" val="10"/>
        <color rgb="FFF8696B"/>
        <color rgb="FFFFEB84"/>
        <color rgb="FF63BE7B"/>
      </colorScale>
    </cfRule>
  </conditionalFormatting>
  <conditionalFormatting sqref="B21:G21">
    <cfRule type="colorScale" priority="73">
      <colorScale>
        <cfvo type="num" val="15"/>
        <cfvo type="percentile" val="50"/>
        <cfvo type="num" val="25"/>
        <color rgb="FFF8696B"/>
        <color rgb="FFFFEB84"/>
        <color rgb="FF63BE7B"/>
      </colorScale>
    </cfRule>
  </conditionalFormatting>
  <conditionalFormatting sqref="B22:G22">
    <cfRule type="colorScale" priority="72">
      <colorScale>
        <cfvo type="num" val="1.5"/>
        <cfvo type="percentile" val="50"/>
        <cfvo type="num" val="3"/>
        <color rgb="FFF8696B"/>
        <color rgb="FFFFEB84"/>
        <color rgb="FF63BE7B"/>
      </colorScale>
    </cfRule>
  </conditionalFormatting>
  <conditionalFormatting sqref="B23:G23">
    <cfRule type="colorScale" priority="71">
      <colorScale>
        <cfvo type="num" val="8"/>
        <cfvo type="percentile" val="50"/>
        <cfvo type="num" val="12"/>
        <color rgb="FFF8696B"/>
        <color rgb="FFFFEB84"/>
        <color rgb="FF63BE7B"/>
      </colorScale>
    </cfRule>
  </conditionalFormatting>
  <conditionalFormatting sqref="B25:G25">
    <cfRule type="colorScale" priority="70">
      <colorScale>
        <cfvo type="min"/>
        <cfvo type="percentile" val="50"/>
        <cfvo type="num" val="0.3"/>
        <color rgb="FFF8696B"/>
        <color rgb="FFFFEB84"/>
        <color rgb="FF63BE7B"/>
      </colorScale>
    </cfRule>
  </conditionalFormatting>
  <conditionalFormatting sqref="B26:G26">
    <cfRule type="colorScale" priority="69">
      <colorScale>
        <cfvo type="min"/>
        <cfvo type="percentile" val="50"/>
        <cfvo type="num" val="0.05"/>
        <color rgb="FFF8696B"/>
        <color rgb="FFFFEB84"/>
        <color rgb="FF63BE7B"/>
      </colorScale>
    </cfRule>
  </conditionalFormatting>
  <conditionalFormatting sqref="J5:O5">
    <cfRule type="colorScale" priority="68">
      <colorScale>
        <cfvo type="num" val="0.3"/>
        <cfvo type="percentile" val="50"/>
        <cfvo type="num" val="0.4"/>
        <color rgb="FFF8696B"/>
        <color rgb="FFFFEB84"/>
        <color rgb="FF63BE7B"/>
      </colorScale>
    </cfRule>
  </conditionalFormatting>
  <conditionalFormatting sqref="J6:O6">
    <cfRule type="colorScale" priority="67">
      <colorScale>
        <cfvo type="num" val="0.1"/>
        <cfvo type="percentile" val="50"/>
        <cfvo type="num" val="0.15"/>
        <color rgb="FFF8696B"/>
        <color rgb="FFFFEB84"/>
        <color rgb="FF63BE7B"/>
      </colorScale>
    </cfRule>
  </conditionalFormatting>
  <conditionalFormatting sqref="J7:O7">
    <cfRule type="colorScale" priority="66">
      <colorScale>
        <cfvo type="num" val="0.05"/>
        <cfvo type="percentile" val="50"/>
        <cfvo type="num" val="0.08"/>
        <color rgb="FFF8696B"/>
        <color rgb="FFFFEB84"/>
        <color rgb="FF63BE7B"/>
      </colorScale>
    </cfRule>
  </conditionalFormatting>
  <conditionalFormatting sqref="J8:O8">
    <cfRule type="colorScale" priority="65">
      <colorScale>
        <cfvo type="num" val="0.12"/>
        <cfvo type="percentile" val="50"/>
        <cfvo type="num" val="0.18"/>
        <color rgb="FFF8696B"/>
        <color rgb="FFFFEB84"/>
        <color rgb="FF63BE7B"/>
      </colorScale>
    </cfRule>
  </conditionalFormatting>
  <conditionalFormatting sqref="J9:O9">
    <cfRule type="colorScale" priority="64">
      <colorScale>
        <cfvo type="num" val="0.1"/>
        <cfvo type="percentile" val="50"/>
        <cfvo type="num" val="0.15"/>
        <color rgb="FFF8696B"/>
        <color rgb="FFFFEB84"/>
        <color rgb="FF63BE7B"/>
      </colorScale>
    </cfRule>
  </conditionalFormatting>
  <conditionalFormatting sqref="J11:O11">
    <cfRule type="colorScale" priority="63">
      <colorScale>
        <cfvo type="num" val="1.2"/>
        <cfvo type="percentile" val="50"/>
        <cfvo type="num" val="1.8"/>
        <color rgb="FFF8696B"/>
        <color rgb="FFFFEB84"/>
        <color rgb="FF63BE7B"/>
      </colorScale>
    </cfRule>
  </conditionalFormatting>
  <conditionalFormatting sqref="J12:O12">
    <cfRule type="colorScale" priority="62">
      <colorScale>
        <cfvo type="num" val="1"/>
        <cfvo type="percentile" val="50"/>
        <cfvo type="num" val="1.5"/>
        <color rgb="FFF8696B"/>
        <color rgb="FFFFEB84"/>
        <color rgb="FF63BE7B"/>
      </colorScale>
    </cfRule>
  </conditionalFormatting>
  <conditionalFormatting sqref="J14:O14">
    <cfRule type="colorScale" priority="61">
      <colorScale>
        <cfvo type="num" val="0.3"/>
        <cfvo type="percentile" val="50"/>
        <cfvo type="num" val="0.8"/>
        <color rgb="FFF8696B"/>
        <color rgb="FFFFEB84"/>
        <color rgb="FF63BE7B"/>
      </colorScale>
    </cfRule>
  </conditionalFormatting>
  <conditionalFormatting sqref="J15:O15">
    <cfRule type="colorScale" priority="60">
      <colorScale>
        <cfvo type="min"/>
        <cfvo type="percentile" val="50"/>
        <cfvo type="num" val="3"/>
        <color rgb="FFF8696B"/>
        <color rgb="FFFFEB84"/>
        <color rgb="FF63BE7B"/>
      </colorScale>
    </cfRule>
  </conditionalFormatting>
  <conditionalFormatting sqref="J17:O17">
    <cfRule type="colorScale" priority="59">
      <colorScale>
        <cfvo type="num" val="0.5"/>
        <cfvo type="percentile" val="50"/>
        <cfvo type="num" val="1"/>
        <color rgb="FFF8696B"/>
        <color rgb="FFFFEB84"/>
        <color rgb="FF63BE7B"/>
      </colorScale>
    </cfRule>
  </conditionalFormatting>
  <conditionalFormatting sqref="J18:O18">
    <cfRule type="colorScale" priority="58">
      <colorScale>
        <cfvo type="num" val="4"/>
        <cfvo type="percentile" val="50"/>
        <cfvo type="num" val="6"/>
        <color rgb="FFF8696B"/>
        <color rgb="FFFFEB84"/>
        <color rgb="FF63BE7B"/>
      </colorScale>
    </cfRule>
  </conditionalFormatting>
  <conditionalFormatting sqref="J19:O19">
    <cfRule type="colorScale" priority="57">
      <colorScale>
        <cfvo type="num" val="6"/>
        <cfvo type="percentile" val="50"/>
        <cfvo type="num" val="10"/>
        <color rgb="FFF8696B"/>
        <color rgb="FFFFEB84"/>
        <color rgb="FF63BE7B"/>
      </colorScale>
    </cfRule>
  </conditionalFormatting>
  <conditionalFormatting sqref="J21:O21">
    <cfRule type="colorScale" priority="56">
      <colorScale>
        <cfvo type="num" val="15"/>
        <cfvo type="percentile" val="50"/>
        <cfvo type="num" val="25"/>
        <color rgb="FFF8696B"/>
        <color rgb="FFFFEB84"/>
        <color rgb="FF63BE7B"/>
      </colorScale>
    </cfRule>
  </conditionalFormatting>
  <conditionalFormatting sqref="J22:O22">
    <cfRule type="colorScale" priority="55">
      <colorScale>
        <cfvo type="num" val="1.5"/>
        <cfvo type="percentile" val="50"/>
        <cfvo type="num" val="3"/>
        <color rgb="FFF8696B"/>
        <color rgb="FFFFEB84"/>
        <color rgb="FF63BE7B"/>
      </colorScale>
    </cfRule>
  </conditionalFormatting>
  <conditionalFormatting sqref="J23:O23">
    <cfRule type="colorScale" priority="54">
      <colorScale>
        <cfvo type="num" val="8"/>
        <cfvo type="percentile" val="50"/>
        <cfvo type="num" val="12"/>
        <color rgb="FFF8696B"/>
        <color rgb="FFFFEB84"/>
        <color rgb="FF63BE7B"/>
      </colorScale>
    </cfRule>
  </conditionalFormatting>
  <conditionalFormatting sqref="J25:O25">
    <cfRule type="colorScale" priority="53">
      <colorScale>
        <cfvo type="min"/>
        <cfvo type="percentile" val="50"/>
        <cfvo type="num" val="0.3"/>
        <color rgb="FFF8696B"/>
        <color rgb="FFFFEB84"/>
        <color rgb="FF63BE7B"/>
      </colorScale>
    </cfRule>
  </conditionalFormatting>
  <conditionalFormatting sqref="J26:O26">
    <cfRule type="colorScale" priority="52">
      <colorScale>
        <cfvo type="min"/>
        <cfvo type="percentile" val="50"/>
        <cfvo type="num" val="0.05"/>
        <color rgb="FFF8696B"/>
        <color rgb="FFFFEB84"/>
        <color rgb="FF63BE7B"/>
      </colorScale>
    </cfRule>
  </conditionalFormatting>
  <conditionalFormatting sqref="R5:W5">
    <cfRule type="colorScale" priority="51">
      <colorScale>
        <cfvo type="num" val="0.3"/>
        <cfvo type="percentile" val="50"/>
        <cfvo type="num" val="0.4"/>
        <color rgb="FFF8696B"/>
        <color rgb="FFFFEB84"/>
        <color rgb="FF63BE7B"/>
      </colorScale>
    </cfRule>
  </conditionalFormatting>
  <conditionalFormatting sqref="R6:W6">
    <cfRule type="colorScale" priority="50">
      <colorScale>
        <cfvo type="num" val="0.1"/>
        <cfvo type="percentile" val="50"/>
        <cfvo type="num" val="0.15"/>
        <color rgb="FFF8696B"/>
        <color rgb="FFFFEB84"/>
        <color rgb="FF63BE7B"/>
      </colorScale>
    </cfRule>
  </conditionalFormatting>
  <conditionalFormatting sqref="R7:W7">
    <cfRule type="colorScale" priority="49">
      <colorScale>
        <cfvo type="num" val="0.05"/>
        <cfvo type="percentile" val="50"/>
        <cfvo type="num" val="0.08"/>
        <color rgb="FFF8696B"/>
        <color rgb="FFFFEB84"/>
        <color rgb="FF63BE7B"/>
      </colorScale>
    </cfRule>
  </conditionalFormatting>
  <conditionalFormatting sqref="R8:W8">
    <cfRule type="colorScale" priority="48">
      <colorScale>
        <cfvo type="num" val="0.12"/>
        <cfvo type="percentile" val="50"/>
        <cfvo type="num" val="0.18"/>
        <color rgb="FFF8696B"/>
        <color rgb="FFFFEB84"/>
        <color rgb="FF63BE7B"/>
      </colorScale>
    </cfRule>
  </conditionalFormatting>
  <conditionalFormatting sqref="R9:W9">
    <cfRule type="colorScale" priority="47">
      <colorScale>
        <cfvo type="num" val="0.1"/>
        <cfvo type="percentile" val="50"/>
        <cfvo type="num" val="0.15"/>
        <color rgb="FFF8696B"/>
        <color rgb="FFFFEB84"/>
        <color rgb="FF63BE7B"/>
      </colorScale>
    </cfRule>
  </conditionalFormatting>
  <conditionalFormatting sqref="R11:W11">
    <cfRule type="colorScale" priority="46">
      <colorScale>
        <cfvo type="num" val="1.2"/>
        <cfvo type="percentile" val="50"/>
        <cfvo type="num" val="1.8"/>
        <color rgb="FFF8696B"/>
        <color rgb="FFFFEB84"/>
        <color rgb="FF63BE7B"/>
      </colorScale>
    </cfRule>
  </conditionalFormatting>
  <conditionalFormatting sqref="R12:W12">
    <cfRule type="colorScale" priority="45">
      <colorScale>
        <cfvo type="num" val="1"/>
        <cfvo type="percentile" val="50"/>
        <cfvo type="num" val="1.5"/>
        <color rgb="FFF8696B"/>
        <color rgb="FFFFEB84"/>
        <color rgb="FF63BE7B"/>
      </colorScale>
    </cfRule>
  </conditionalFormatting>
  <conditionalFormatting sqref="R14:W14">
    <cfRule type="colorScale" priority="44">
      <colorScale>
        <cfvo type="num" val="0.3"/>
        <cfvo type="percentile" val="50"/>
        <cfvo type="num" val="0.8"/>
        <color rgb="FFF8696B"/>
        <color rgb="FFFFEB84"/>
        <color rgb="FF63BE7B"/>
      </colorScale>
    </cfRule>
  </conditionalFormatting>
  <conditionalFormatting sqref="R15:W15">
    <cfRule type="colorScale" priority="43">
      <colorScale>
        <cfvo type="min"/>
        <cfvo type="percentile" val="50"/>
        <cfvo type="num" val="3"/>
        <color rgb="FFF8696B"/>
        <color rgb="FFFFEB84"/>
        <color rgb="FF63BE7B"/>
      </colorScale>
    </cfRule>
  </conditionalFormatting>
  <conditionalFormatting sqref="R17:W17">
    <cfRule type="colorScale" priority="42">
      <colorScale>
        <cfvo type="num" val="0.5"/>
        <cfvo type="percentile" val="50"/>
        <cfvo type="num" val="1"/>
        <color rgb="FFF8696B"/>
        <color rgb="FFFFEB84"/>
        <color rgb="FF63BE7B"/>
      </colorScale>
    </cfRule>
  </conditionalFormatting>
  <conditionalFormatting sqref="R18:W18">
    <cfRule type="colorScale" priority="41">
      <colorScale>
        <cfvo type="num" val="4"/>
        <cfvo type="percentile" val="50"/>
        <cfvo type="num" val="6"/>
        <color rgb="FFF8696B"/>
        <color rgb="FFFFEB84"/>
        <color rgb="FF63BE7B"/>
      </colorScale>
    </cfRule>
  </conditionalFormatting>
  <conditionalFormatting sqref="R19:W19">
    <cfRule type="colorScale" priority="40">
      <colorScale>
        <cfvo type="num" val="6"/>
        <cfvo type="percentile" val="50"/>
        <cfvo type="num" val="10"/>
        <color rgb="FFF8696B"/>
        <color rgb="FFFFEB84"/>
        <color rgb="FF63BE7B"/>
      </colorScale>
    </cfRule>
  </conditionalFormatting>
  <conditionalFormatting sqref="R21:W21">
    <cfRule type="colorScale" priority="39">
      <colorScale>
        <cfvo type="num" val="15"/>
        <cfvo type="percentile" val="50"/>
        <cfvo type="num" val="25"/>
        <color rgb="FFF8696B"/>
        <color rgb="FFFFEB84"/>
        <color rgb="FF63BE7B"/>
      </colorScale>
    </cfRule>
  </conditionalFormatting>
  <conditionalFormatting sqref="R22:W22">
    <cfRule type="colorScale" priority="38">
      <colorScale>
        <cfvo type="num" val="1.5"/>
        <cfvo type="percentile" val="50"/>
        <cfvo type="num" val="3"/>
        <color rgb="FFF8696B"/>
        <color rgb="FFFFEB84"/>
        <color rgb="FF63BE7B"/>
      </colorScale>
    </cfRule>
  </conditionalFormatting>
  <conditionalFormatting sqref="R23:W23">
    <cfRule type="colorScale" priority="37">
      <colorScale>
        <cfvo type="num" val="8"/>
        <cfvo type="percentile" val="50"/>
        <cfvo type="num" val="12"/>
        <color rgb="FFF8696B"/>
        <color rgb="FFFFEB84"/>
        <color rgb="FF63BE7B"/>
      </colorScale>
    </cfRule>
  </conditionalFormatting>
  <conditionalFormatting sqref="R25:W25">
    <cfRule type="colorScale" priority="36">
      <colorScale>
        <cfvo type="min"/>
        <cfvo type="percentile" val="50"/>
        <cfvo type="num" val="0.3"/>
        <color rgb="FFF8696B"/>
        <color rgb="FFFFEB84"/>
        <color rgb="FF63BE7B"/>
      </colorScale>
    </cfRule>
  </conditionalFormatting>
  <conditionalFormatting sqref="R26:W26">
    <cfRule type="colorScale" priority="35">
      <colorScale>
        <cfvo type="min"/>
        <cfvo type="percentile" val="50"/>
        <cfvo type="num" val="0.05"/>
        <color rgb="FFF8696B"/>
        <color rgb="FFFFEB84"/>
        <color rgb="FF63BE7B"/>
      </colorScale>
    </cfRule>
  </conditionalFormatting>
  <conditionalFormatting sqref="Z5:AE5">
    <cfRule type="colorScale" priority="34">
      <colorScale>
        <cfvo type="num" val="0.3"/>
        <cfvo type="percentile" val="50"/>
        <cfvo type="num" val="0.4"/>
        <color rgb="FFF8696B"/>
        <color rgb="FFFFEB84"/>
        <color rgb="FF63BE7B"/>
      </colorScale>
    </cfRule>
  </conditionalFormatting>
  <conditionalFormatting sqref="Z6:AE6">
    <cfRule type="colorScale" priority="33">
      <colorScale>
        <cfvo type="num" val="0.1"/>
        <cfvo type="percentile" val="50"/>
        <cfvo type="num" val="0.15"/>
        <color rgb="FFF8696B"/>
        <color rgb="FFFFEB84"/>
        <color rgb="FF63BE7B"/>
      </colorScale>
    </cfRule>
  </conditionalFormatting>
  <conditionalFormatting sqref="Z7:AE7">
    <cfRule type="colorScale" priority="32">
      <colorScale>
        <cfvo type="num" val="0.05"/>
        <cfvo type="percentile" val="50"/>
        <cfvo type="num" val="0.08"/>
        <color rgb="FFF8696B"/>
        <color rgb="FFFFEB84"/>
        <color rgb="FF63BE7B"/>
      </colorScale>
    </cfRule>
  </conditionalFormatting>
  <conditionalFormatting sqref="Z8:AE8">
    <cfRule type="colorScale" priority="31">
      <colorScale>
        <cfvo type="num" val="0.12"/>
        <cfvo type="percentile" val="50"/>
        <cfvo type="num" val="0.18"/>
        <color rgb="FFF8696B"/>
        <color rgb="FFFFEB84"/>
        <color rgb="FF63BE7B"/>
      </colorScale>
    </cfRule>
  </conditionalFormatting>
  <conditionalFormatting sqref="Z9:AE9">
    <cfRule type="colorScale" priority="30">
      <colorScale>
        <cfvo type="num" val="0.1"/>
        <cfvo type="percentile" val="50"/>
        <cfvo type="num" val="0.15"/>
        <color rgb="FFF8696B"/>
        <color rgb="FFFFEB84"/>
        <color rgb="FF63BE7B"/>
      </colorScale>
    </cfRule>
  </conditionalFormatting>
  <conditionalFormatting sqref="Z11:AE11">
    <cfRule type="colorScale" priority="29">
      <colorScale>
        <cfvo type="num" val="1.2"/>
        <cfvo type="percentile" val="50"/>
        <cfvo type="num" val="1.8"/>
        <color rgb="FFF8696B"/>
        <color rgb="FFFFEB84"/>
        <color rgb="FF63BE7B"/>
      </colorScale>
    </cfRule>
  </conditionalFormatting>
  <conditionalFormatting sqref="Z12:AE12">
    <cfRule type="colorScale" priority="28">
      <colorScale>
        <cfvo type="num" val="1"/>
        <cfvo type="percentile" val="50"/>
        <cfvo type="num" val="1.5"/>
        <color rgb="FFF8696B"/>
        <color rgb="FFFFEB84"/>
        <color rgb="FF63BE7B"/>
      </colorScale>
    </cfRule>
  </conditionalFormatting>
  <conditionalFormatting sqref="Z14:AE14">
    <cfRule type="colorScale" priority="27">
      <colorScale>
        <cfvo type="num" val="0.3"/>
        <cfvo type="percentile" val="50"/>
        <cfvo type="num" val="0.8"/>
        <color rgb="FFF8696B"/>
        <color rgb="FFFFEB84"/>
        <color rgb="FF63BE7B"/>
      </colorScale>
    </cfRule>
  </conditionalFormatting>
  <conditionalFormatting sqref="Z15:AE15">
    <cfRule type="colorScale" priority="26">
      <colorScale>
        <cfvo type="min"/>
        <cfvo type="percentile" val="50"/>
        <cfvo type="num" val="3"/>
        <color rgb="FFF8696B"/>
        <color rgb="FFFFEB84"/>
        <color rgb="FF63BE7B"/>
      </colorScale>
    </cfRule>
  </conditionalFormatting>
  <conditionalFormatting sqref="Z17:AE17">
    <cfRule type="colorScale" priority="25">
      <colorScale>
        <cfvo type="num" val="0.5"/>
        <cfvo type="percentile" val="50"/>
        <cfvo type="num" val="1"/>
        <color rgb="FFF8696B"/>
        <color rgb="FFFFEB84"/>
        <color rgb="FF63BE7B"/>
      </colorScale>
    </cfRule>
  </conditionalFormatting>
  <conditionalFormatting sqref="Z18:AE18">
    <cfRule type="colorScale" priority="24">
      <colorScale>
        <cfvo type="num" val="4"/>
        <cfvo type="percentile" val="50"/>
        <cfvo type="num" val="6"/>
        <color rgb="FFF8696B"/>
        <color rgb="FFFFEB84"/>
        <color rgb="FF63BE7B"/>
      </colorScale>
    </cfRule>
  </conditionalFormatting>
  <conditionalFormatting sqref="Z19:AE19">
    <cfRule type="colorScale" priority="23">
      <colorScale>
        <cfvo type="num" val="6"/>
        <cfvo type="percentile" val="50"/>
        <cfvo type="num" val="10"/>
        <color rgb="FFF8696B"/>
        <color rgb="FFFFEB84"/>
        <color rgb="FF63BE7B"/>
      </colorScale>
    </cfRule>
  </conditionalFormatting>
  <conditionalFormatting sqref="Z21:AE21">
    <cfRule type="colorScale" priority="22">
      <colorScale>
        <cfvo type="num" val="15"/>
        <cfvo type="percentile" val="50"/>
        <cfvo type="num" val="25"/>
        <color rgb="FFF8696B"/>
        <color rgb="FFFFEB84"/>
        <color rgb="FF63BE7B"/>
      </colorScale>
    </cfRule>
  </conditionalFormatting>
  <conditionalFormatting sqref="Z22:AE22">
    <cfRule type="colorScale" priority="21">
      <colorScale>
        <cfvo type="num" val="1.5"/>
        <cfvo type="percentile" val="50"/>
        <cfvo type="num" val="3"/>
        <color rgb="FFF8696B"/>
        <color rgb="FFFFEB84"/>
        <color rgb="FF63BE7B"/>
      </colorScale>
    </cfRule>
  </conditionalFormatting>
  <conditionalFormatting sqref="Z23:AE23">
    <cfRule type="colorScale" priority="20">
      <colorScale>
        <cfvo type="num" val="8"/>
        <cfvo type="percentile" val="50"/>
        <cfvo type="num" val="12"/>
        <color rgb="FFF8696B"/>
        <color rgb="FFFFEB84"/>
        <color rgb="FF63BE7B"/>
      </colorScale>
    </cfRule>
  </conditionalFormatting>
  <conditionalFormatting sqref="Z25:AE25">
    <cfRule type="colorScale" priority="19">
      <colorScale>
        <cfvo type="min"/>
        <cfvo type="percentile" val="50"/>
        <cfvo type="num" val="0.3"/>
        <color rgb="FFF8696B"/>
        <color rgb="FFFFEB84"/>
        <color rgb="FF63BE7B"/>
      </colorScale>
    </cfRule>
  </conditionalFormatting>
  <conditionalFormatting sqref="Z26:AE26">
    <cfRule type="colorScale" priority="18">
      <colorScale>
        <cfvo type="min"/>
        <cfvo type="percentile" val="50"/>
        <cfvo type="num" val="0.05"/>
        <color rgb="FFF8696B"/>
        <color rgb="FFFFEB84"/>
        <color rgb="FF63BE7B"/>
      </colorScale>
    </cfRule>
  </conditionalFormatting>
  <conditionalFormatting sqref="AH5:AM5">
    <cfRule type="colorScale" priority="17">
      <colorScale>
        <cfvo type="num" val="0.3"/>
        <cfvo type="percentile" val="50"/>
        <cfvo type="num" val="0.4"/>
        <color rgb="FFF8696B"/>
        <color rgb="FFFFEB84"/>
        <color rgb="FF63BE7B"/>
      </colorScale>
    </cfRule>
  </conditionalFormatting>
  <conditionalFormatting sqref="AH6:AM6">
    <cfRule type="colorScale" priority="16">
      <colorScale>
        <cfvo type="num" val="0.1"/>
        <cfvo type="percentile" val="50"/>
        <cfvo type="num" val="0.15"/>
        <color rgb="FFF8696B"/>
        <color rgb="FFFFEB84"/>
        <color rgb="FF63BE7B"/>
      </colorScale>
    </cfRule>
  </conditionalFormatting>
  <conditionalFormatting sqref="AH7:AM7">
    <cfRule type="colorScale" priority="15">
      <colorScale>
        <cfvo type="num" val="0.05"/>
        <cfvo type="percentile" val="50"/>
        <cfvo type="num" val="0.08"/>
        <color rgb="FFF8696B"/>
        <color rgb="FFFFEB84"/>
        <color rgb="FF63BE7B"/>
      </colorScale>
    </cfRule>
  </conditionalFormatting>
  <conditionalFormatting sqref="AH8:AM8">
    <cfRule type="colorScale" priority="14">
      <colorScale>
        <cfvo type="num" val="0.12"/>
        <cfvo type="percentile" val="50"/>
        <cfvo type="num" val="0.18"/>
        <color rgb="FFF8696B"/>
        <color rgb="FFFFEB84"/>
        <color rgb="FF63BE7B"/>
      </colorScale>
    </cfRule>
  </conditionalFormatting>
  <conditionalFormatting sqref="AH9:AM9">
    <cfRule type="colorScale" priority="13">
      <colorScale>
        <cfvo type="num" val="0.1"/>
        <cfvo type="percentile" val="50"/>
        <cfvo type="num" val="0.15"/>
        <color rgb="FFF8696B"/>
        <color rgb="FFFFEB84"/>
        <color rgb="FF63BE7B"/>
      </colorScale>
    </cfRule>
  </conditionalFormatting>
  <conditionalFormatting sqref="AH11:AM11">
    <cfRule type="colorScale" priority="12">
      <colorScale>
        <cfvo type="num" val="1.2"/>
        <cfvo type="percentile" val="50"/>
        <cfvo type="num" val="1.8"/>
        <color rgb="FFF8696B"/>
        <color rgb="FFFFEB84"/>
        <color rgb="FF63BE7B"/>
      </colorScale>
    </cfRule>
  </conditionalFormatting>
  <conditionalFormatting sqref="AH12:AM12">
    <cfRule type="colorScale" priority="11">
      <colorScale>
        <cfvo type="num" val="1"/>
        <cfvo type="percentile" val="50"/>
        <cfvo type="num" val="1.5"/>
        <color rgb="FFF8696B"/>
        <color rgb="FFFFEB84"/>
        <color rgb="FF63BE7B"/>
      </colorScale>
    </cfRule>
  </conditionalFormatting>
  <conditionalFormatting sqref="AH14:AM14">
    <cfRule type="colorScale" priority="10">
      <colorScale>
        <cfvo type="num" val="0.3"/>
        <cfvo type="percentile" val="50"/>
        <cfvo type="num" val="0.8"/>
        <color rgb="FFF8696B"/>
        <color rgb="FFFFEB84"/>
        <color rgb="FF63BE7B"/>
      </colorScale>
    </cfRule>
  </conditionalFormatting>
  <conditionalFormatting sqref="AH15:AM15">
    <cfRule type="colorScale" priority="9">
      <colorScale>
        <cfvo type="min"/>
        <cfvo type="percentile" val="50"/>
        <cfvo type="num" val="3"/>
        <color rgb="FFF8696B"/>
        <color rgb="FFFFEB84"/>
        <color rgb="FF63BE7B"/>
      </colorScale>
    </cfRule>
  </conditionalFormatting>
  <conditionalFormatting sqref="AH17:AM17">
    <cfRule type="colorScale" priority="8">
      <colorScale>
        <cfvo type="num" val="0.5"/>
        <cfvo type="percentile" val="50"/>
        <cfvo type="num" val="1"/>
        <color rgb="FFF8696B"/>
        <color rgb="FFFFEB84"/>
        <color rgb="FF63BE7B"/>
      </colorScale>
    </cfRule>
  </conditionalFormatting>
  <conditionalFormatting sqref="AH18:AM18">
    <cfRule type="colorScale" priority="7">
      <colorScale>
        <cfvo type="num" val="4"/>
        <cfvo type="percentile" val="50"/>
        <cfvo type="num" val="6"/>
        <color rgb="FFF8696B"/>
        <color rgb="FFFFEB84"/>
        <color rgb="FF63BE7B"/>
      </colorScale>
    </cfRule>
  </conditionalFormatting>
  <conditionalFormatting sqref="AH19:AM19">
    <cfRule type="colorScale" priority="6">
      <colorScale>
        <cfvo type="num" val="6"/>
        <cfvo type="percentile" val="50"/>
        <cfvo type="num" val="10"/>
        <color rgb="FFF8696B"/>
        <color rgb="FFFFEB84"/>
        <color rgb="FF63BE7B"/>
      </colorScale>
    </cfRule>
  </conditionalFormatting>
  <conditionalFormatting sqref="AH21:AM21">
    <cfRule type="colorScale" priority="5">
      <colorScale>
        <cfvo type="num" val="15"/>
        <cfvo type="percentile" val="50"/>
        <cfvo type="num" val="25"/>
        <color rgb="FFF8696B"/>
        <color rgb="FFFFEB84"/>
        <color rgb="FF63BE7B"/>
      </colorScale>
    </cfRule>
  </conditionalFormatting>
  <conditionalFormatting sqref="AH22:AM22">
    <cfRule type="colorScale" priority="4">
      <colorScale>
        <cfvo type="num" val="1.5"/>
        <cfvo type="percentile" val="50"/>
        <cfvo type="num" val="3"/>
        <color rgb="FFF8696B"/>
        <color rgb="FFFFEB84"/>
        <color rgb="FF63BE7B"/>
      </colorScale>
    </cfRule>
  </conditionalFormatting>
  <conditionalFormatting sqref="AH23:AM23">
    <cfRule type="colorScale" priority="3">
      <colorScale>
        <cfvo type="num" val="8"/>
        <cfvo type="percentile" val="50"/>
        <cfvo type="num" val="12"/>
        <color rgb="FFF8696B"/>
        <color rgb="FFFFEB84"/>
        <color rgb="FF63BE7B"/>
      </colorScale>
    </cfRule>
  </conditionalFormatting>
  <conditionalFormatting sqref="AH25:AM25">
    <cfRule type="colorScale" priority="2">
      <colorScale>
        <cfvo type="min"/>
        <cfvo type="percentile" val="50"/>
        <cfvo type="num" val="0.3"/>
        <color rgb="FFF8696B"/>
        <color rgb="FFFFEB84"/>
        <color rgb="FF63BE7B"/>
      </colorScale>
    </cfRule>
  </conditionalFormatting>
  <conditionalFormatting sqref="AH26:AM26">
    <cfRule type="colorScale" priority="1">
      <colorScale>
        <cfvo type="min"/>
        <cfvo type="percentile" val="50"/>
        <cfvo type="num" val="0.05"/>
        <color rgb="FFF8696B"/>
        <color rgb="FFFFEB84"/>
        <color rgb="FF63BE7B"/>
      </colorScale>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69D6-7CB8-45A4-8825-F2A95309F92D}">
  <sheetPr codeName="Sheet6"/>
  <dimension ref="A1:Z24"/>
  <sheetViews>
    <sheetView workbookViewId="0">
      <selection activeCell="O19" sqref="O19"/>
    </sheetView>
  </sheetViews>
  <sheetFormatPr defaultRowHeight="14.4" x14ac:dyDescent="0.3"/>
  <cols>
    <col min="1" max="1" width="23.6640625" style="1" bestFit="1" customWidth="1"/>
    <col min="2" max="6" width="11.21875" style="1" customWidth="1"/>
    <col min="7" max="8" width="8.88671875" style="1"/>
    <col min="9" max="9" width="14.88671875" style="1" bestFit="1" customWidth="1"/>
    <col min="10" max="10" width="10.21875" style="1" bestFit="1" customWidth="1"/>
    <col min="11" max="12" width="8.88671875" style="1"/>
    <col min="13" max="13" width="11" style="1" bestFit="1" customWidth="1"/>
    <col min="14" max="14" width="10.21875" style="109" bestFit="1" customWidth="1"/>
    <col min="15" max="15" width="8.88671875" style="108"/>
    <col min="16" max="16" width="8.88671875" style="1"/>
    <col min="17" max="26" width="11.21875" style="1" customWidth="1"/>
    <col min="27" max="16384" width="8.88671875" style="1"/>
  </cols>
  <sheetData>
    <row r="1" spans="1:26" ht="43.2" x14ac:dyDescent="0.3">
      <c r="A1" s="17" t="s">
        <v>466</v>
      </c>
      <c r="N1" s="1"/>
      <c r="O1" s="1"/>
      <c r="Q1" s="117" t="s">
        <v>0</v>
      </c>
      <c r="R1" s="117" t="s">
        <v>541</v>
      </c>
      <c r="S1" s="117" t="s">
        <v>542</v>
      </c>
      <c r="T1" s="117" t="s">
        <v>543</v>
      </c>
      <c r="U1" s="117" t="s">
        <v>544</v>
      </c>
      <c r="V1" s="118" t="s">
        <v>545</v>
      </c>
      <c r="W1" s="118" t="s">
        <v>482</v>
      </c>
      <c r="X1" s="117" t="s">
        <v>546</v>
      </c>
      <c r="Y1" s="117" t="s">
        <v>547</v>
      </c>
      <c r="Z1" s="117" t="s">
        <v>548</v>
      </c>
    </row>
    <row r="2" spans="1:26" x14ac:dyDescent="0.3">
      <c r="N2" s="1"/>
      <c r="O2" s="1"/>
      <c r="Q2" s="8" t="str">
        <f>N13</f>
        <v>Adani Ports</v>
      </c>
      <c r="R2" s="69">
        <f>(('Income Statement'!G20+'Income Statement'!G15)-('Income Statement'!B20+'Income Statement'!B15))</f>
        <v>9549.260000000002</v>
      </c>
      <c r="S2" s="12">
        <f>(('Balance Sheet'!G36-'Balance Sheet'!G64)-('Balance Sheet'!B36-'Balance Sheet'!B64))</f>
        <v>59886.59</v>
      </c>
      <c r="T2" s="111">
        <f>R2/S2</f>
        <v>0.15945573124133472</v>
      </c>
      <c r="U2" s="69">
        <f>DCF!H5-DCF!D5</f>
        <v>13559.747767597884</v>
      </c>
      <c r="V2" s="119">
        <f>AVERAGE(DCF!D9:H9)</f>
        <v>13203.433813664369</v>
      </c>
      <c r="W2" s="69">
        <f>AVERAGE(DCF!D8:H8)</f>
        <v>7218.8762181936909</v>
      </c>
      <c r="X2" s="12">
        <f>IF(V2-W2&lt;=0,V2,MAX(V2-W2,0.1*V2))</f>
        <v>5984.5575954706783</v>
      </c>
      <c r="Y2" s="67">
        <f>U2/X2</f>
        <v>2.2657895009416191</v>
      </c>
      <c r="Z2" s="121">
        <f>MIN(MAX(Y2,0.08),0.15)</f>
        <v>0.15</v>
      </c>
    </row>
    <row r="3" spans="1:26" ht="36" customHeight="1" x14ac:dyDescent="0.3">
      <c r="A3" s="5" t="s">
        <v>467</v>
      </c>
      <c r="B3" s="6" t="e" vm="1">
        <v>#VALUE!</v>
      </c>
      <c r="C3" s="6" t="e" vm="2">
        <v>#VALUE!</v>
      </c>
      <c r="D3" s="6" t="e" vm="3">
        <v>#VALUE!</v>
      </c>
      <c r="E3" s="6" t="e" vm="4">
        <v>#VALUE!</v>
      </c>
      <c r="F3" s="6" t="e" vm="5">
        <v>#VALUE!</v>
      </c>
      <c r="N3" s="1"/>
      <c r="O3" s="1"/>
      <c r="Q3" s="8" t="str">
        <f t="shared" ref="Q3:Q7" si="0">N14</f>
        <v>Kalpataru</v>
      </c>
      <c r="R3" s="69">
        <f>(('Income Statement'!O18+'Income Statement'!O13)-('Income Statement'!J18+'Income Statement'!J13))</f>
        <v>211.4299999999937</v>
      </c>
      <c r="S3" s="12">
        <f>(('Balance Sheet'!O33-'Balance Sheet'!O63)-('Balance Sheet'!J33-'Balance Sheet'!J63))</f>
        <v>1524.8799999999974</v>
      </c>
      <c r="T3" s="111">
        <f t="shared" ref="T3:T6" si="1">R3/S3</f>
        <v>0.13865353339278766</v>
      </c>
      <c r="U3" s="69">
        <f>DCF!Q5-DCF!M5</f>
        <v>789.4405287307502</v>
      </c>
      <c r="V3" s="119">
        <f>AVERAGE(DCF!M9:Q9)</f>
        <v>827.20823663239094</v>
      </c>
      <c r="W3" s="69">
        <f>AVERAGE(DCF!M8:Q8)</f>
        <v>733.34895295530168</v>
      </c>
      <c r="X3" s="12">
        <f t="shared" ref="X3:X6" si="2">IF(V3-W3&lt;=0,V3,MAX(V3-W3,0.1*V3))</f>
        <v>93.859283677089252</v>
      </c>
      <c r="Y3" s="67">
        <f t="shared" ref="Y3:Y6" si="3">U3/X3</f>
        <v>8.4108944560744625</v>
      </c>
      <c r="Z3" s="121">
        <f t="shared" ref="Z3:Z6" si="4">MIN(MAX(Y3,0.08),0.15)</f>
        <v>0.15</v>
      </c>
    </row>
    <row r="4" spans="1:26" x14ac:dyDescent="0.3">
      <c r="A4" s="8" t="s">
        <v>468</v>
      </c>
      <c r="B4" s="65">
        <v>6.3990000000000005E-2</v>
      </c>
      <c r="C4" s="65">
        <v>6.3990000000000005E-2</v>
      </c>
      <c r="D4" s="65">
        <v>6.3990000000000005E-2</v>
      </c>
      <c r="E4" s="65">
        <v>6.3990000000000005E-2</v>
      </c>
      <c r="F4" s="65">
        <v>6.3990000000000005E-2</v>
      </c>
      <c r="I4" s="8" t="s">
        <v>480</v>
      </c>
      <c r="J4" s="8" t="s">
        <v>533</v>
      </c>
      <c r="K4" s="111">
        <f>(Table19[[#This Row],[2030]]/Table19[[#This Row],[2026]])^(1/5)-1</f>
        <v>0.12116029842583997</v>
      </c>
      <c r="N4" s="1"/>
      <c r="O4" s="1"/>
      <c r="Q4" s="8" t="str">
        <f t="shared" si="0"/>
        <v>KEC</v>
      </c>
      <c r="R4" s="69">
        <f>(('Income Statement'!W17+'Income Statement'!W12)-('Income Statement'!R17+'Income Statement'!R12))</f>
        <v>292.82999999999765</v>
      </c>
      <c r="S4" s="12">
        <f>(('Balance Sheet'!W31-'Balance Sheet'!W57)-('Balance Sheet'!R31-'Balance Sheet'!R57))</f>
        <v>2799.7699999999968</v>
      </c>
      <c r="T4" s="111">
        <f t="shared" si="1"/>
        <v>0.1045907342388832</v>
      </c>
      <c r="U4" s="69">
        <f>DCF!Z5-DCF!V5</f>
        <v>741.69339339963835</v>
      </c>
      <c r="V4" s="119">
        <f>AVERAGE(DCF!V9:Z9)</f>
        <v>344.4452476729262</v>
      </c>
      <c r="W4" s="69">
        <f>AVERAGE(DCF!V8:Z8)</f>
        <v>301.76866930717307</v>
      </c>
      <c r="X4" s="12">
        <f t="shared" si="2"/>
        <v>42.67657836575313</v>
      </c>
      <c r="Y4" s="67">
        <f t="shared" si="3"/>
        <v>17.379401578145927</v>
      </c>
      <c r="Z4" s="121">
        <f t="shared" si="4"/>
        <v>0.15</v>
      </c>
    </row>
    <row r="5" spans="1:26" x14ac:dyDescent="0.3">
      <c r="A5" s="8" t="s">
        <v>6</v>
      </c>
      <c r="B5" s="11">
        <f ca="1">'Company Info'!B9</f>
        <v>1.4608000000000001</v>
      </c>
      <c r="C5" s="11">
        <f ca="1">'Company Info'!C9</f>
        <v>0.59089999999999998</v>
      </c>
      <c r="D5" s="11">
        <f ca="1">'Company Info'!D9</f>
        <v>0.67630000000000001</v>
      </c>
      <c r="E5" s="11">
        <f ca="1">'Company Info'!E9</f>
        <v>1.0837000000000001</v>
      </c>
      <c r="F5" s="11">
        <f ca="1">'Company Info'!F9</f>
        <v>1.4107000000000001</v>
      </c>
      <c r="I5" s="8" t="s">
        <v>480</v>
      </c>
      <c r="J5" s="8" t="s">
        <v>528</v>
      </c>
      <c r="K5" s="111">
        <f>(DCF!Q4/DCF!M4)^(1/5)-1</f>
        <v>7.8232554612957861E-2</v>
      </c>
      <c r="N5" s="1"/>
      <c r="O5" s="1"/>
      <c r="Q5" s="8" t="str">
        <f t="shared" si="0"/>
        <v>L&amp;T</v>
      </c>
      <c r="R5" s="69">
        <f>(('Income Statement'!AE24+'Income Statement'!AE21)-('Income Statement'!Z24+'Income Statement'!Z21))</f>
        <v>10210.770000000026</v>
      </c>
      <c r="S5" s="12">
        <f>(('Balance Sheet'!AE31-'Balance Sheet'!AE59)-('Balance Sheet'!Z31-'Balance Sheet'!Z59))</f>
        <v>117376.88999999998</v>
      </c>
      <c r="T5" s="111">
        <f t="shared" si="1"/>
        <v>8.6991314900233152E-2</v>
      </c>
      <c r="U5" s="69">
        <f>Table222629[[#This Row],[2030]]-Table222629[[#This Row],[2026]]</f>
        <v>18691.306184183813</v>
      </c>
      <c r="V5" s="119">
        <f>AVERAGE(DCF!AE9:AI9)</f>
        <v>6667.7614053748666</v>
      </c>
      <c r="W5" s="69">
        <f>AVERAGE(DCF!AE8:AI8)</f>
        <v>6103.4298133422553</v>
      </c>
      <c r="X5" s="12">
        <f t="shared" si="2"/>
        <v>666.77614053748675</v>
      </c>
      <c r="Y5" s="67">
        <f t="shared" si="3"/>
        <v>28.032356060486496</v>
      </c>
      <c r="Z5" s="121">
        <f t="shared" si="4"/>
        <v>0.15</v>
      </c>
    </row>
    <row r="6" spans="1:26" x14ac:dyDescent="0.3">
      <c r="A6" s="8" t="s">
        <v>469</v>
      </c>
      <c r="B6" s="65">
        <v>6.7500000000000004E-2</v>
      </c>
      <c r="C6" s="65">
        <v>6.7500000000000004E-2</v>
      </c>
      <c r="D6" s="65">
        <v>6.7500000000000004E-2</v>
      </c>
      <c r="E6" s="65">
        <v>6.7500000000000004E-2</v>
      </c>
      <c r="F6" s="65">
        <v>6.7500000000000004E-2</v>
      </c>
      <c r="I6" s="8" t="s">
        <v>480</v>
      </c>
      <c r="J6" s="8" t="s">
        <v>527</v>
      </c>
      <c r="K6" s="111">
        <f>(DCF!Z4/DCF!V4)^(1/5)-1</f>
        <v>8.3914725490586317E-2</v>
      </c>
      <c r="N6" s="1"/>
      <c r="O6" s="1"/>
      <c r="Q6" s="8" t="str">
        <f t="shared" si="0"/>
        <v>RVNL</v>
      </c>
      <c r="R6" s="69">
        <f>(('Income Statement'!AM16+'Income Statement'!AM11)-('Income Statement'!AH16+'Income Statement'!AH11))</f>
        <v>1737.0409999999947</v>
      </c>
      <c r="S6" s="12">
        <f>(('Balance Sheet'!AM31-'Balance Sheet'!AM55)-('Balance Sheet'!AH31-'Balance Sheet'!AH55))</f>
        <v>4182.1219000000019</v>
      </c>
      <c r="T6" s="111">
        <f t="shared" si="1"/>
        <v>0.415349203474914</v>
      </c>
      <c r="U6" s="69">
        <f>DCF!AR5-DCF!AN5</f>
        <v>1785.3910205125071</v>
      </c>
      <c r="V6" s="119">
        <f>AVERAGE(DCF!AN9:AR9)</f>
        <v>211.63431232184726</v>
      </c>
      <c r="W6" s="69">
        <f>AVEDEV(DCF!AN9:AR9)</f>
        <v>34.49090527206134</v>
      </c>
      <c r="X6" s="12">
        <f t="shared" si="2"/>
        <v>177.14340704978594</v>
      </c>
      <c r="Y6" s="67">
        <f t="shared" si="3"/>
        <v>10.078788989367949</v>
      </c>
      <c r="Z6" s="121">
        <f t="shared" si="4"/>
        <v>0.15</v>
      </c>
    </row>
    <row r="7" spans="1:26" s="2" customFormat="1" x14ac:dyDescent="0.3">
      <c r="A7" s="5" t="s">
        <v>470</v>
      </c>
      <c r="B7" s="66">
        <f ca="1">B4+(B5*B6)</f>
        <v>0.16259400000000002</v>
      </c>
      <c r="C7" s="66">
        <f t="shared" ref="C7:F7" ca="1" si="5">C4+(C5*C6)</f>
        <v>0.10387575000000002</v>
      </c>
      <c r="D7" s="66">
        <f t="shared" ca="1" si="5"/>
        <v>0.10964025000000001</v>
      </c>
      <c r="E7" s="66">
        <f t="shared" ca="1" si="5"/>
        <v>0.13713975</v>
      </c>
      <c r="F7" s="66">
        <f t="shared" ca="1" si="5"/>
        <v>0.15921225</v>
      </c>
      <c r="I7" s="8" t="s">
        <v>480</v>
      </c>
      <c r="J7" s="8" t="s">
        <v>534</v>
      </c>
      <c r="K7" s="112">
        <f>(DCF!AI4/DCF!AE4)^(1/5)-1</f>
        <v>7.8127132625603446E-2</v>
      </c>
      <c r="Q7" s="5" t="str">
        <f t="shared" si="0"/>
        <v>Average</v>
      </c>
      <c r="R7" s="5"/>
      <c r="S7" s="27"/>
      <c r="T7" s="113">
        <f>AVERAGE(T2:T6)</f>
        <v>0.18100810344963053</v>
      </c>
      <c r="U7" s="5"/>
      <c r="V7" s="5"/>
      <c r="W7" s="5"/>
      <c r="X7" s="5"/>
      <c r="Y7" s="120">
        <f>AVERAGE(Y2:Y6)</f>
        <v>13.233446117003291</v>
      </c>
      <c r="Z7" s="120">
        <f>AVERAGE(Z2:Z6)</f>
        <v>0.15</v>
      </c>
    </row>
    <row r="8" spans="1:26" x14ac:dyDescent="0.3">
      <c r="A8" s="8" t="s">
        <v>471</v>
      </c>
      <c r="B8" s="67">
        <f>'Income Statement'!G15/(AVERAGE('Balance Sheet'!F46:G46)+AVERAGE('Balance Sheet'!F54:G54))</f>
        <v>5.4986216633731225E-2</v>
      </c>
      <c r="C8" s="67">
        <f>'Income Statement'!O13/(AVERAGE('Balance Sheet'!N43:O43)+AVERAGE('Balance Sheet'!N54:O54))</f>
        <v>0.14239140904589137</v>
      </c>
      <c r="D8" s="67">
        <f>'Income Statement'!W12/(AVERAGE('Balance Sheet'!V39:W39)+AVERAGE('Balance Sheet'!V46:W46))</f>
        <v>0.17720826022981875</v>
      </c>
      <c r="E8" s="67">
        <f>('Income Statement'!AE18+'Income Statement'!AE21)/(AVERAGE('Balance Sheet'!AD40:AE40)+AVERAGE('Balance Sheet'!AD48:AE48))</f>
        <v>0.10845561216094818</v>
      </c>
      <c r="F8" s="67">
        <f>'Income Statement'!AM11/(AVERAGE('Balance Sheet'!AL39:AM39)+AVERAGE('Balance Sheet'!AL46:AM46))</f>
        <v>9.9938646963376274E-2</v>
      </c>
      <c r="I8" s="8" t="s">
        <v>480</v>
      </c>
      <c r="J8" s="8" t="s">
        <v>530</v>
      </c>
      <c r="K8" s="111">
        <f>(DCF!AR4/DCF!AN4)^(1/5)-1</f>
        <v>0.11319801703468824</v>
      </c>
      <c r="M8" s="8" t="s">
        <v>537</v>
      </c>
      <c r="N8" s="80">
        <v>2020</v>
      </c>
      <c r="O8" s="111">
        <f>AVERAGE(-5.8%,9.7%)</f>
        <v>1.9499999999999997E-2</v>
      </c>
    </row>
    <row r="9" spans="1:26" x14ac:dyDescent="0.3">
      <c r="A9" s="8" t="s">
        <v>472</v>
      </c>
      <c r="B9" s="63">
        <v>0.25</v>
      </c>
      <c r="C9" s="63">
        <v>0.25</v>
      </c>
      <c r="D9" s="63">
        <v>0.25</v>
      </c>
      <c r="E9" s="63">
        <v>0.25</v>
      </c>
      <c r="F9" s="63">
        <v>0.25</v>
      </c>
      <c r="I9" s="5" t="s">
        <v>480</v>
      </c>
      <c r="J9" s="5" t="s">
        <v>505</v>
      </c>
      <c r="K9" s="113">
        <f>AVERAGE(K4:K8)</f>
        <v>9.4926545637935164E-2</v>
      </c>
      <c r="M9" s="8" t="s">
        <v>537</v>
      </c>
      <c r="N9" s="80">
        <v>2025</v>
      </c>
      <c r="O9" s="111">
        <v>7.8E-2</v>
      </c>
    </row>
    <row r="10" spans="1:26" s="2" customFormat="1" x14ac:dyDescent="0.3">
      <c r="A10" s="5" t="s">
        <v>473</v>
      </c>
      <c r="B10" s="68">
        <f>B8*(1-B9)</f>
        <v>4.1239662475298422E-2</v>
      </c>
      <c r="C10" s="68">
        <f t="shared" ref="C10:F10" si="6">C8*(1-C9)</f>
        <v>0.10679355678441853</v>
      </c>
      <c r="D10" s="68">
        <f t="shared" si="6"/>
        <v>0.13290619517236407</v>
      </c>
      <c r="E10" s="68">
        <f t="shared" si="6"/>
        <v>8.1341709120711134E-2</v>
      </c>
      <c r="F10" s="68">
        <f t="shared" si="6"/>
        <v>7.4953985222532202E-2</v>
      </c>
      <c r="I10" s="8" t="s">
        <v>535</v>
      </c>
      <c r="J10" s="8" t="s">
        <v>533</v>
      </c>
      <c r="K10" s="112">
        <f>('Income Statement'!G30-'Income Statement'!B30)/'Income Statement'!B30</f>
        <v>1.9227565906466597</v>
      </c>
      <c r="M10" s="5" t="s">
        <v>537</v>
      </c>
      <c r="N10" s="114" t="s">
        <v>538</v>
      </c>
      <c r="O10" s="113">
        <f>O9-O8</f>
        <v>5.8500000000000003E-2</v>
      </c>
    </row>
    <row r="11" spans="1:26" x14ac:dyDescent="0.3">
      <c r="A11" s="8" t="s">
        <v>474</v>
      </c>
      <c r="B11" s="12">
        <f ca="1">'Company Info'!B14</f>
        <v>312852.90000000002</v>
      </c>
      <c r="C11" s="12">
        <f ca="1">'Company Info'!C14</f>
        <v>22130.41</v>
      </c>
      <c r="D11" s="12">
        <f ca="1">'Company Info'!D14</f>
        <v>20213.900000000001</v>
      </c>
      <c r="E11" s="12">
        <f ca="1">'Company Info'!E14</f>
        <v>534069.30000000005</v>
      </c>
      <c r="F11" s="12">
        <f ca="1">'Company Info'!F14</f>
        <v>66303.64</v>
      </c>
      <c r="I11" s="8" t="s">
        <v>535</v>
      </c>
      <c r="J11" s="8" t="s">
        <v>528</v>
      </c>
      <c r="K11" s="111">
        <f>('Income Statement'!O27-'Income Statement'!J27)/'Income Statement'!J27</f>
        <v>0.45606920095483128</v>
      </c>
      <c r="M11" s="5" t="s">
        <v>537</v>
      </c>
      <c r="N11" s="114" t="s">
        <v>539</v>
      </c>
      <c r="O11" s="115">
        <f>K15/O10</f>
        <v>14.699628421637179</v>
      </c>
    </row>
    <row r="12" spans="1:26" x14ac:dyDescent="0.3">
      <c r="A12" s="8" t="s">
        <v>475</v>
      </c>
      <c r="B12" s="69">
        <f>'Balance Sheet'!G46+'Balance Sheet'!G54</f>
        <v>45810.03</v>
      </c>
      <c r="C12" s="69">
        <f>'Balance Sheet'!O43+'Balance Sheet'!O54</f>
        <v>4188.62</v>
      </c>
      <c r="D12" s="69">
        <f>'Balance Sheet'!W39+'Balance Sheet'!W46</f>
        <v>3701.1</v>
      </c>
      <c r="E12" s="69">
        <f>'Balance Sheet'!AE40+'Balance Sheet'!AE48</f>
        <v>93364.64</v>
      </c>
      <c r="F12" s="69">
        <f>'Balance Sheet'!AM39+'Balance Sheet'!AM46</f>
        <v>5389.02</v>
      </c>
      <c r="I12" s="8" t="s">
        <v>535</v>
      </c>
      <c r="J12" s="8" t="s">
        <v>527</v>
      </c>
      <c r="K12" s="111">
        <f>('Income Statement'!W24-'Income Statement'!R24)/'Income Statement'!R24</f>
        <v>9.2304427783235291E-3</v>
      </c>
      <c r="O12" s="1"/>
    </row>
    <row r="13" spans="1:26" x14ac:dyDescent="0.3">
      <c r="A13" s="8" t="s">
        <v>476</v>
      </c>
      <c r="B13" s="69">
        <f ca="1">B11+B12</f>
        <v>358662.93000000005</v>
      </c>
      <c r="C13" s="69">
        <f t="shared" ref="C13:F13" ca="1" si="7">C11+C12</f>
        <v>26319.03</v>
      </c>
      <c r="D13" s="69">
        <f t="shared" ca="1" si="7"/>
        <v>23915</v>
      </c>
      <c r="E13" s="69">
        <f t="shared" ca="1" si="7"/>
        <v>627433.94000000006</v>
      </c>
      <c r="F13" s="69">
        <f t="shared" ca="1" si="7"/>
        <v>71692.66</v>
      </c>
      <c r="I13" s="8" t="s">
        <v>535</v>
      </c>
      <c r="J13" s="8" t="s">
        <v>534</v>
      </c>
      <c r="K13" s="111">
        <f>('Income Statement'!AE42-'Income Statement'!Z42)/'Income Statement'!Z42</f>
        <v>0.62225773525189532</v>
      </c>
      <c r="M13" s="8" t="s">
        <v>540</v>
      </c>
      <c r="N13" s="80" t="str">
        <f>J4</f>
        <v>Adani Ports</v>
      </c>
      <c r="O13" s="65">
        <f>(DCF!H9/DCF!D9)^(1/5)-1</f>
        <v>0.12116029842583997</v>
      </c>
    </row>
    <row r="14" spans="1:26" x14ac:dyDescent="0.3">
      <c r="A14" s="8" t="s">
        <v>477</v>
      </c>
      <c r="B14" s="67">
        <f ca="1">B11/B13</f>
        <v>0.87227553736874897</v>
      </c>
      <c r="C14" s="67">
        <f t="shared" ref="C14:F14" ca="1" si="8">C11/C13</f>
        <v>0.84085203748010473</v>
      </c>
      <c r="D14" s="67">
        <f t="shared" ca="1" si="8"/>
        <v>0.84523938950449518</v>
      </c>
      <c r="E14" s="67">
        <f t="shared" ca="1" si="8"/>
        <v>0.85119606376409918</v>
      </c>
      <c r="F14" s="67">
        <f t="shared" ca="1" si="8"/>
        <v>0.92483163548402303</v>
      </c>
      <c r="I14" s="8" t="s">
        <v>535</v>
      </c>
      <c r="J14" s="8" t="s">
        <v>530</v>
      </c>
      <c r="K14" s="111">
        <f>('Income Statement'!AM25-'Income Statement'!AH25)/'Income Statement'!AH25</f>
        <v>1.2893273436971657</v>
      </c>
      <c r="M14" s="8" t="s">
        <v>540</v>
      </c>
      <c r="N14" s="80" t="str">
        <f t="shared" ref="N14:N17" si="9">J5</f>
        <v>Kalpataru</v>
      </c>
      <c r="O14" s="65">
        <f>(DCF!Q9/DCF!M9)^(1/5)-1</f>
        <v>7.8232554612957861E-2</v>
      </c>
    </row>
    <row r="15" spans="1:26" x14ac:dyDescent="0.3">
      <c r="A15" s="8" t="s">
        <v>478</v>
      </c>
      <c r="B15" s="67">
        <f ca="1">B12/B13</f>
        <v>0.12772446263125101</v>
      </c>
      <c r="C15" s="67">
        <f t="shared" ref="C15:F15" ca="1" si="10">C12/C13</f>
        <v>0.1591479625198953</v>
      </c>
      <c r="D15" s="67">
        <f t="shared" ca="1" si="10"/>
        <v>0.15476061049550491</v>
      </c>
      <c r="E15" s="67">
        <f t="shared" ca="1" si="10"/>
        <v>0.14880393623590077</v>
      </c>
      <c r="F15" s="67">
        <f t="shared" ca="1" si="10"/>
        <v>7.5168364515976957E-2</v>
      </c>
      <c r="I15" s="5" t="s">
        <v>535</v>
      </c>
      <c r="J15" s="5" t="s">
        <v>505</v>
      </c>
      <c r="K15" s="113">
        <f>AVERAGE(K10:K14)</f>
        <v>0.85992826266577505</v>
      </c>
      <c r="M15" s="8" t="s">
        <v>540</v>
      </c>
      <c r="N15" s="80" t="str">
        <f t="shared" si="9"/>
        <v>KEC</v>
      </c>
      <c r="O15" s="65">
        <f>(DCF!Z9/DCF!V9)^(1/5)-1</f>
        <v>8.3914725490586317E-2</v>
      </c>
    </row>
    <row r="16" spans="1:26" s="2" customFormat="1" x14ac:dyDescent="0.3">
      <c r="A16" s="5" t="s">
        <v>479</v>
      </c>
      <c r="B16" s="68">
        <f ca="1">(B7*B14)+(B10*B15)</f>
        <v>0.14709408245168604</v>
      </c>
      <c r="C16" s="68">
        <f t="shared" ref="C16:F16" ca="1" si="11">(C7*C14)+(C10*C15)</f>
        <v>0.10434011300476695</v>
      </c>
      <c r="D16" s="68">
        <f t="shared" ca="1" si="11"/>
        <v>0.11324090187863002</v>
      </c>
      <c r="E16" s="68">
        <f t="shared" ca="1" si="11"/>
        <v>0.12883678188291012</v>
      </c>
      <c r="F16" s="68">
        <f t="shared" ca="1" si="11"/>
        <v>0.15287869403972359</v>
      </c>
      <c r="I16" s="8" t="s">
        <v>536</v>
      </c>
      <c r="J16" s="8" t="s">
        <v>533</v>
      </c>
      <c r="K16" s="112">
        <f>AVERAGE(DCF!D9:H9)/AVERAGE(DCF!D4:H4)</f>
        <v>0.26018274330275964</v>
      </c>
      <c r="M16" s="8" t="s">
        <v>540</v>
      </c>
      <c r="N16" s="80" t="str">
        <f t="shared" si="9"/>
        <v>L&amp;T</v>
      </c>
      <c r="O16" s="116">
        <f>(DCF!AI9/DCF!AE9)^(1/5)-1</f>
        <v>7.8127132625603446E-2</v>
      </c>
    </row>
    <row r="17" spans="1:15" x14ac:dyDescent="0.3">
      <c r="A17" s="8" t="s">
        <v>480</v>
      </c>
      <c r="B17" s="67">
        <f>('Income Statement'!G8/'Income Statement'!B8)^(1/6)-1</f>
        <v>0.15367807215807328</v>
      </c>
      <c r="C17" s="67">
        <f>('Income Statement'!O7/'Income Statement'!J7)^(1/6)-1</f>
        <v>9.8728905642452292E-2</v>
      </c>
      <c r="D17" s="67">
        <f>('Income Statement'!W7/'Income Statement'!R7)^(1/6)-1</f>
        <v>0.10597139771863917</v>
      </c>
      <c r="E17" s="67">
        <f>('Income Statement'!AE8/'Income Statement'!Z8)^(1/6)-1</f>
        <v>9.8594624813337584E-2</v>
      </c>
      <c r="F17" s="67">
        <f>('Income Statement'!AM7/'Income Statement'!AH7)^(1/6)-1</f>
        <v>0.14344565897450878</v>
      </c>
      <c r="I17" s="8" t="s">
        <v>536</v>
      </c>
      <c r="J17" s="8" t="s">
        <v>528</v>
      </c>
      <c r="K17" s="112">
        <f>AVERAGE(DCF!M9:Q9)/AVERAGE(DCF!M4:Q4)</f>
        <v>2.762321638122239E-2</v>
      </c>
      <c r="M17" s="8" t="s">
        <v>540</v>
      </c>
      <c r="N17" s="80" t="str">
        <f t="shared" si="9"/>
        <v>RVNL</v>
      </c>
      <c r="O17" s="65">
        <f>(DCF!AR9/DCF!AN9)^(1/5)-1</f>
        <v>0.11319801703468824</v>
      </c>
    </row>
    <row r="18" spans="1:15" x14ac:dyDescent="0.3">
      <c r="A18" s="8" t="s">
        <v>481</v>
      </c>
      <c r="B18" s="67">
        <f>(AVERAGE('Income Statement'!B20:G20)+AVERAGE('Income Statement'!B15:G15))/AVERAGE('Income Statement'!B8:G8)</f>
        <v>0.47045584596862328</v>
      </c>
      <c r="C18" s="67">
        <f>(AVERAGE(Table7[[#This Row],[2020]:[2025]])+AVERAGE('Income Statement'!J13:O13))/AVERAGE('Income Statement'!J7:O7)</f>
        <v>7.0203566157537575E-2</v>
      </c>
      <c r="D18" s="67">
        <f>(AVERAGE('Income Statement'!R17:W17)+AVERAGE('Income Statement'!R12:W12))/AVERAGE('Income Statement'!R7:W7)</f>
        <v>6.1670003451494711E-2</v>
      </c>
      <c r="E18" s="67">
        <f>(AVERAGE('Income Statement'!Z24:AE24)+AVERAGE(Table9[[#This Row],[2020]:[2025]])+AVERAGE('Income Statement'!Z21:AE21))/AVERAGE('Income Statement'!Z8:AE8)</f>
        <v>0.14338295316715571</v>
      </c>
      <c r="F18" s="67">
        <f>(AVERAGE('Income Statement'!AH16:AM16)+AVERAGE('Income Statement'!AH11:AM11))/AVERAGE('Income Statement'!AH7:AM7)</f>
        <v>9.5377141177429112E-2</v>
      </c>
      <c r="I18" s="8" t="s">
        <v>536</v>
      </c>
      <c r="J18" s="8" t="s">
        <v>527</v>
      </c>
      <c r="K18" s="112">
        <f>AVERAGE(DCF!V9:Z9)/AVERAGE(DCF!V4:Z4)</f>
        <v>1.1500054296040367E-2</v>
      </c>
      <c r="M18" s="8" t="s">
        <v>540</v>
      </c>
      <c r="N18" s="114" t="s">
        <v>505</v>
      </c>
      <c r="O18" s="66">
        <f>AVERAGE(O13:O17)</f>
        <v>9.4926545637935164E-2</v>
      </c>
    </row>
    <row r="19" spans="1:15" x14ac:dyDescent="0.3">
      <c r="A19" s="8" t="s">
        <v>482</v>
      </c>
      <c r="B19" s="67">
        <f>AVERAGE('Income Statement'!B16:G16)/AVERAGE('Income Statement'!B8:G8)</f>
        <v>0.14225292030236023</v>
      </c>
      <c r="C19" s="67">
        <f>AVERAGE('Income Statement'!J14:O14)/AVERAGE('Income Statement'!J7:O7)</f>
        <v>2.4488944758210306E-2</v>
      </c>
      <c r="D19" s="67">
        <f>AVERAGE('Income Statement'!R14:W14)/AVERAGE('Income Statement'!R7:W7)</f>
        <v>1.0075203839571263E-2</v>
      </c>
      <c r="E19" s="67">
        <f>AVERAGE('Income Statement'!Z22:AE22)/AVERAGE('Income Statement'!Z8:AE8)</f>
        <v>1.7558630648769103E-2</v>
      </c>
      <c r="F19" s="67">
        <f>AVERAGE('Income Statement'!AH12:AM12)/AVERAGE('Income Statement'!AH7:AM7)</f>
        <v>1.06934258927164E-3</v>
      </c>
      <c r="I19" s="8" t="s">
        <v>536</v>
      </c>
      <c r="J19" s="8" t="s">
        <v>534</v>
      </c>
      <c r="K19" s="112">
        <f>AVERAGE(DCF!AE9:AI9)/AVERAGE(DCF!AE4:AI4)</f>
        <v>1.9182126009733423E-2</v>
      </c>
      <c r="M19" s="1" t="s">
        <v>549</v>
      </c>
      <c r="N19" s="109" t="str">
        <f>N13</f>
        <v>Adani Ports</v>
      </c>
      <c r="O19" s="108">
        <f>(DCF!H7/DCF!D7)^(1/5)-1</f>
        <v>0.12116029842583997</v>
      </c>
    </row>
    <row r="20" spans="1:15" x14ac:dyDescent="0.3">
      <c r="A20" s="59" t="s">
        <v>483</v>
      </c>
      <c r="B20" s="75">
        <f>ABS(AVERAGE('Cash Flow Statement'!B41:G41))/AVERAGE('Income Statement'!B8:G8)</f>
        <v>0.2601827433027597</v>
      </c>
      <c r="C20" s="75">
        <f>ABS(AVERAGE('Cash Flow Statement'!J31:O31))/AVERAGE('Income Statement'!J7:O7)</f>
        <v>2.7623216381222393E-2</v>
      </c>
      <c r="D20" s="75">
        <f>ABS(AVERAGE('Cash Flow Statement'!R35:W35))/AVERAGE('Income Statement'!R7:W7)</f>
        <v>1.1500054296040367E-2</v>
      </c>
      <c r="E20" s="75">
        <f>ABS(AVERAGE('Cash Flow Statement'!Z38:AE38))/AVERAGE('Income Statement'!Z8:AE8)</f>
        <v>1.918212600973342E-2</v>
      </c>
      <c r="F20" s="75">
        <f>ABS(AVERAGE('Cash Flow Statement'!AH37:AM37)+AVERAGE('Cash Flow Statement'!AH38:AJ38))/AVERAGE('Income Statement'!AH7:AM7)</f>
        <v>6.0259862970188233E-3</v>
      </c>
      <c r="I20" s="8" t="s">
        <v>536</v>
      </c>
      <c r="J20" s="8" t="s">
        <v>530</v>
      </c>
      <c r="K20" s="112">
        <f>AVERAGE(DCF!AN9:AR9)/AVERAGE(DCF!AN4:AR4)</f>
        <v>6.0259862970188233E-3</v>
      </c>
      <c r="M20" s="1" t="s">
        <v>549</v>
      </c>
      <c r="N20" s="109" t="str">
        <f t="shared" ref="N20:N24" si="12">N14</f>
        <v>Kalpataru</v>
      </c>
      <c r="O20" s="108">
        <f>(DCF!Q7/DCF!M7)^(1/5)-1</f>
        <v>7.8232554612957861E-2</v>
      </c>
    </row>
    <row r="21" spans="1:15" s="2" customFormat="1" x14ac:dyDescent="0.3">
      <c r="A21" s="93" t="s">
        <v>523</v>
      </c>
      <c r="B21" s="95">
        <v>6.5000000000000002E-2</v>
      </c>
      <c r="C21" s="95">
        <v>6.5000000000000002E-2</v>
      </c>
      <c r="D21" s="95">
        <v>6.5000000000000002E-2</v>
      </c>
      <c r="E21" s="95">
        <v>6.5000000000000002E-2</v>
      </c>
      <c r="F21" s="95">
        <v>6.5000000000000002E-2</v>
      </c>
      <c r="I21" s="5" t="s">
        <v>536</v>
      </c>
      <c r="J21" s="5" t="s">
        <v>505</v>
      </c>
      <c r="K21" s="113">
        <f>AVERAGE(K16:K20)</f>
        <v>6.4902825257354926E-2</v>
      </c>
      <c r="M21" s="1" t="s">
        <v>549</v>
      </c>
      <c r="N21" s="109" t="str">
        <f t="shared" si="12"/>
        <v>KEC</v>
      </c>
      <c r="O21" s="123">
        <f>(DCF!Z7/DCF!V7)^(1/5)-1</f>
        <v>8.3914725490586317E-2</v>
      </c>
    </row>
    <row r="22" spans="1:15" x14ac:dyDescent="0.3">
      <c r="M22" s="1" t="s">
        <v>549</v>
      </c>
      <c r="N22" s="109" t="str">
        <f t="shared" si="12"/>
        <v>L&amp;T</v>
      </c>
      <c r="O22" s="108">
        <f>(DCF!AI7/DCF!AE7)^(1/5)-1</f>
        <v>7.8127132625603446E-2</v>
      </c>
    </row>
    <row r="23" spans="1:15" x14ac:dyDescent="0.3">
      <c r="M23" s="1" t="s">
        <v>549</v>
      </c>
      <c r="N23" s="109" t="str">
        <f t="shared" si="12"/>
        <v>RVNL</v>
      </c>
      <c r="O23" s="108">
        <f>(DCF!AR7/DCF!AN7)^(1/5)-1</f>
        <v>0.11319801703468824</v>
      </c>
    </row>
    <row r="24" spans="1:15" x14ac:dyDescent="0.3">
      <c r="M24" s="2" t="s">
        <v>549</v>
      </c>
      <c r="N24" s="110" t="str">
        <f t="shared" si="12"/>
        <v>Average</v>
      </c>
      <c r="O24" s="122">
        <f>AVERAGE(O19:O23)</f>
        <v>9.4926545637935164E-2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6F69-6527-409A-AF5E-92AE2C690998}">
  <dimension ref="A1:AR25"/>
  <sheetViews>
    <sheetView topLeftCell="AL1" workbookViewId="0">
      <selection activeCell="A7" sqref="A7:XFD7"/>
    </sheetView>
  </sheetViews>
  <sheetFormatPr defaultRowHeight="14.4" x14ac:dyDescent="0.3"/>
  <cols>
    <col min="1" max="1" width="20.6640625" style="1" customWidth="1"/>
    <col min="2" max="2" width="10.88671875" style="1" bestFit="1" customWidth="1"/>
    <col min="3" max="3" width="9.109375" style="1" customWidth="1"/>
    <col min="4" max="8" width="10" style="1" bestFit="1" customWidth="1"/>
    <col min="9" max="9" width="8.88671875" style="1"/>
    <col min="10" max="10" width="20.6640625" style="1" customWidth="1"/>
    <col min="11" max="11" width="10.88671875" style="1" bestFit="1" customWidth="1"/>
    <col min="12" max="12" width="9.109375" style="4" customWidth="1"/>
    <col min="13" max="17" width="9.6640625" style="1" bestFit="1" customWidth="1"/>
    <col min="18" max="18" width="8.88671875" style="1"/>
    <col min="19" max="19" width="20.6640625" style="1" customWidth="1"/>
    <col min="20" max="20" width="10.88671875" style="1" bestFit="1" customWidth="1"/>
    <col min="21" max="21" width="9.109375" style="1" customWidth="1"/>
    <col min="22" max="26" width="9.6640625" style="1" bestFit="1" customWidth="1"/>
    <col min="27" max="27" width="8.88671875" style="1"/>
    <col min="28" max="28" width="20.6640625" style="1" customWidth="1"/>
    <col min="29" max="29" width="10.88671875" style="1" bestFit="1" customWidth="1"/>
    <col min="30" max="30" width="9.109375" style="1" customWidth="1"/>
    <col min="31" max="35" width="10.88671875" style="1" bestFit="1" customWidth="1"/>
    <col min="36" max="36" width="8.88671875" style="1"/>
    <col min="37" max="37" width="20.6640625" style="1" customWidth="1"/>
    <col min="38" max="38" width="10.88671875" style="1" bestFit="1" customWidth="1"/>
    <col min="39" max="39" width="9.109375" style="1" customWidth="1"/>
    <col min="40" max="44" width="10.88671875" style="1" bestFit="1" customWidth="1"/>
    <col min="45" max="16384" width="8.88671875" style="1"/>
  </cols>
  <sheetData>
    <row r="1" spans="1:44" ht="31.2" x14ac:dyDescent="0.3">
      <c r="A1" s="17" t="s">
        <v>484</v>
      </c>
    </row>
    <row r="2" spans="1:44" ht="38.4" customHeight="1" x14ac:dyDescent="0.3">
      <c r="G2" s="126" t="e" vm="1">
        <v>#VALUE!</v>
      </c>
      <c r="H2" s="126"/>
      <c r="P2" s="126" t="e" vm="2">
        <v>#VALUE!</v>
      </c>
      <c r="Q2" s="126"/>
      <c r="Y2" s="126" t="e" vm="3">
        <v>#VALUE!</v>
      </c>
      <c r="Z2" s="126"/>
      <c r="AH2" s="126" t="e" vm="4">
        <v>#VALUE!</v>
      </c>
      <c r="AI2" s="126"/>
      <c r="AQ2" s="126" t="e" vm="5">
        <v>#VALUE!</v>
      </c>
      <c r="AR2" s="126"/>
    </row>
    <row r="3" spans="1:44" x14ac:dyDescent="0.3">
      <c r="A3" s="25" t="s">
        <v>13</v>
      </c>
      <c r="B3" s="71" t="s">
        <v>70</v>
      </c>
      <c r="C3" s="71" t="s">
        <v>485</v>
      </c>
      <c r="D3" s="71" t="s">
        <v>491</v>
      </c>
      <c r="E3" s="71" t="s">
        <v>492</v>
      </c>
      <c r="F3" s="71" t="s">
        <v>493</v>
      </c>
      <c r="G3" s="71" t="s">
        <v>494</v>
      </c>
      <c r="H3" s="72" t="s">
        <v>495</v>
      </c>
      <c r="J3" s="2" t="s">
        <v>13</v>
      </c>
      <c r="K3" s="70" t="s">
        <v>70</v>
      </c>
      <c r="L3" s="70" t="s">
        <v>485</v>
      </c>
      <c r="M3" s="70" t="s">
        <v>491</v>
      </c>
      <c r="N3" s="70" t="s">
        <v>492</v>
      </c>
      <c r="O3" s="70" t="s">
        <v>493</v>
      </c>
      <c r="P3" s="70" t="s">
        <v>494</v>
      </c>
      <c r="Q3" s="70" t="s">
        <v>495</v>
      </c>
      <c r="S3" s="2" t="s">
        <v>13</v>
      </c>
      <c r="T3" s="70" t="s">
        <v>70</v>
      </c>
      <c r="U3" s="70" t="s">
        <v>485</v>
      </c>
      <c r="V3" s="70" t="s">
        <v>491</v>
      </c>
      <c r="W3" s="70" t="s">
        <v>492</v>
      </c>
      <c r="X3" s="70" t="s">
        <v>493</v>
      </c>
      <c r="Y3" s="70" t="s">
        <v>494</v>
      </c>
      <c r="Z3" s="70" t="s">
        <v>495</v>
      </c>
      <c r="AB3" s="2" t="s">
        <v>13</v>
      </c>
      <c r="AC3" s="70" t="s">
        <v>70</v>
      </c>
      <c r="AD3" s="70" t="s">
        <v>485</v>
      </c>
      <c r="AE3" s="70" t="s">
        <v>491</v>
      </c>
      <c r="AF3" s="70" t="s">
        <v>492</v>
      </c>
      <c r="AG3" s="70" t="s">
        <v>493</v>
      </c>
      <c r="AH3" s="70" t="s">
        <v>494</v>
      </c>
      <c r="AI3" s="70" t="s">
        <v>495</v>
      </c>
      <c r="AK3" s="2" t="s">
        <v>13</v>
      </c>
      <c r="AL3" s="70" t="s">
        <v>70</v>
      </c>
      <c r="AM3" s="70" t="s">
        <v>485</v>
      </c>
      <c r="AN3" s="70" t="s">
        <v>491</v>
      </c>
      <c r="AO3" s="70" t="s">
        <v>492</v>
      </c>
      <c r="AP3" s="70" t="s">
        <v>493</v>
      </c>
      <c r="AQ3" s="70" t="s">
        <v>494</v>
      </c>
      <c r="AR3" s="70" t="s">
        <v>495</v>
      </c>
    </row>
    <row r="4" spans="1:44" x14ac:dyDescent="0.3">
      <c r="A4" s="8" t="s">
        <v>191</v>
      </c>
      <c r="B4" s="12">
        <f>'Income Statement'!G8</f>
        <v>32383.08</v>
      </c>
      <c r="C4" s="73">
        <f>'WACC &amp; Key Assumptions'!B17</f>
        <v>0.15367807215807328</v>
      </c>
      <c r="D4" s="12">
        <f>Table19[[#This Row],[2025]]*(1+C4)</f>
        <v>37359.649304940664</v>
      </c>
      <c r="E4" s="12">
        <f>Table19[[#This Row],[2026]]*(1+$C$4)</f>
        <v>43101.008186625644</v>
      </c>
      <c r="F4" s="12">
        <f>Table19[[#This Row],[2027]]*(1+$C$4)</f>
        <v>49724.688032815604</v>
      </c>
      <c r="G4" s="12">
        <f>Table19[[#This Row],[2028]]*(1+$C$4)</f>
        <v>57366.282228360324</v>
      </c>
      <c r="H4" s="12">
        <f>Table19[[#This Row],[2029]]*(1+$C$4)</f>
        <v>66182.221888090673</v>
      </c>
      <c r="J4" s="8" t="s">
        <v>191</v>
      </c>
      <c r="K4" s="12">
        <f>'Income Statement'!O7</f>
        <v>22378.26</v>
      </c>
      <c r="L4" s="73">
        <f>'WACC &amp; Key Assumptions'!C17</f>
        <v>9.8728905642452292E-2</v>
      </c>
      <c r="M4" s="12">
        <f>Table22[[#This Row],[2025]]*(1+L4)</f>
        <v>24587.641119982261</v>
      </c>
      <c r="N4" s="12">
        <f>Table22[[#This Row],[2026]]*(1+$L$4)</f>
        <v>27015.152020087469</v>
      </c>
      <c r="O4" s="12">
        <f>Table22[[#This Row],[2027]]*(1+$L$4)</f>
        <v>29682.328414795189</v>
      </c>
      <c r="P4" s="12">
        <f>Table22[[#This Row],[2028]]*(1+$L$4)</f>
        <v>32612.832216107785</v>
      </c>
      <c r="Q4" s="12">
        <f>Table22[[#This Row],[2029]]*(1+$L$4)</f>
        <v>35832.661450705018</v>
      </c>
      <c r="S4" s="8" t="s">
        <v>191</v>
      </c>
      <c r="T4" s="12">
        <f>'Income Statement'!W7</f>
        <v>21917.56</v>
      </c>
      <c r="U4" s="73">
        <f>'WACC &amp; Key Assumptions'!D17</f>
        <v>0.10597139771863917</v>
      </c>
      <c r="V4" s="12">
        <f>Table2226[[#This Row],[2025]]*(1+U4)</f>
        <v>24240.194467782138</v>
      </c>
      <c r="W4" s="12">
        <f>Table2226[[#This Row],[2026]]*(1+$U$4)</f>
        <v>26808.961756504636</v>
      </c>
      <c r="X4" s="12">
        <f>Table2226[[#This Row],[2027]]*(1+$U$4)</f>
        <v>29649.944905226977</v>
      </c>
      <c r="Y4" s="12">
        <f>Table2226[[#This Row],[2028]]*(1+$U$4)</f>
        <v>32791.991009114521</v>
      </c>
      <c r="Z4" s="12">
        <f>Table2226[[#This Row],[2029]]*(1+$U$4)</f>
        <v>36267.004130327434</v>
      </c>
      <c r="AB4" s="8" t="s">
        <v>191</v>
      </c>
      <c r="AC4" s="12">
        <f>'Income Statement'!AE8</f>
        <v>259859.27000000002</v>
      </c>
      <c r="AD4" s="73">
        <f>'WACC &amp; Key Assumptions'!E17</f>
        <v>9.8594624813337584E-2</v>
      </c>
      <c r="AE4" s="12">
        <f>Table222629[[#This Row],[2025]]*(1+AD4)</f>
        <v>285479.99722991779</v>
      </c>
      <c r="AF4" s="12">
        <f>Table222629[[#This Row],[2026]]*(1+$AD$4)</f>
        <v>313626.79044851416</v>
      </c>
      <c r="AG4" s="12">
        <f>Table222629[[#This Row],[2027]]*(1+$AD$4)</f>
        <v>344548.70618419664</v>
      </c>
      <c r="AH4" s="12">
        <f>Table222629[[#This Row],[2028]]*(1+$AD$4)</f>
        <v>378519.35660034837</v>
      </c>
      <c r="AI4" s="12">
        <f>Table222629[[#This Row],[2029]]*(1+$AD$4)</f>
        <v>415839.33054894564</v>
      </c>
      <c r="AK4" s="8" t="s">
        <v>191</v>
      </c>
      <c r="AL4" s="12">
        <f>'Income Statement'!AM7</f>
        <v>23074.799999999999</v>
      </c>
      <c r="AM4" s="73">
        <f>'WACC &amp; Key Assumptions'!F17</f>
        <v>0.14344565897450878</v>
      </c>
      <c r="AN4" s="12">
        <f>Table22262931[[#This Row],[2025]]*(1+AM4)</f>
        <v>26384.779891704995</v>
      </c>
      <c r="AO4" s="12">
        <f>Table22262931[[#This Row],[2026]]*(1+$AM$4)</f>
        <v>30169.562030167985</v>
      </c>
      <c r="AP4" s="12">
        <f>Table22262931[[#This Row],[2027]]*(1+$AM$4)</f>
        <v>34497.254736557748</v>
      </c>
      <c r="AQ4" s="12">
        <f>Table22262931[[#This Row],[2028]]*(1+$AM$4)</f>
        <v>39445.736175054772</v>
      </c>
      <c r="AR4" s="12">
        <f>Table22262931[[#This Row],[2029]]*(1+$AM$4)</f>
        <v>45104.055794420121</v>
      </c>
    </row>
    <row r="5" spans="1:44" x14ac:dyDescent="0.3">
      <c r="A5" s="8" t="s">
        <v>486</v>
      </c>
      <c r="B5" s="12">
        <f>'Income Statement'!G20+'Income Statement'!G15</f>
        <v>15669.340000000004</v>
      </c>
      <c r="C5" s="73">
        <f>'WACC &amp; Key Assumptions'!B18</f>
        <v>0.47045584596862328</v>
      </c>
      <c r="D5" s="12">
        <f>D4*$C$5</f>
        <v>17576.065418846949</v>
      </c>
      <c r="E5" s="12">
        <f t="shared" ref="E5:H5" si="0">E4*$C$5</f>
        <v>20277.121268539526</v>
      </c>
      <c r="F5" s="12">
        <f t="shared" si="0"/>
        <v>23393.270174004141</v>
      </c>
      <c r="G5" s="12">
        <f t="shared" si="0"/>
        <v>26988.302835818056</v>
      </c>
      <c r="H5" s="12">
        <f t="shared" si="0"/>
        <v>31135.813186444833</v>
      </c>
      <c r="J5" s="8" t="s">
        <v>486</v>
      </c>
      <c r="K5" s="12">
        <f>'Income Statement'!O18+'Income Statement'!O13</f>
        <v>1399.3299999999956</v>
      </c>
      <c r="L5" s="73">
        <f>'WACC &amp; Key Assumptions'!C18</f>
        <v>7.0203566157537575E-2</v>
      </c>
      <c r="M5" s="12">
        <f>M4*$L$5</f>
        <v>1726.140090024466</v>
      </c>
      <c r="N5" s="12">
        <f t="shared" ref="N5:Q5" si="1">N4*$L$5</f>
        <v>1896.5600120981455</v>
      </c>
      <c r="O5" s="12">
        <f t="shared" si="1"/>
        <v>2083.8053065778313</v>
      </c>
      <c r="P5" s="12">
        <f t="shared" si="1"/>
        <v>2289.5371240681957</v>
      </c>
      <c r="Q5" s="12">
        <f t="shared" si="1"/>
        <v>2515.5806187552162</v>
      </c>
      <c r="S5" s="8" t="s">
        <v>486</v>
      </c>
      <c r="T5" s="12">
        <f>'Income Statement'!W17+'Income Statement'!W12</f>
        <v>1391.0799999999981</v>
      </c>
      <c r="U5" s="73">
        <f>'WACC &amp; Key Assumptions'!D18</f>
        <v>6.1670003451494711E-2</v>
      </c>
      <c r="V5" s="12">
        <f>V4*$U$5</f>
        <v>1494.8928764930274</v>
      </c>
      <c r="W5" s="12">
        <f t="shared" ref="W5:Z5" si="2">W4*$U$5</f>
        <v>1653.3087640546305</v>
      </c>
      <c r="X5" s="12">
        <f t="shared" si="2"/>
        <v>1828.5122046419758</v>
      </c>
      <c r="Y5" s="12">
        <f t="shared" si="2"/>
        <v>2022.282198713476</v>
      </c>
      <c r="Z5" s="12">
        <f t="shared" si="2"/>
        <v>2236.5862698926658</v>
      </c>
      <c r="AB5" s="8" t="s">
        <v>486</v>
      </c>
      <c r="AC5" s="12">
        <f>'Income Statement'!AE24+'Income Statement'!AE21+'Income Statement'!AE18</f>
        <v>32740.610000000037</v>
      </c>
      <c r="AD5" s="73">
        <f>'WACC &amp; Key Assumptions'!E18</f>
        <v>0.14338295316715571</v>
      </c>
      <c r="AE5" s="12">
        <f>AE4*$AD$5</f>
        <v>40932.965072977044</v>
      </c>
      <c r="AF5" s="12">
        <f t="shared" ref="AF5:AI5" si="3">AF4*$AD$5</f>
        <v>44968.735406844666</v>
      </c>
      <c r="AG5" s="12">
        <f t="shared" si="3"/>
        <v>49402.41100261276</v>
      </c>
      <c r="AH5" s="12">
        <f t="shared" si="3"/>
        <v>54273.223180289664</v>
      </c>
      <c r="AI5" s="12">
        <f t="shared" si="3"/>
        <v>59624.271257160857</v>
      </c>
      <c r="AK5" s="8" t="s">
        <v>486</v>
      </c>
      <c r="AL5" s="12">
        <f>'Income Statement'!AM16+'Income Statement'!AM11</f>
        <v>2517.4599999999973</v>
      </c>
      <c r="AM5" s="73">
        <f>'WACC &amp; Key Assumptions'!F18</f>
        <v>9.5377141177429112E-2</v>
      </c>
      <c r="AN5" s="12">
        <f>AN4*$AM$5</f>
        <v>2516.50487666654</v>
      </c>
      <c r="AO5" s="12">
        <f t="shared" ref="AO5:AR5" si="4">AO4*$AM$5</f>
        <v>2877.4865770125366</v>
      </c>
      <c r="AP5" s="12">
        <f t="shared" si="4"/>
        <v>3290.2495352424035</v>
      </c>
      <c r="AQ5" s="12">
        <f t="shared" si="4"/>
        <v>3762.2215480158216</v>
      </c>
      <c r="AR5" s="12">
        <f t="shared" si="4"/>
        <v>4301.8958971790471</v>
      </c>
    </row>
    <row r="6" spans="1:44" x14ac:dyDescent="0.3">
      <c r="A6" s="8" t="s">
        <v>487</v>
      </c>
      <c r="B6" s="12">
        <f>'Income Statement'!G29</f>
        <v>1968.36</v>
      </c>
      <c r="C6" s="73">
        <v>0.25</v>
      </c>
      <c r="D6" s="12">
        <f>D5*$C$6</f>
        <v>4394.0163547117372</v>
      </c>
      <c r="E6" s="12">
        <f t="shared" ref="E6:H6" si="5">E5*$C$6</f>
        <v>5069.2803171348814</v>
      </c>
      <c r="F6" s="12">
        <f t="shared" si="5"/>
        <v>5848.3175435010353</v>
      </c>
      <c r="G6" s="12">
        <f t="shared" si="5"/>
        <v>6747.0757089545141</v>
      </c>
      <c r="H6" s="12">
        <f t="shared" si="5"/>
        <v>7783.9532966112083</v>
      </c>
      <c r="J6" s="8" t="s">
        <v>487</v>
      </c>
      <c r="K6" s="12">
        <f>'Income Statement'!O26</f>
        <v>255.53</v>
      </c>
      <c r="L6" s="73">
        <v>0.25</v>
      </c>
      <c r="M6" s="12">
        <f>M5*$L$6</f>
        <v>431.53502250611649</v>
      </c>
      <c r="N6" s="12">
        <f t="shared" ref="N6:Q6" si="6">N5*$L$6</f>
        <v>474.14000302453638</v>
      </c>
      <c r="O6" s="12">
        <f t="shared" si="6"/>
        <v>520.95132664445782</v>
      </c>
      <c r="P6" s="12">
        <f t="shared" si="6"/>
        <v>572.38428101704892</v>
      </c>
      <c r="Q6" s="12">
        <f t="shared" si="6"/>
        <v>628.89515468880404</v>
      </c>
      <c r="S6" s="8" t="s">
        <v>487</v>
      </c>
      <c r="T6" s="12">
        <f>'Income Statement'!W23</f>
        <v>156.75</v>
      </c>
      <c r="U6" s="73">
        <f>0.25</f>
        <v>0.25</v>
      </c>
      <c r="V6" s="12">
        <f>V5*$U$6</f>
        <v>373.72321912325685</v>
      </c>
      <c r="W6" s="12">
        <f t="shared" ref="W6:Z6" si="7">W5*$U$6</f>
        <v>413.32719101365763</v>
      </c>
      <c r="X6" s="12">
        <f t="shared" si="7"/>
        <v>457.12805116049395</v>
      </c>
      <c r="Y6" s="12">
        <f t="shared" si="7"/>
        <v>505.57054967836899</v>
      </c>
      <c r="Z6" s="12">
        <f t="shared" si="7"/>
        <v>559.14656747316644</v>
      </c>
      <c r="AB6" s="8" t="s">
        <v>487</v>
      </c>
      <c r="AC6" s="12">
        <f>ABS('Income Statement'!AE34)</f>
        <v>5891.4</v>
      </c>
      <c r="AD6" s="73">
        <v>0.25</v>
      </c>
      <c r="AE6" s="12">
        <f>AE5*$AD$6</f>
        <v>10233.241268244261</v>
      </c>
      <c r="AF6" s="12">
        <f t="shared" ref="AF6:AI6" si="8">AF5*$AD$6</f>
        <v>11242.183851711166</v>
      </c>
      <c r="AG6" s="12">
        <f t="shared" si="8"/>
        <v>12350.60275065319</v>
      </c>
      <c r="AH6" s="12">
        <f t="shared" si="8"/>
        <v>13568.305795072416</v>
      </c>
      <c r="AI6" s="12">
        <f t="shared" si="8"/>
        <v>14906.067814290214</v>
      </c>
      <c r="AK6" s="8" t="s">
        <v>487</v>
      </c>
      <c r="AL6" s="12">
        <f>'Income Statement'!AM24</f>
        <v>479.44</v>
      </c>
      <c r="AM6" s="73">
        <v>0.25</v>
      </c>
      <c r="AN6" s="12">
        <f>AN5*$AM$6</f>
        <v>629.126219166635</v>
      </c>
      <c r="AO6" s="12">
        <f t="shared" ref="AO6:AR6" si="9">AO5*$AM$6</f>
        <v>719.37164425313415</v>
      </c>
      <c r="AP6" s="12">
        <f t="shared" si="9"/>
        <v>822.56238381060086</v>
      </c>
      <c r="AQ6" s="12">
        <f t="shared" si="9"/>
        <v>940.55538700395539</v>
      </c>
      <c r="AR6" s="12">
        <f t="shared" si="9"/>
        <v>1075.4739742947618</v>
      </c>
    </row>
    <row r="7" spans="1:44" s="2" customFormat="1" x14ac:dyDescent="0.3">
      <c r="A7" s="5" t="s">
        <v>488</v>
      </c>
      <c r="B7" s="27">
        <f>B5-B6</f>
        <v>13700.980000000003</v>
      </c>
      <c r="C7" s="124"/>
      <c r="D7" s="27">
        <f>D5-D6</f>
        <v>13182.049064135212</v>
      </c>
      <c r="E7" s="27">
        <f t="shared" ref="E7:H7" si="10">E5-E6</f>
        <v>15207.840951404643</v>
      </c>
      <c r="F7" s="27">
        <f t="shared" si="10"/>
        <v>17544.952630503107</v>
      </c>
      <c r="G7" s="27">
        <f t="shared" si="10"/>
        <v>20241.227126863541</v>
      </c>
      <c r="H7" s="27">
        <f t="shared" si="10"/>
        <v>23351.859889833624</v>
      </c>
      <c r="J7" s="5" t="s">
        <v>488</v>
      </c>
      <c r="K7" s="27">
        <f>K5-K6</f>
        <v>1143.7999999999956</v>
      </c>
      <c r="L7" s="27"/>
      <c r="M7" s="27">
        <f t="shared" ref="M7:Q7" si="11">M5-M6</f>
        <v>1294.6050675183494</v>
      </c>
      <c r="N7" s="27">
        <f t="shared" si="11"/>
        <v>1422.4200090736092</v>
      </c>
      <c r="O7" s="27">
        <f t="shared" si="11"/>
        <v>1562.8539799333735</v>
      </c>
      <c r="P7" s="27">
        <f t="shared" si="11"/>
        <v>1717.1528430511466</v>
      </c>
      <c r="Q7" s="27">
        <f t="shared" si="11"/>
        <v>1886.6854640664121</v>
      </c>
      <c r="S7" s="5" t="s">
        <v>488</v>
      </c>
      <c r="T7" s="27">
        <f>T5-T6</f>
        <v>1234.3299999999981</v>
      </c>
      <c r="U7" s="27"/>
      <c r="V7" s="27">
        <f t="shared" ref="V7:Z7" si="12">V5-V6</f>
        <v>1121.1696573697704</v>
      </c>
      <c r="W7" s="27">
        <f t="shared" si="12"/>
        <v>1239.9815730409728</v>
      </c>
      <c r="X7" s="27">
        <f t="shared" si="12"/>
        <v>1371.3841534814819</v>
      </c>
      <c r="Y7" s="27">
        <f t="shared" si="12"/>
        <v>1516.711649035107</v>
      </c>
      <c r="Z7" s="27">
        <f t="shared" si="12"/>
        <v>1677.4397024194993</v>
      </c>
      <c r="AB7" s="5" t="s">
        <v>488</v>
      </c>
      <c r="AC7" s="27">
        <f>AC5-AC6</f>
        <v>26849.210000000036</v>
      </c>
      <c r="AD7" s="27"/>
      <c r="AE7" s="27">
        <f>AE5-AE6</f>
        <v>30699.723804732785</v>
      </c>
      <c r="AF7" s="27">
        <f t="shared" ref="AF7:AI7" si="13">AF5-AF6</f>
        <v>33726.551555133497</v>
      </c>
      <c r="AG7" s="27">
        <f t="shared" si="13"/>
        <v>37051.80825195957</v>
      </c>
      <c r="AH7" s="27">
        <f t="shared" si="13"/>
        <v>40704.917385217246</v>
      </c>
      <c r="AI7" s="27">
        <f t="shared" si="13"/>
        <v>44718.203442870639</v>
      </c>
      <c r="AK7" s="5" t="s">
        <v>488</v>
      </c>
      <c r="AL7" s="27">
        <f>AL5-AL6</f>
        <v>2038.0199999999973</v>
      </c>
      <c r="AM7" s="27"/>
      <c r="AN7" s="27">
        <f>AN5-AN6</f>
        <v>1887.3786574999049</v>
      </c>
      <c r="AO7" s="27">
        <f t="shared" ref="AO7:AR7" si="14">AO5-AO6</f>
        <v>2158.1149327594026</v>
      </c>
      <c r="AP7" s="27">
        <f t="shared" si="14"/>
        <v>2467.6871514318027</v>
      </c>
      <c r="AQ7" s="27">
        <f t="shared" si="14"/>
        <v>2821.6661610118663</v>
      </c>
      <c r="AR7" s="27">
        <f t="shared" si="14"/>
        <v>3226.4219228842853</v>
      </c>
    </row>
    <row r="8" spans="1:44" x14ac:dyDescent="0.3">
      <c r="A8" s="8" t="s">
        <v>482</v>
      </c>
      <c r="B8" s="12">
        <f>'Income Statement'!G16</f>
        <v>4378.93</v>
      </c>
      <c r="C8" s="73">
        <f>'WACC &amp; Key Assumptions'!B19</f>
        <v>0.14225292030236023</v>
      </c>
      <c r="D8" s="12">
        <f>D4*$C$8</f>
        <v>5314.5192150998519</v>
      </c>
      <c r="E8" s="12">
        <f t="shared" ref="E8:H8" si="15">E4*$C$8</f>
        <v>6131.244282523433</v>
      </c>
      <c r="F8" s="12">
        <f t="shared" si="15"/>
        <v>7073.4820837918433</v>
      </c>
      <c r="G8" s="12">
        <f t="shared" si="15"/>
        <v>8160.5211738736452</v>
      </c>
      <c r="H8" s="12">
        <f t="shared" si="15"/>
        <v>9414.6143356796838</v>
      </c>
      <c r="J8" s="8" t="s">
        <v>482</v>
      </c>
      <c r="K8" s="12">
        <f>'Income Statement'!O14</f>
        <v>497.27</v>
      </c>
      <c r="L8" s="73">
        <f>'WACC &amp; Key Assumptions'!C19</f>
        <v>2.4488944758210306E-2</v>
      </c>
      <c r="M8" s="12">
        <f>M4*$L$8</f>
        <v>602.12538512194578</v>
      </c>
      <c r="N8" s="12">
        <f t="shared" ref="N8:Q8" si="16">N4*$L$8</f>
        <v>661.57256545457562</v>
      </c>
      <c r="O8" s="12">
        <f t="shared" si="16"/>
        <v>726.88890084497541</v>
      </c>
      <c r="P8" s="12">
        <f t="shared" si="16"/>
        <v>798.65384654904494</v>
      </c>
      <c r="Q8" s="12">
        <f t="shared" si="16"/>
        <v>877.50406680596711</v>
      </c>
      <c r="S8" s="8" t="s">
        <v>482</v>
      </c>
      <c r="T8" s="12">
        <f>'Income Statement'!W14</f>
        <v>183.68</v>
      </c>
      <c r="U8" s="73">
        <f>'WACC &amp; Key Assumptions'!D19</f>
        <v>1.0075203839571263E-2</v>
      </c>
      <c r="V8" s="12">
        <f>V4*$U$8</f>
        <v>244.22490037375266</v>
      </c>
      <c r="W8" s="12">
        <f t="shared" ref="W8:Z8" si="17">W4*$U$8</f>
        <v>270.10575442405462</v>
      </c>
      <c r="X8" s="12">
        <f t="shared" si="17"/>
        <v>298.72923875221926</v>
      </c>
      <c r="Y8" s="12">
        <f t="shared" si="17"/>
        <v>330.38599372221694</v>
      </c>
      <c r="Z8" s="12">
        <f t="shared" si="17"/>
        <v>365.39745926362178</v>
      </c>
      <c r="AB8" s="8" t="s">
        <v>482</v>
      </c>
      <c r="AC8" s="12">
        <f>'Income Statement'!AE22</f>
        <v>4121.18</v>
      </c>
      <c r="AD8" s="73">
        <f>'WACC &amp; Key Assumptions'!E19</f>
        <v>1.7558630648769103E-2</v>
      </c>
      <c r="AE8" s="12">
        <f>AE4*$AD$8</f>
        <v>5012.6378289717532</v>
      </c>
      <c r="AF8" s="12">
        <f t="shared" ref="AF8:AI8" si="18">AF4*$AD$8</f>
        <v>5506.8569750443658</v>
      </c>
      <c r="AG8" s="12">
        <f t="shared" si="18"/>
        <v>6049.8034723995761</v>
      </c>
      <c r="AH8" s="12">
        <f t="shared" si="18"/>
        <v>6646.2815759552386</v>
      </c>
      <c r="AI8" s="12">
        <f t="shared" si="18"/>
        <v>7301.569214340343</v>
      </c>
      <c r="AK8" s="8" t="s">
        <v>482</v>
      </c>
      <c r="AL8" s="12">
        <f>'Income Statement'!AM12</f>
        <v>20.94</v>
      </c>
      <c r="AM8" s="76">
        <f>'WACC &amp; Key Assumptions'!F19</f>
        <v>1.06934258927164E-3</v>
      </c>
      <c r="AN8" s="12">
        <f>AN4*$AM$8</f>
        <v>28.21436884675812</v>
      </c>
      <c r="AO8" s="12">
        <f t="shared" ref="AO8:AR8" si="19">AO4*$AM$8</f>
        <v>32.261597578531187</v>
      </c>
      <c r="AP8" s="12">
        <f t="shared" si="19"/>
        <v>36.88938370275401</v>
      </c>
      <c r="AQ8" s="12">
        <f t="shared" si="19"/>
        <v>42.181005657159069</v>
      </c>
      <c r="AR8" s="12">
        <f t="shared" si="19"/>
        <v>48.231687809857732</v>
      </c>
    </row>
    <row r="9" spans="1:44" x14ac:dyDescent="0.3">
      <c r="A9" s="8" t="s">
        <v>483</v>
      </c>
      <c r="B9" s="12">
        <f>ABS('Cash Flow Statement'!G41)</f>
        <v>8048.92</v>
      </c>
      <c r="C9" s="73">
        <f>'WACC &amp; Key Assumptions'!B20</f>
        <v>0.2601827433027597</v>
      </c>
      <c r="D9" s="12">
        <f>D4*$C$9</f>
        <v>9720.3360449885022</v>
      </c>
      <c r="E9" s="12">
        <f t="shared" ref="E9:H9" si="20">E4*$C$9</f>
        <v>11214.138549110965</v>
      </c>
      <c r="F9" s="12">
        <f t="shared" si="20"/>
        <v>12937.505742251869</v>
      </c>
      <c r="G9" s="12">
        <f t="shared" si="20"/>
        <v>14925.716683255139</v>
      </c>
      <c r="H9" s="12">
        <f t="shared" si="20"/>
        <v>17219.472048715379</v>
      </c>
      <c r="J9" s="8" t="s">
        <v>483</v>
      </c>
      <c r="K9" s="12">
        <f>ABS('Cash Flow Statement'!O31)</f>
        <v>574.62</v>
      </c>
      <c r="L9" s="73">
        <f>'WACC &amp; Key Assumptions'!C20</f>
        <v>2.7623216381222393E-2</v>
      </c>
      <c r="M9" s="12">
        <f>M4*$L$9</f>
        <v>679.18973096111131</v>
      </c>
      <c r="N9" s="12">
        <f t="shared" ref="N9:Q9" si="21">N4*$L$9</f>
        <v>746.24538982249339</v>
      </c>
      <c r="O9" s="12">
        <f t="shared" si="21"/>
        <v>819.92138050039341</v>
      </c>
      <c r="P9" s="12">
        <f t="shared" si="21"/>
        <v>900.87132111004598</v>
      </c>
      <c r="Q9" s="12">
        <f t="shared" si="21"/>
        <v>989.81336076791104</v>
      </c>
      <c r="S9" s="8" t="s">
        <v>483</v>
      </c>
      <c r="T9" s="12">
        <f>ABS('Cash Flow Statement'!W35)</f>
        <v>182.52</v>
      </c>
      <c r="U9" s="73">
        <f>'WACC &amp; Key Assumptions'!D20</f>
        <v>1.1500054296040367E-2</v>
      </c>
      <c r="V9" s="12">
        <f>V4*$U$9</f>
        <v>278.76355252607192</v>
      </c>
      <c r="W9" s="12">
        <f t="shared" ref="W9:Z9" si="22">W4*$U$9</f>
        <v>308.30451582027302</v>
      </c>
      <c r="X9" s="12">
        <f t="shared" si="22"/>
        <v>340.97597628471567</v>
      </c>
      <c r="Y9" s="12">
        <f t="shared" si="22"/>
        <v>377.10967708008451</v>
      </c>
      <c r="Z9" s="12">
        <f t="shared" si="22"/>
        <v>417.07251665348571</v>
      </c>
      <c r="AB9" s="8" t="s">
        <v>483</v>
      </c>
      <c r="AC9" s="12">
        <f>ABS('Cash Flow Statement'!AE38)</f>
        <v>4418.83</v>
      </c>
      <c r="AD9" s="73">
        <f>'WACC &amp; Key Assumptions'!E20</f>
        <v>1.918212600973342E-2</v>
      </c>
      <c r="AE9" s="12">
        <f>AE4*$AD$9</f>
        <v>5476.1132801226304</v>
      </c>
      <c r="AF9" s="12">
        <f t="shared" ref="AF9:AI9" si="23">AF4*$AD$9</f>
        <v>6016.0286144116562</v>
      </c>
      <c r="AG9" s="12">
        <f t="shared" si="23"/>
        <v>6609.1766985158765</v>
      </c>
      <c r="AH9" s="12">
        <f t="shared" si="23"/>
        <v>7260.805995431102</v>
      </c>
      <c r="AI9" s="12">
        <f t="shared" si="23"/>
        <v>7976.6824383930634</v>
      </c>
      <c r="AK9" s="8" t="s">
        <v>483</v>
      </c>
      <c r="AL9" s="12">
        <f>ABS('Cash Flow Statement'!AM37)</f>
        <v>431.63</v>
      </c>
      <c r="AM9" s="73">
        <f>'WACC &amp; Key Assumptions'!F20</f>
        <v>6.0259862970188233E-3</v>
      </c>
      <c r="AN9" s="12">
        <f>AN4*$AM$9</f>
        <v>158.9943220772721</v>
      </c>
      <c r="AO9" s="12">
        <f t="shared" ref="AO9:AR9" si="24">AO4*$AM$9</f>
        <v>181.80136738085167</v>
      </c>
      <c r="AP9" s="12">
        <f t="shared" si="24"/>
        <v>207.87998432726468</v>
      </c>
      <c r="AQ9" s="12">
        <f t="shared" si="24"/>
        <v>237.69946566669975</v>
      </c>
      <c r="AR9" s="12">
        <f t="shared" si="24"/>
        <v>271.79642215714813</v>
      </c>
    </row>
    <row r="10" spans="1:44" x14ac:dyDescent="0.3">
      <c r="A10" s="61" t="s">
        <v>489</v>
      </c>
      <c r="B10" s="12">
        <f>('Balance Sheet'!G70-'Balance Sheet'!F70)</f>
        <v>-3051.2900000000009</v>
      </c>
      <c r="C10" s="73">
        <f>ABS(('Balance Sheet'!G70)/'Balance Sheet'!B70)^(1/6)-1</f>
        <v>-0.17902492457438879</v>
      </c>
      <c r="D10" s="12">
        <f>Table19[[#This Row],[2025]]*(1+C10)</f>
        <v>-2505.0330378954141</v>
      </c>
      <c r="E10" s="12">
        <f>Table19[[#This Row],[2026]]*(1+$C$10)</f>
        <v>-2056.5696872298354</v>
      </c>
      <c r="F10" s="12">
        <f>Table19[[#This Row],[2027]]*(1+$C$10)</f>
        <v>-1688.3924540915398</v>
      </c>
      <c r="G10" s="12">
        <f>Table19[[#This Row],[2028]]*(1+$C$10)</f>
        <v>-1386.1281223458348</v>
      </c>
      <c r="H10" s="12">
        <f>Table19[[#This Row],[2029]]*(1+$C$10)</f>
        <v>-1137.9766397924325</v>
      </c>
      <c r="J10" s="8" t="s">
        <v>489</v>
      </c>
      <c r="K10" s="12">
        <f>'Balance Sheet'!O70-'Balance Sheet'!N70</f>
        <v>991.32000000000153</v>
      </c>
      <c r="L10" s="73">
        <f>('Balance Sheet'!O70/'Balance Sheet'!J70)^(1/6)-1</f>
        <v>0.10226455083581976</v>
      </c>
      <c r="M10" s="12">
        <f>Table22[[#This Row],[2025]]*(1+L10)</f>
        <v>1092.6968945345666</v>
      </c>
      <c r="N10" s="12">
        <f>Table22[[#This Row],[2026]]*(1+$L$10)</f>
        <v>1204.4410516538392</v>
      </c>
      <c r="O10" s="12">
        <f>Table22[[#This Row],[2027]]*(1+$L$10)</f>
        <v>1327.6126748094414</v>
      </c>
      <c r="P10" s="12">
        <f>Table22[[#This Row],[2028]]*(1+$L$10)</f>
        <v>1463.3803886827702</v>
      </c>
      <c r="Q10" s="12">
        <f>Table22[[#This Row],[2029]]*(1+$L$10)</f>
        <v>1613.0323268333611</v>
      </c>
      <c r="S10" s="8" t="s">
        <v>489</v>
      </c>
      <c r="T10" s="12">
        <f>'Balance Sheet'!W70-'Balance Sheet'!V70</f>
        <v>1535.6099999999969</v>
      </c>
      <c r="U10" s="73">
        <f>('Balance Sheet'!W70/'Balance Sheet'!R70)^(1/6)-1</f>
        <v>0.15991639361023946</v>
      </c>
      <c r="V10" s="12">
        <f>Table2226[[#This Row],[2025]]*(1+U10)</f>
        <v>1781.1792131918162</v>
      </c>
      <c r="W10" s="12">
        <f>Table2226[[#This Row],[2026]]*(1+$U$10)</f>
        <v>2066.0189693389752</v>
      </c>
      <c r="X10" s="12">
        <f>Table2226[[#This Row],[2027]]*(1+$U$10)</f>
        <v>2396.409272046008</v>
      </c>
      <c r="Y10" s="12">
        <f>Table2226[[#This Row],[2028]]*(1+$U$10)</f>
        <v>2779.6344004457451</v>
      </c>
      <c r="Z10" s="12">
        <f>Table2226[[#This Row],[2029]]*(1+$U$10)</f>
        <v>3224.1435093199889</v>
      </c>
      <c r="AB10" s="8" t="s">
        <v>489</v>
      </c>
      <c r="AC10" s="12">
        <f>'Balance Sheet'!AE70-'Balance Sheet'!AD70</f>
        <v>1891.670000000071</v>
      </c>
      <c r="AD10" s="73">
        <f>('Balance Sheet'!AE70/'Balance Sheet'!Z70)^(1/6)-1</f>
        <v>0.20375817203425961</v>
      </c>
      <c r="AE10" s="12">
        <f>Table222629[[#This Row],[2025]]*(1+AD10)</f>
        <v>2277.1132212921334</v>
      </c>
      <c r="AF10" s="12">
        <f>Table222629[[#This Row],[2026]]*(1+$AD$10)</f>
        <v>2741.093648777663</v>
      </c>
      <c r="AG10" s="12">
        <f>Table222629[[#This Row],[2027]]*(1+$AD$10)</f>
        <v>3299.6138800273184</v>
      </c>
      <c r="AH10" s="12">
        <f>Table222629[[#This Row],[2028]]*(1+$AD$10)</f>
        <v>3971.9371726405557</v>
      </c>
      <c r="AI10" s="12">
        <f>Table222629[[#This Row],[2029]]*(1+$AD$10)</f>
        <v>4781.2518303727211</v>
      </c>
      <c r="AK10" s="8" t="s">
        <v>489</v>
      </c>
      <c r="AL10" s="12">
        <f>'Balance Sheet'!AM70-'Balance Sheet'!AL70</f>
        <v>697.73000000000229</v>
      </c>
      <c r="AM10" s="73">
        <f>('Balance Sheet'!AM70/'Balance Sheet'!AK70)^(1/6)-1</f>
        <v>4.1191938791167448E-2</v>
      </c>
      <c r="AN10" s="12">
        <f>Table22262931[[#This Row],[2025]]*(1+$AM$10)</f>
        <v>726.47085145276367</v>
      </c>
      <c r="AO10" s="12">
        <f>Table22262931[[#This Row],[2026]]*(1+$AM$10)</f>
        <v>756.39559429937322</v>
      </c>
      <c r="AP10" s="12">
        <f>Table22262931[[#This Row],[2027]]*(1+$AM$10)</f>
        <v>787.55299532166168</v>
      </c>
      <c r="AQ10" s="12">
        <f>Table22262931[[#This Row],[2028]]*(1+$AM$10)</f>
        <v>819.99383009975213</v>
      </c>
      <c r="AR10" s="12">
        <f>Table22262931[[#This Row],[2029]]*(1+$AM$10)</f>
        <v>853.77096575835606</v>
      </c>
    </row>
    <row r="11" spans="1:44" s="2" customFormat="1" x14ac:dyDescent="0.3">
      <c r="A11" s="5" t="s">
        <v>490</v>
      </c>
      <c r="B11" s="27">
        <f>B7+B8-B9-B10</f>
        <v>13082.280000000004</v>
      </c>
      <c r="C11" s="27"/>
      <c r="D11" s="27">
        <f t="shared" ref="D11:H11" si="25">D7+D8-D9-D10</f>
        <v>11281.265272141976</v>
      </c>
      <c r="E11" s="27">
        <f t="shared" si="25"/>
        <v>12181.516372046946</v>
      </c>
      <c r="F11" s="27">
        <f t="shared" si="25"/>
        <v>13369.321426134618</v>
      </c>
      <c r="G11" s="27">
        <f t="shared" si="25"/>
        <v>14862.159739827881</v>
      </c>
      <c r="H11" s="27">
        <f t="shared" si="25"/>
        <v>16684.978816590363</v>
      </c>
      <c r="J11" s="5" t="s">
        <v>490</v>
      </c>
      <c r="K11" s="27">
        <f>K7+K8-K9-K10</f>
        <v>75.129999999994197</v>
      </c>
      <c r="L11" s="27"/>
      <c r="M11" s="27">
        <f t="shared" ref="M11:Q11" si="26">M7+M8-M9-M10</f>
        <v>124.84382714461731</v>
      </c>
      <c r="N11" s="27">
        <f t="shared" si="26"/>
        <v>133.30613305185216</v>
      </c>
      <c r="O11" s="27">
        <f t="shared" si="26"/>
        <v>142.20882546851431</v>
      </c>
      <c r="P11" s="27">
        <f t="shared" si="26"/>
        <v>151.55497980737528</v>
      </c>
      <c r="Q11" s="27">
        <f t="shared" si="26"/>
        <v>161.34384327110706</v>
      </c>
      <c r="S11" s="5" t="s">
        <v>490</v>
      </c>
      <c r="T11" s="27">
        <f>T7+T8-T9-T10</f>
        <v>-300.11999999999875</v>
      </c>
      <c r="U11" s="27"/>
      <c r="V11" s="27">
        <f t="shared" ref="V11:Z11" si="27">V7+V8-V9-V10</f>
        <v>-694.54820797436491</v>
      </c>
      <c r="W11" s="27">
        <f t="shared" si="27"/>
        <v>-864.23615769422099</v>
      </c>
      <c r="X11" s="27">
        <f t="shared" si="27"/>
        <v>-1067.2718560970225</v>
      </c>
      <c r="Y11" s="27">
        <f t="shared" si="27"/>
        <v>-1309.6464347685057</v>
      </c>
      <c r="Z11" s="27">
        <f t="shared" si="27"/>
        <v>-1598.3788642903535</v>
      </c>
      <c r="AB11" s="5" t="s">
        <v>490</v>
      </c>
      <c r="AC11" s="27">
        <f>AC7+AC8-AC9-AC10</f>
        <v>24659.889999999963</v>
      </c>
      <c r="AD11" s="27"/>
      <c r="AE11" s="27">
        <f t="shared" ref="AE11:AI11" si="28">AE7+AE8-AE9-AE10</f>
        <v>27959.135132289775</v>
      </c>
      <c r="AF11" s="27">
        <f t="shared" si="28"/>
        <v>30476.286266988544</v>
      </c>
      <c r="AG11" s="27">
        <f t="shared" si="28"/>
        <v>33192.821145815949</v>
      </c>
      <c r="AH11" s="27">
        <f t="shared" si="28"/>
        <v>36118.455793100824</v>
      </c>
      <c r="AI11" s="27">
        <f t="shared" si="28"/>
        <v>39261.838388445198</v>
      </c>
      <c r="AK11" s="5" t="s">
        <v>490</v>
      </c>
      <c r="AL11" s="27">
        <f>AL7+AL8-AL9-AL10</f>
        <v>929.59999999999491</v>
      </c>
      <c r="AM11" s="27"/>
      <c r="AN11" s="27">
        <f t="shared" ref="AN11:AR11" si="29">AN7+AN8-AN9-AN10</f>
        <v>1030.1278528166272</v>
      </c>
      <c r="AO11" s="27">
        <f t="shared" si="29"/>
        <v>1252.1795686577088</v>
      </c>
      <c r="AP11" s="27">
        <f t="shared" si="29"/>
        <v>1509.1435554856305</v>
      </c>
      <c r="AQ11" s="27">
        <f t="shared" si="29"/>
        <v>1806.1538709025733</v>
      </c>
      <c r="AR11" s="27">
        <f t="shared" si="29"/>
        <v>2149.0862227786388</v>
      </c>
    </row>
    <row r="12" spans="1:44" x14ac:dyDescent="0.3">
      <c r="A12" s="59" t="s">
        <v>498</v>
      </c>
      <c r="B12" s="38"/>
      <c r="C12" s="74"/>
      <c r="D12" s="75">
        <f ca="1">1/(1+'WACC &amp; Key Assumptions'!$B$16)^1</f>
        <v>0.87176807491038433</v>
      </c>
      <c r="E12" s="75">
        <f ca="1">1/(1+'WACC &amp; Key Assumptions'!$B$16)^2</f>
        <v>0.75997957643295755</v>
      </c>
      <c r="F12" s="75">
        <f ca="1">1/(1+'WACC &amp; Key Assumptions'!$B$16)^3</f>
        <v>0.6625259323181687</v>
      </c>
      <c r="G12" s="75">
        <f ca="1">1/(1+'WACC &amp; Key Assumptions'!$B$16)^4</f>
        <v>0.57756895659521756</v>
      </c>
      <c r="H12" s="75">
        <f ca="1">1/(1+'WACC &amp; Key Assumptions'!$B$16)^5</f>
        <v>0.50350617741901216</v>
      </c>
      <c r="J12" s="8" t="s">
        <v>498</v>
      </c>
      <c r="K12" s="12"/>
      <c r="L12" s="73"/>
      <c r="M12" s="67">
        <f ca="1">1/(1+'WACC &amp; Key Assumptions'!$C$16)^1</f>
        <v>0.90551813542218351</v>
      </c>
      <c r="N12" s="67">
        <f ca="1">1/(1+'WACC &amp; Key Assumptions'!$C$16)^2</f>
        <v>0.81996309357846775</v>
      </c>
      <c r="O12" s="67">
        <f ca="1">1/(1+'WACC &amp; Key Assumptions'!$C$16)^3</f>
        <v>0.74249145161217944</v>
      </c>
      <c r="P12" s="67">
        <f ca="1">1/(1+'WACC &amp; Key Assumptions'!$C$16)^4</f>
        <v>0.67233947483077106</v>
      </c>
      <c r="Q12" s="67">
        <f ca="1">1/(1+'WACC &amp; Key Assumptions'!$C$16)^5</f>
        <v>0.60881558761948984</v>
      </c>
      <c r="S12" s="8" t="s">
        <v>498</v>
      </c>
      <c r="T12" s="12"/>
      <c r="U12" s="73"/>
      <c r="V12" s="67">
        <f ca="1">1/(1+'WACC &amp; Key Assumptions'!$D$16)^1</f>
        <v>0.8982781699023703</v>
      </c>
      <c r="W12" s="67">
        <f ca="1">1/(1+'WACC &amp; Key Assumptions'!$D$16)^2</f>
        <v>0.80690367052315182</v>
      </c>
      <c r="X12" s="67">
        <f ca="1">1/(1+'WACC &amp; Key Assumptions'!$D$16)^3</f>
        <v>0.72482395244504194</v>
      </c>
      <c r="Y12" s="67">
        <f ca="1">1/(1+'WACC &amp; Key Assumptions'!$D$16)^4</f>
        <v>0.65109353350373511</v>
      </c>
      <c r="Z12" s="67">
        <f ca="1">1/(1+'WACC &amp; Key Assumptions'!$D$16)^5</f>
        <v>0.58486310771100281</v>
      </c>
      <c r="AB12" s="8" t="s">
        <v>498</v>
      </c>
      <c r="AC12" s="12"/>
      <c r="AD12" s="73"/>
      <c r="AE12" s="67">
        <f ca="1">1/(1+'WACC &amp; Key Assumptions'!$E$16)^1</f>
        <v>0.88586766133895001</v>
      </c>
      <c r="AF12" s="67">
        <f ca="1">1/(1+'WACC &amp; Key Assumptions'!$E$16)^2</f>
        <v>0.78476151340614053</v>
      </c>
      <c r="AG12" s="67">
        <f ca="1">1/(1+'WACC &amp; Key Assumptions'!$E$16)^3</f>
        <v>0.69519484658991271</v>
      </c>
      <c r="AH12" s="67">
        <f ca="1">1/(1+'WACC &amp; Key Assumptions'!$E$16)^4</f>
        <v>0.61585063292349618</v>
      </c>
      <c r="AI12" s="67">
        <f ca="1">1/(1+'WACC &amp; Key Assumptions'!$E$16)^5</f>
        <v>0.54556215992204971</v>
      </c>
      <c r="AK12" s="8" t="s">
        <v>498</v>
      </c>
      <c r="AL12" s="12"/>
      <c r="AM12" s="73"/>
      <c r="AN12" s="67">
        <f ca="1">1/(1+'WACC &amp; Key Assumptions'!$F$16)^1</f>
        <v>0.86739394627544741</v>
      </c>
      <c r="AO12" s="67">
        <f ca="1">1/(1+'WACC &amp; Key Assumptions'!$F$16)^2</f>
        <v>0.75237225803529384</v>
      </c>
      <c r="AP12" s="67">
        <f ca="1">1/(1+'WACC &amp; Key Assumptions'!$F$16)^3</f>
        <v>0.65260314196540281</v>
      </c>
      <c r="AQ12" s="67">
        <f ca="1">1/(1+'WACC &amp; Key Assumptions'!$F$16)^4</f>
        <v>0.56606401466112688</v>
      </c>
      <c r="AR12" s="67">
        <f ca="1">1/(1+'WACC &amp; Key Assumptions'!$F$16)^5</f>
        <v>0.49100049952143759</v>
      </c>
    </row>
    <row r="13" spans="1:44" x14ac:dyDescent="0.3">
      <c r="A13" s="59" t="s">
        <v>499</v>
      </c>
      <c r="B13" s="38"/>
      <c r="C13" s="74"/>
      <c r="D13" s="38">
        <f ca="1">D11*D12</f>
        <v>9834.6469088485828</v>
      </c>
      <c r="E13" s="38">
        <f t="shared" ref="E13:H13" ca="1" si="30">E11*E12</f>
        <v>9257.7036527393757</v>
      </c>
      <c r="F13" s="38">
        <f t="shared" ca="1" si="30"/>
        <v>8857.522142311107</v>
      </c>
      <c r="G13" s="38">
        <f t="shared" ca="1" si="30"/>
        <v>8583.9220936838392</v>
      </c>
      <c r="H13" s="38">
        <f t="shared" ca="1" si="30"/>
        <v>8400.9899042586076</v>
      </c>
      <c r="J13" s="8" t="s">
        <v>499</v>
      </c>
      <c r="K13" s="12"/>
      <c r="L13" s="73"/>
      <c r="M13" s="12">
        <f ca="1">M11*M12</f>
        <v>113.04834957496324</v>
      </c>
      <c r="N13" s="12">
        <f t="shared" ref="N13:Q13" ca="1" si="31">N11*N12</f>
        <v>109.30610925017952</v>
      </c>
      <c r="O13" s="12">
        <f t="shared" ca="1" si="31"/>
        <v>105.58883725418026</v>
      </c>
      <c r="P13" s="12">
        <f t="shared" ca="1" si="31"/>
        <v>101.89639553167881</v>
      </c>
      <c r="Q13" s="12">
        <f t="shared" ca="1" si="31"/>
        <v>98.228646749885911</v>
      </c>
      <c r="S13" s="8" t="s">
        <v>499</v>
      </c>
      <c r="T13" s="12"/>
      <c r="U13" s="73"/>
      <c r="V13" s="12">
        <f ca="1">V11*V12</f>
        <v>-623.89749316818336</v>
      </c>
      <c r="W13" s="12">
        <f t="shared" ref="W13:Z13" ca="1" si="32">W11*W12</f>
        <v>-697.35532784229235</v>
      </c>
      <c r="X13" s="12">
        <f t="shared" ca="1" si="32"/>
        <v>-773.58420506959988</v>
      </c>
      <c r="Y13" s="12">
        <f t="shared" ca="1" si="32"/>
        <v>-852.70232485399538</v>
      </c>
      <c r="Z13" s="12">
        <f t="shared" ca="1" si="32"/>
        <v>-934.83282986843938</v>
      </c>
      <c r="AB13" s="8" t="s">
        <v>499</v>
      </c>
      <c r="AC13" s="12"/>
      <c r="AD13" s="73"/>
      <c r="AE13" s="12">
        <f ca="1">AE11*AE12</f>
        <v>24768.093652701216</v>
      </c>
      <c r="AF13" s="12">
        <f t="shared" ref="AF13:AI13" ca="1" si="33">AF11*AF12</f>
        <v>23916.616533880708</v>
      </c>
      <c r="AG13" s="12">
        <f t="shared" ca="1" si="33"/>
        <v>23075.47820435193</v>
      </c>
      <c r="AH13" s="12">
        <f t="shared" ca="1" si="33"/>
        <v>22243.573860400458</v>
      </c>
      <c r="AI13" s="12">
        <f t="shared" ca="1" si="33"/>
        <v>21419.773353710611</v>
      </c>
      <c r="AK13" s="8" t="s">
        <v>499</v>
      </c>
      <c r="AL13" s="12"/>
      <c r="AM13" s="73"/>
      <c r="AN13" s="12">
        <f ca="1">AN11*AN12</f>
        <v>893.5266634228675</v>
      </c>
      <c r="AO13" s="12">
        <f t="shared" ref="AO13:AR13" ca="1" si="34">AO11*AO12</f>
        <v>942.1051695366607</v>
      </c>
      <c r="AP13" s="12">
        <f t="shared" ca="1" si="34"/>
        <v>984.87182598676168</v>
      </c>
      <c r="AQ13" s="12">
        <f t="shared" ca="1" si="34"/>
        <v>1022.3987112588453</v>
      </c>
      <c r="AR13" s="12">
        <f t="shared" ca="1" si="34"/>
        <v>1055.2024088989513</v>
      </c>
    </row>
    <row r="15" spans="1:44" x14ac:dyDescent="0.3">
      <c r="A15" s="99" t="s">
        <v>522</v>
      </c>
      <c r="B15" s="100" t="s">
        <v>465</v>
      </c>
      <c r="J15" s="2"/>
      <c r="K15" s="2"/>
      <c r="S15" s="2"/>
      <c r="T15" s="2"/>
      <c r="AB15" s="99" t="s">
        <v>522</v>
      </c>
      <c r="AC15" s="100" t="s">
        <v>465</v>
      </c>
      <c r="AK15" s="99" t="s">
        <v>522</v>
      </c>
      <c r="AL15" s="100" t="s">
        <v>465</v>
      </c>
    </row>
    <row r="16" spans="1:44" x14ac:dyDescent="0.3">
      <c r="A16" s="96" t="s">
        <v>516</v>
      </c>
      <c r="B16" s="97">
        <f ca="1">H11/('WACC &amp; Key Assumptions'!B16-'WACC &amp; Key Assumptions'!B21)</f>
        <v>203242.16214256122</v>
      </c>
      <c r="K16" s="64"/>
      <c r="T16" s="64"/>
      <c r="AB16" s="96" t="s">
        <v>516</v>
      </c>
      <c r="AC16" s="97">
        <f ca="1">AI11/('WACC &amp; Key Assumptions'!E16-'WACC &amp; Key Assumptions'!E21)</f>
        <v>615034.73750383512</v>
      </c>
      <c r="AK16" s="96" t="s">
        <v>516</v>
      </c>
      <c r="AL16" s="97">
        <f ca="1">AR11/('WACC &amp; Key Assumptions'!F16-'WACC &amp; Key Assumptions'!F21)</f>
        <v>24455.145200578339</v>
      </c>
    </row>
    <row r="17" spans="1:38" x14ac:dyDescent="0.3">
      <c r="A17" s="96" t="s">
        <v>517</v>
      </c>
      <c r="B17" s="97">
        <f ca="1">B16*H12</f>
        <v>102333.68415077607</v>
      </c>
      <c r="K17" s="64"/>
      <c r="T17" s="64"/>
      <c r="AB17" s="96" t="s">
        <v>517</v>
      </c>
      <c r="AC17" s="97">
        <f ca="1">AC16*AI12</f>
        <v>335539.67981968314</v>
      </c>
      <c r="AK17" s="96" t="s">
        <v>517</v>
      </c>
      <c r="AL17" s="97">
        <f ca="1">AL16*AR12</f>
        <v>12007.488509353252</v>
      </c>
    </row>
    <row r="18" spans="1:38" x14ac:dyDescent="0.3">
      <c r="A18" s="96" t="s">
        <v>499</v>
      </c>
      <c r="B18" s="97">
        <f ca="1">SUM(D13:H13)</f>
        <v>44934.784701841505</v>
      </c>
      <c r="K18" s="64"/>
      <c r="T18" s="64"/>
      <c r="AB18" s="96" t="s">
        <v>499</v>
      </c>
      <c r="AC18" s="97">
        <f ca="1">SUM(AE13:AI13)</f>
        <v>115423.53560504492</v>
      </c>
      <c r="AK18" s="96" t="s">
        <v>499</v>
      </c>
      <c r="AL18" s="97">
        <f ca="1">SUM(AN13:AR13)</f>
        <v>4898.1047791040864</v>
      </c>
    </row>
    <row r="19" spans="1:38" x14ac:dyDescent="0.3">
      <c r="A19" s="96" t="s">
        <v>518</v>
      </c>
      <c r="B19" s="97">
        <f ca="1">B17+B18</f>
        <v>147268.46885261757</v>
      </c>
      <c r="K19" s="64"/>
      <c r="T19" s="64"/>
      <c r="AB19" s="96" t="s">
        <v>518</v>
      </c>
      <c r="AC19" s="97">
        <f ca="1">AC17+AC18</f>
        <v>450963.21542472806</v>
      </c>
      <c r="AK19" s="96" t="s">
        <v>518</v>
      </c>
      <c r="AL19" s="97">
        <f ca="1">AL17+AL18</f>
        <v>16905.593288457338</v>
      </c>
    </row>
    <row r="20" spans="1:38" x14ac:dyDescent="0.3">
      <c r="A20" s="96" t="s">
        <v>519</v>
      </c>
      <c r="B20" s="97">
        <f>('WACC &amp; Key Assumptions'!B12-'Balance Sheet'!G28)</f>
        <v>42403.71</v>
      </c>
      <c r="K20" s="64"/>
      <c r="T20" s="64"/>
      <c r="AB20" s="96" t="s">
        <v>519</v>
      </c>
      <c r="AC20" s="97">
        <f>('Balance Sheet'!AE40+'Balance Sheet'!AE48+'Balance Sheet'!AE49)-'Balance Sheet'!AE24</f>
        <v>117372.34</v>
      </c>
      <c r="AK20" s="96" t="s">
        <v>519</v>
      </c>
      <c r="AL20" s="97">
        <f>('Balance Sheet'!AM39+'Balance Sheet'!AM46)-'Balance Sheet'!AM24</f>
        <v>2344.2200000000003</v>
      </c>
    </row>
    <row r="21" spans="1:38" x14ac:dyDescent="0.3">
      <c r="A21" s="96" t="s">
        <v>500</v>
      </c>
      <c r="B21" s="97">
        <f ca="1">B19-B20</f>
        <v>104864.75885261758</v>
      </c>
      <c r="K21" s="64"/>
      <c r="T21" s="64"/>
      <c r="AB21" s="96" t="s">
        <v>500</v>
      </c>
      <c r="AC21" s="97">
        <f ca="1">AC19-AC20</f>
        <v>333590.87542472803</v>
      </c>
      <c r="AK21" s="96" t="s">
        <v>500</v>
      </c>
      <c r="AL21" s="97">
        <f ca="1">AL19-AL20</f>
        <v>14561.373288457336</v>
      </c>
    </row>
    <row r="22" spans="1:38" x14ac:dyDescent="0.3">
      <c r="A22" s="96" t="s">
        <v>463</v>
      </c>
      <c r="B22" s="97">
        <f ca="1">'Relative Valuation'!F4</f>
        <v>216.01390000000001</v>
      </c>
      <c r="K22" s="64"/>
      <c r="T22" s="64"/>
      <c r="AB22" s="96" t="s">
        <v>463</v>
      </c>
      <c r="AC22" s="97">
        <f ca="1">'Relative Valuation'!F7</f>
        <v>137.5581</v>
      </c>
      <c r="AK22" s="96" t="s">
        <v>463</v>
      </c>
      <c r="AL22" s="97">
        <f ca="1">'Relative Valuation'!F8</f>
        <v>208.50200000000001</v>
      </c>
    </row>
    <row r="23" spans="1:38" x14ac:dyDescent="0.3">
      <c r="A23" s="96" t="s">
        <v>520</v>
      </c>
      <c r="B23" s="98">
        <f ca="1">B21/B22</f>
        <v>485.45375483993195</v>
      </c>
      <c r="K23" s="50"/>
      <c r="T23" s="50"/>
      <c r="AB23" s="96" t="s">
        <v>520</v>
      </c>
      <c r="AC23" s="98">
        <f ca="1">AC21/AC22</f>
        <v>2425.0907465625655</v>
      </c>
      <c r="AK23" s="96" t="s">
        <v>520</v>
      </c>
      <c r="AL23" s="98">
        <f ca="1">AL21/AL22</f>
        <v>69.83805089858771</v>
      </c>
    </row>
    <row r="24" spans="1:38" x14ac:dyDescent="0.3">
      <c r="A24" s="96" t="s">
        <v>521</v>
      </c>
      <c r="B24" s="98">
        <f ca="1">'Relative Valuation'!D4</f>
        <v>1444.9</v>
      </c>
      <c r="K24" s="50"/>
      <c r="T24" s="50"/>
      <c r="AB24" s="96" t="s">
        <v>521</v>
      </c>
      <c r="AC24" s="98">
        <f ca="1">'Relative Valuation'!D7</f>
        <v>3918.5</v>
      </c>
      <c r="AK24" s="96" t="s">
        <v>521</v>
      </c>
      <c r="AL24" s="98">
        <f ca="1">'Relative Valuation'!D8</f>
        <v>315.95</v>
      </c>
    </row>
    <row r="25" spans="1:38" x14ac:dyDescent="0.3">
      <c r="A25" s="101" t="e" vm="11">
        <v>#VALUE!</v>
      </c>
      <c r="B25" s="102">
        <f ca="1">(B23-B24)/B24</f>
        <v>-0.66402259336983049</v>
      </c>
      <c r="K25" s="103"/>
      <c r="T25" s="103"/>
      <c r="AB25" s="101" t="e" vm="11">
        <v>#VALUE!</v>
      </c>
      <c r="AC25" s="102">
        <f ca="1">(AC23-AC24)/AC24</f>
        <v>-0.38111758413613234</v>
      </c>
      <c r="AK25" s="101" t="e" vm="11">
        <v>#VALUE!</v>
      </c>
      <c r="AL25" s="102">
        <f ca="1">(AL23-AL24)/AL24</f>
        <v>-0.77895853489923184</v>
      </c>
    </row>
  </sheetData>
  <mergeCells count="5">
    <mergeCell ref="G2:H2"/>
    <mergeCell ref="P2:Q2"/>
    <mergeCell ref="Y2:Z2"/>
    <mergeCell ref="AH2:AI2"/>
    <mergeCell ref="AQ2:AR2"/>
  </mergeCells>
  <conditionalFormatting sqref="B25">
    <cfRule type="cellIs" dxfId="17" priority="9" operator="lessThan">
      <formula>0</formula>
    </cfRule>
    <cfRule type="cellIs" dxfId="16" priority="10" operator="greaterThan">
      <formula>0</formula>
    </cfRule>
  </conditionalFormatting>
  <conditionalFormatting sqref="K25">
    <cfRule type="cellIs" dxfId="15" priority="7" operator="lessThan">
      <formula>0</formula>
    </cfRule>
    <cfRule type="cellIs" dxfId="14" priority="8" operator="greaterThan">
      <formula>0</formula>
    </cfRule>
  </conditionalFormatting>
  <conditionalFormatting sqref="T25">
    <cfRule type="cellIs" dxfId="13" priority="5" operator="lessThan">
      <formula>0</formula>
    </cfRule>
    <cfRule type="cellIs" dxfId="12" priority="6" operator="greaterThan">
      <formula>0</formula>
    </cfRule>
  </conditionalFormatting>
  <conditionalFormatting sqref="AC25">
    <cfRule type="cellIs" dxfId="11" priority="3" operator="lessThan">
      <formula>0</formula>
    </cfRule>
    <cfRule type="cellIs" dxfId="10" priority="4" operator="greaterThan">
      <formula>0</formula>
    </cfRule>
  </conditionalFormatting>
  <conditionalFormatting sqref="AL25">
    <cfRule type="cellIs" dxfId="9" priority="1" operator="lessThan">
      <formula>0</formula>
    </cfRule>
    <cfRule type="cellIs" dxfId="8" priority="2" operator="greaterThan">
      <formula>0</formula>
    </cfRule>
  </conditionalFormatting>
  <pageMargins left="0.7" right="0.7" top="0.75" bottom="0.75" header="0.3" footer="0.3"/>
  <tableParts count="8">
    <tablePart r:id="rId1"/>
    <tablePart r:id="rId2"/>
    <tablePart r:id="rId3"/>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1A41-9BC8-4F48-9C64-C5B4846635D8}">
  <dimension ref="A1:T32"/>
  <sheetViews>
    <sheetView topLeftCell="A13" zoomScale="89" workbookViewId="0">
      <selection activeCell="Q26" sqref="Q26"/>
    </sheetView>
  </sheetViews>
  <sheetFormatPr defaultRowHeight="14.4" x14ac:dyDescent="0.3"/>
  <cols>
    <col min="1" max="1" width="42" style="1" customWidth="1"/>
    <col min="2" max="2" width="13.88671875" style="1" customWidth="1"/>
    <col min="3" max="3" width="10.5546875" style="1" bestFit="1" customWidth="1"/>
    <col min="4" max="4" width="13.5546875" style="1" customWidth="1"/>
    <col min="5" max="5" width="12.6640625" style="1" customWidth="1"/>
    <col min="6" max="6" width="12" style="1" customWidth="1"/>
    <col min="7" max="7" width="7.6640625" style="1" bestFit="1" customWidth="1"/>
    <col min="8" max="8" width="13.88671875" style="1" customWidth="1"/>
    <col min="9" max="9" width="10.5546875" style="1" bestFit="1" customWidth="1"/>
    <col min="10" max="10" width="13.5546875" style="1" customWidth="1"/>
    <col min="11" max="11" width="12.6640625" style="1" customWidth="1"/>
    <col min="12" max="12" width="12" style="1" customWidth="1"/>
    <col min="13" max="13" width="7.6640625" style="1" bestFit="1" customWidth="1"/>
    <col min="14" max="14" width="8.88671875" style="1"/>
    <col min="15" max="15" width="16" style="1" bestFit="1" customWidth="1"/>
    <col min="16" max="16" width="8.88671875" style="1"/>
    <col min="17" max="17" width="11.21875" style="1" customWidth="1"/>
    <col min="18" max="16384" width="8.88671875" style="1"/>
  </cols>
  <sheetData>
    <row r="1" spans="1:15" ht="31.2" x14ac:dyDescent="0.3">
      <c r="A1" s="17" t="s">
        <v>515</v>
      </c>
    </row>
    <row r="3" spans="1:15" s="3" customFormat="1" ht="28.8" x14ac:dyDescent="0.3">
      <c r="A3" s="85" t="s">
        <v>0</v>
      </c>
      <c r="B3" s="86" t="s">
        <v>500</v>
      </c>
      <c r="C3" s="86" t="s">
        <v>501</v>
      </c>
      <c r="D3" s="86" t="s">
        <v>462</v>
      </c>
      <c r="E3" s="86" t="s">
        <v>502</v>
      </c>
      <c r="F3" s="86" t="s">
        <v>503</v>
      </c>
      <c r="G3" s="86" t="s">
        <v>509</v>
      </c>
      <c r="H3" s="86" t="s">
        <v>504</v>
      </c>
      <c r="I3" s="86" t="s">
        <v>510</v>
      </c>
      <c r="J3" s="86" t="s">
        <v>191</v>
      </c>
      <c r="K3" s="86" t="s">
        <v>511</v>
      </c>
      <c r="L3" s="86" t="s">
        <v>458</v>
      </c>
      <c r="M3" s="86" t="s">
        <v>506</v>
      </c>
      <c r="N3" s="86" t="s">
        <v>507</v>
      </c>
      <c r="O3" s="87" t="s">
        <v>508</v>
      </c>
    </row>
    <row r="4" spans="1:15" s="3" customFormat="1" ht="28.8" x14ac:dyDescent="0.3">
      <c r="A4" s="81" t="e" vm="6">
        <v>#VALUE!</v>
      </c>
      <c r="B4" s="82">
        <f ca="1">'Company Info'!B14+'Balance Sheet'!G46+'Balance Sheet'!G54-'Balance Sheet'!G28</f>
        <v>355256.61</v>
      </c>
      <c r="C4" s="82">
        <f>'Income Statement'!G20+'Income Statement'!G15+'Income Statement'!G16</f>
        <v>20048.270000000004</v>
      </c>
      <c r="D4" s="83" cm="1">
        <f t="array" aca="1" ref="D4" ca="1">_FV(A4,"Price")</f>
        <v>1444.9</v>
      </c>
      <c r="E4" s="82">
        <f>'Income Statement'!G30</f>
        <v>11061.260000000004</v>
      </c>
      <c r="F4" s="84" cm="1">
        <f t="array" aca="1" ref="F4" ca="1">_FV(A4,"Shares outstanding",TRUE)/10000000</f>
        <v>216.01390000000001</v>
      </c>
      <c r="G4" s="84">
        <f ca="1">E4/F4</f>
        <v>51.206241820549529</v>
      </c>
      <c r="H4" s="82">
        <f>'Balance Sheet'!G43</f>
        <v>64973.34</v>
      </c>
      <c r="I4" s="82">
        <f ca="1">H4/F4</f>
        <v>300.78314404767468</v>
      </c>
      <c r="J4" s="82">
        <f>'Income Statement'!G8</f>
        <v>32383.08</v>
      </c>
      <c r="K4" s="82">
        <f ca="1">J4/F4</f>
        <v>149.91201955059373</v>
      </c>
      <c r="L4" s="84">
        <f ca="1">B4/C4</f>
        <v>17.720063127641431</v>
      </c>
      <c r="M4" s="84">
        <f ca="1">D4/G4</f>
        <v>28.217263142716103</v>
      </c>
      <c r="N4" s="84">
        <f ca="1">D4/I4</f>
        <v>4.8037931266885776</v>
      </c>
      <c r="O4" s="84">
        <f ca="1">D4/K4</f>
        <v>9.6383198914371349</v>
      </c>
    </row>
    <row r="5" spans="1:15" s="3" customFormat="1" ht="28.8" x14ac:dyDescent="0.3">
      <c r="A5" s="7" t="e" vm="7">
        <v>#VALUE!</v>
      </c>
      <c r="B5" s="77">
        <f ca="1">'Company Info'!C14+'Balance Sheet'!O43+'Balance Sheet'!O54-'Balance Sheet'!O25</f>
        <v>24717.34</v>
      </c>
      <c r="C5" s="77">
        <f>'Income Statement'!O18+'Income Statement'!O13+'Income Statement'!O14</f>
        <v>1896.5999999999956</v>
      </c>
      <c r="D5" s="78" cm="1">
        <f t="array" aca="1" ref="D5" ca="1">_FV(A5,"Price")</f>
        <v>1276</v>
      </c>
      <c r="E5" s="77">
        <f>'Income Statement'!O27</f>
        <v>567.26999999999566</v>
      </c>
      <c r="F5" s="79" cm="1">
        <f t="array" aca="1" ref="F5" ca="1">_FV(A5,"Shares outstanding",TRUE)/10000000</f>
        <v>17.077259999999999</v>
      </c>
      <c r="G5" s="79">
        <f t="shared" ref="G5:G8" ca="1" si="0">E5/F5</f>
        <v>33.217858134150077</v>
      </c>
      <c r="H5" s="77">
        <f>'Balance Sheet'!O40</f>
        <v>6468.86</v>
      </c>
      <c r="I5" s="77">
        <f t="shared" ref="I5:I8" ca="1" si="1">H5/F5</f>
        <v>378.79964350252908</v>
      </c>
      <c r="J5" s="77">
        <f>'Income Statement'!O7</f>
        <v>22378.26</v>
      </c>
      <c r="K5" s="77">
        <f t="shared" ref="K5:K8" ca="1" si="2">J5/F5</f>
        <v>1310.4127945583775</v>
      </c>
      <c r="L5" s="79">
        <f t="shared" ref="L5:L8" ca="1" si="3">B5/C5</f>
        <v>13.03244753769907</v>
      </c>
      <c r="M5" s="79">
        <f t="shared" ref="M5:M8" ca="1" si="4">D5/G5</f>
        <v>38.413072716696043</v>
      </c>
      <c r="N5" s="79">
        <f t="shared" ref="N5:N8" ca="1" si="5">D5/I5</f>
        <v>3.3685353771761952</v>
      </c>
      <c r="O5" s="79">
        <f t="shared" ref="O5:O8" ca="1" si="6">D5/K5</f>
        <v>0.97373896630032908</v>
      </c>
    </row>
    <row r="6" spans="1:15" s="3" customFormat="1" x14ac:dyDescent="0.3">
      <c r="A6" s="7" t="e" vm="8">
        <v>#VALUE!</v>
      </c>
      <c r="B6" s="77">
        <f ca="1">'Company Info'!D14+'Balance Sheet'!W39+'Balance Sheet'!W46-'Balance Sheet'!W23</f>
        <v>23369.31</v>
      </c>
      <c r="C6" s="77">
        <f>'Income Statement'!W17+'Income Statement'!W14+'Income Statement'!W12</f>
        <v>1574.7599999999979</v>
      </c>
      <c r="D6" s="78" cm="1">
        <f t="array" aca="1" ref="D6" ca="1">_FV(A6,"Price")</f>
        <v>722.25</v>
      </c>
      <c r="E6" s="77">
        <f>'Income Statement'!W24</f>
        <v>570.73999999999796</v>
      </c>
      <c r="F6" s="79" cm="1">
        <f t="array" aca="1" ref="F6" ca="1">_FV(A6,"Shares outstanding",TRUE)/10000000</f>
        <v>26.62</v>
      </c>
      <c r="G6" s="79">
        <f t="shared" ca="1" si="0"/>
        <v>21.440270473328248</v>
      </c>
      <c r="H6" s="77">
        <f>'Balance Sheet'!W36</f>
        <v>5347.45</v>
      </c>
      <c r="I6" s="77">
        <f t="shared" ca="1" si="1"/>
        <v>200.88091660405709</v>
      </c>
      <c r="J6" s="77">
        <f>'Income Statement'!W7</f>
        <v>21917.56</v>
      </c>
      <c r="K6" s="77">
        <f t="shared" ca="1" si="2"/>
        <v>823.34936138241926</v>
      </c>
      <c r="L6" s="79">
        <f t="shared" ca="1" si="3"/>
        <v>14.839918463765928</v>
      </c>
      <c r="M6" s="79">
        <f t="shared" ca="1" si="4"/>
        <v>33.686608613379242</v>
      </c>
      <c r="N6" s="79">
        <f t="shared" ca="1" si="5"/>
        <v>3.5954137018578951</v>
      </c>
      <c r="O6" s="79">
        <f t="shared" ca="1" si="6"/>
        <v>0.87720964377421573</v>
      </c>
    </row>
    <row r="7" spans="1:15" s="3" customFormat="1" x14ac:dyDescent="0.3">
      <c r="A7" s="7" t="e" vm="9">
        <v>#VALUE!</v>
      </c>
      <c r="B7" s="77">
        <f ca="1">'Company Info'!E14+'Balance Sheet'!AE40+'Balance Sheet'!AE48+'Balance Sheet'!AE49-'Balance Sheet'!AE24</f>
        <v>651441.64</v>
      </c>
      <c r="C7" s="77">
        <f>'Income Statement'!AE24+'Income Statement'!AE21+'Income Statement'!AE22+'Income Statement'!AE18</f>
        <v>36861.790000000037</v>
      </c>
      <c r="D7" s="78" cm="1">
        <f t="array" aca="1" ref="D7" ca="1">_FV(A7,"Price")</f>
        <v>3918.5</v>
      </c>
      <c r="E7" s="77">
        <f>'Income Statement'!AE42</f>
        <v>17673.330000000034</v>
      </c>
      <c r="F7" s="79" cm="1">
        <f t="array" aca="1" ref="F7" ca="1">_FV(A7,"Shares outstanding",TRUE)/10000000</f>
        <v>137.5581</v>
      </c>
      <c r="G7" s="79">
        <f t="shared" ca="1" si="0"/>
        <v>128.47902086463853</v>
      </c>
      <c r="H7" s="77">
        <f>'Balance Sheet'!AE37</f>
        <v>115403.68</v>
      </c>
      <c r="I7" s="77">
        <f t="shared" ca="1" si="1"/>
        <v>838.94499851335547</v>
      </c>
      <c r="J7" s="77">
        <f>'Income Statement'!AE8</f>
        <v>259859.27000000002</v>
      </c>
      <c r="K7" s="77">
        <f t="shared" ca="1" si="2"/>
        <v>1889.0873747165745</v>
      </c>
      <c r="L7" s="79">
        <f t="shared" ca="1" si="3"/>
        <v>17.672544930672096</v>
      </c>
      <c r="M7" s="79">
        <f t="shared" ca="1" si="4"/>
        <v>30.499142767661723</v>
      </c>
      <c r="N7" s="79">
        <f t="shared" ca="1" si="5"/>
        <v>4.6707471967098444</v>
      </c>
      <c r="O7" s="79">
        <f t="shared" ca="1" si="6"/>
        <v>2.0742820329249749</v>
      </c>
    </row>
    <row r="8" spans="1:15" s="3" customFormat="1" x14ac:dyDescent="0.3">
      <c r="A8" s="7" t="e" vm="12">
        <v>#VALUE!</v>
      </c>
      <c r="B8" s="77">
        <f ca="1">'Company Info'!F14+'Balance Sheet'!AM39+'Balance Sheet'!AM46-'Balance Sheet'!AM24</f>
        <v>68647.859999999986</v>
      </c>
      <c r="C8" s="77">
        <f>'Income Statement'!AM16+'Income Statement'!AM12+'Income Statement'!AM11</f>
        <v>2538.3999999999978</v>
      </c>
      <c r="D8" s="78" cm="1">
        <f t="array" aca="1" ref="D8" ca="1">_FV(A8,"Price")</f>
        <v>315.95</v>
      </c>
      <c r="E8" s="77">
        <f>'Income Statement'!AM25</f>
        <v>1574.4699999999975</v>
      </c>
      <c r="F8" s="79" cm="1">
        <f t="array" aca="1" ref="F8" ca="1">_FV(A8,"Shares outstanding",TRUE)/10000000</f>
        <v>208.50200000000001</v>
      </c>
      <c r="G8" s="79">
        <f t="shared" ca="1" si="0"/>
        <v>7.5513424331660968</v>
      </c>
      <c r="H8" s="77">
        <f>'Balance Sheet'!AM36</f>
        <v>8623.7199999999993</v>
      </c>
      <c r="I8" s="77">
        <f t="shared" ca="1" si="1"/>
        <v>41.360370643926672</v>
      </c>
      <c r="J8" s="77">
        <f>'Income Statement'!AM7</f>
        <v>23074.799999999999</v>
      </c>
      <c r="K8" s="77">
        <f t="shared" ca="1" si="2"/>
        <v>110.66944201974081</v>
      </c>
      <c r="L8" s="79">
        <f t="shared" ca="1" si="3"/>
        <v>27.04375196974474</v>
      </c>
      <c r="M8" s="79">
        <f t="shared" ca="1" si="4"/>
        <v>41.840242684840042</v>
      </c>
      <c r="N8" s="79">
        <f t="shared" ca="1" si="5"/>
        <v>7.6389547550245149</v>
      </c>
      <c r="O8" s="79">
        <f t="shared" ca="1" si="6"/>
        <v>2.8548982829753671</v>
      </c>
    </row>
    <row r="9" spans="1:15" s="3" customFormat="1" x14ac:dyDescent="0.3">
      <c r="A9" s="7" t="e" vm="13">
        <v>#VALUE!</v>
      </c>
      <c r="B9" s="77"/>
      <c r="C9" s="77"/>
      <c r="D9" s="78"/>
      <c r="E9" s="77"/>
      <c r="F9" s="79"/>
      <c r="G9" s="79"/>
      <c r="H9" s="77"/>
      <c r="I9" s="77"/>
      <c r="J9" s="77"/>
      <c r="K9" s="77"/>
      <c r="L9" s="79">
        <v>6.3</v>
      </c>
      <c r="M9" s="79">
        <v>13.5</v>
      </c>
      <c r="N9" s="79">
        <v>2.44</v>
      </c>
      <c r="O9" s="79">
        <v>0.9</v>
      </c>
    </row>
    <row r="10" spans="1:15" s="3" customFormat="1" x14ac:dyDescent="0.3">
      <c r="A10" s="7" t="e" vm="14">
        <v>#VALUE!</v>
      </c>
      <c r="B10" s="77"/>
      <c r="C10" s="77"/>
      <c r="D10" s="78"/>
      <c r="E10" s="77"/>
      <c r="F10" s="79"/>
      <c r="G10" s="79"/>
      <c r="H10" s="77"/>
      <c r="I10" s="77"/>
      <c r="J10" s="77"/>
      <c r="K10" s="77"/>
      <c r="L10" s="79">
        <v>29.4</v>
      </c>
      <c r="M10" s="79">
        <v>64.400000000000006</v>
      </c>
      <c r="N10" s="79">
        <v>7.8</v>
      </c>
      <c r="O10" s="79">
        <v>2.4</v>
      </c>
    </row>
    <row r="11" spans="1:15" s="3" customFormat="1" x14ac:dyDescent="0.3">
      <c r="A11" s="7" t="e" vm="15">
        <v>#VALUE!</v>
      </c>
      <c r="B11" s="77"/>
      <c r="C11" s="77"/>
      <c r="D11" s="78"/>
      <c r="E11" s="77"/>
      <c r="F11" s="79"/>
      <c r="G11" s="79"/>
      <c r="H11" s="77"/>
      <c r="I11" s="77"/>
      <c r="J11" s="77"/>
      <c r="K11" s="77"/>
      <c r="L11" s="79">
        <v>31.4</v>
      </c>
      <c r="M11" s="79">
        <v>10.8</v>
      </c>
      <c r="N11" s="79">
        <v>4.33</v>
      </c>
      <c r="O11" s="79">
        <v>3.9</v>
      </c>
    </row>
    <row r="12" spans="1:15" s="3" customFormat="1" x14ac:dyDescent="0.3">
      <c r="A12" s="7" t="e" vm="16">
        <v>#VALUE!</v>
      </c>
      <c r="B12" s="77"/>
      <c r="C12" s="77"/>
      <c r="D12" s="78"/>
      <c r="E12" s="77"/>
      <c r="F12" s="79"/>
      <c r="G12" s="79"/>
      <c r="H12" s="77"/>
      <c r="I12" s="77"/>
      <c r="J12" s="77"/>
      <c r="K12" s="77"/>
      <c r="L12" s="79">
        <v>17.7</v>
      </c>
      <c r="M12" s="79">
        <v>26.5</v>
      </c>
      <c r="N12" s="79">
        <v>8.41</v>
      </c>
      <c r="O12" s="79">
        <v>1.9</v>
      </c>
    </row>
    <row r="13" spans="1:15" s="3" customFormat="1" x14ac:dyDescent="0.3">
      <c r="A13" s="7" t="e" vm="17">
        <v>#VALUE!</v>
      </c>
      <c r="B13" s="77"/>
      <c r="C13" s="77"/>
      <c r="D13" s="78"/>
      <c r="E13" s="77"/>
      <c r="F13" s="79"/>
      <c r="G13" s="79"/>
      <c r="H13" s="77"/>
      <c r="I13" s="77"/>
      <c r="J13" s="77"/>
      <c r="K13" s="77"/>
      <c r="L13" s="79">
        <v>26.6</v>
      </c>
      <c r="M13" s="79">
        <v>41.7</v>
      </c>
      <c r="N13" s="79">
        <v>13.7</v>
      </c>
      <c r="O13" s="79">
        <v>3.8</v>
      </c>
    </row>
    <row r="14" spans="1:15" s="3" customFormat="1" x14ac:dyDescent="0.3">
      <c r="A14" s="7" t="e" vm="18">
        <v>#VALUE!</v>
      </c>
      <c r="B14" s="77"/>
      <c r="C14" s="77"/>
      <c r="D14" s="78"/>
      <c r="E14" s="77"/>
      <c r="F14" s="79"/>
      <c r="G14" s="79"/>
      <c r="H14" s="77"/>
      <c r="I14" s="77"/>
      <c r="J14" s="77"/>
      <c r="K14" s="77"/>
      <c r="L14" s="79">
        <v>17.2</v>
      </c>
      <c r="M14" s="79">
        <v>45.5</v>
      </c>
      <c r="N14" s="79">
        <v>4.26</v>
      </c>
      <c r="O14" s="79">
        <v>2.1</v>
      </c>
    </row>
    <row r="15" spans="1:15" s="3" customFormat="1" x14ac:dyDescent="0.3">
      <c r="A15" s="7"/>
      <c r="B15" s="77"/>
      <c r="C15" s="77"/>
      <c r="D15" s="78"/>
      <c r="E15" s="77"/>
      <c r="F15" s="79"/>
      <c r="G15" s="79"/>
      <c r="H15" s="77"/>
      <c r="I15" s="77"/>
      <c r="J15" s="77"/>
      <c r="K15" s="77"/>
      <c r="L15" s="79"/>
      <c r="M15" s="79"/>
      <c r="N15" s="79"/>
      <c r="O15" s="79"/>
    </row>
    <row r="16" spans="1:15" s="3" customFormat="1" x14ac:dyDescent="0.3">
      <c r="A16" s="7"/>
      <c r="B16" s="77"/>
      <c r="C16" s="77"/>
      <c r="D16" s="78"/>
      <c r="E16" s="77"/>
      <c r="F16" s="79"/>
      <c r="G16" s="79"/>
      <c r="H16" s="77"/>
      <c r="I16" s="77"/>
      <c r="J16" s="77"/>
      <c r="K16" s="77"/>
      <c r="L16" s="79"/>
      <c r="M16" s="79"/>
      <c r="N16" s="79"/>
      <c r="O16" s="79"/>
    </row>
    <row r="17" spans="1:20" x14ac:dyDescent="0.3">
      <c r="A17" s="107"/>
      <c r="B17" s="107"/>
      <c r="C17" s="107"/>
      <c r="D17" s="107"/>
      <c r="E17" s="107"/>
      <c r="F17" s="107"/>
      <c r="G17" s="107"/>
      <c r="H17" s="107"/>
      <c r="I17" s="107"/>
      <c r="J17" s="107"/>
      <c r="K17" s="80" t="s">
        <v>505</v>
      </c>
      <c r="L17" s="69">
        <f ca="1">AVERAGE(L4:L14)</f>
        <v>19.900793275411203</v>
      </c>
      <c r="M17" s="69">
        <f t="shared" ref="M17:O17" ca="1" si="7">AVERAGE(M4:M14)</f>
        <v>34.096029993208468</v>
      </c>
      <c r="N17" s="69">
        <f t="shared" ca="1" si="7"/>
        <v>5.910676741587003</v>
      </c>
      <c r="O17" s="69">
        <f t="shared" ca="1" si="7"/>
        <v>2.8562226197647287</v>
      </c>
    </row>
    <row r="18" spans="1:20" x14ac:dyDescent="0.3">
      <c r="L18" s="3"/>
    </row>
    <row r="19" spans="1:20" x14ac:dyDescent="0.3">
      <c r="A19" s="129" t="s">
        <v>467</v>
      </c>
      <c r="B19" s="128" t="e" vm="3">
        <v>#VALUE!</v>
      </c>
      <c r="C19" s="128"/>
      <c r="D19" s="128"/>
      <c r="E19" s="128"/>
      <c r="F19" s="128"/>
      <c r="G19" s="128"/>
      <c r="H19" s="128" t="e" vm="2">
        <v>#VALUE!</v>
      </c>
      <c r="I19" s="128"/>
      <c r="J19" s="128"/>
      <c r="K19" s="128"/>
      <c r="L19" s="128"/>
      <c r="M19" s="128"/>
    </row>
    <row r="20" spans="1:20" x14ac:dyDescent="0.3">
      <c r="A20" s="129"/>
      <c r="B20" s="128"/>
      <c r="C20" s="128"/>
      <c r="D20" s="128"/>
      <c r="E20" s="128"/>
      <c r="F20" s="128"/>
      <c r="G20" s="128"/>
      <c r="H20" s="128"/>
      <c r="I20" s="128"/>
      <c r="J20" s="128"/>
      <c r="K20" s="128"/>
      <c r="L20" s="128"/>
      <c r="M20" s="128"/>
    </row>
    <row r="21" spans="1:20" ht="21.6" customHeight="1" x14ac:dyDescent="0.3">
      <c r="A21" s="129"/>
      <c r="B21" s="92" t="s">
        <v>465</v>
      </c>
      <c r="C21" s="93" t="s">
        <v>467</v>
      </c>
      <c r="D21" s="92" t="s">
        <v>465</v>
      </c>
      <c r="E21" s="94" t="s">
        <v>514</v>
      </c>
      <c r="F21" s="94" t="s">
        <v>513</v>
      </c>
      <c r="G21" s="94" t="e" vm="11">
        <v>#VALUE!</v>
      </c>
      <c r="H21" s="92" t="s">
        <v>465</v>
      </c>
      <c r="I21" s="93" t="s">
        <v>467</v>
      </c>
      <c r="J21" s="92" t="s">
        <v>465</v>
      </c>
      <c r="K21" s="94" t="s">
        <v>514</v>
      </c>
      <c r="L21" s="94" t="s">
        <v>513</v>
      </c>
      <c r="M21" s="94" t="e" vm="11">
        <v>#VALUE!</v>
      </c>
      <c r="O21" s="2" t="s">
        <v>0</v>
      </c>
      <c r="P21" s="70" t="s">
        <v>527</v>
      </c>
      <c r="Q21" s="70" t="s">
        <v>528</v>
      </c>
      <c r="R21" s="70" t="s">
        <v>529</v>
      </c>
      <c r="S21" s="70" t="s">
        <v>530</v>
      </c>
      <c r="T21" s="70"/>
    </row>
    <row r="22" spans="1:20" x14ac:dyDescent="0.3">
      <c r="A22" s="88" t="s">
        <v>458</v>
      </c>
      <c r="B22" s="89">
        <f ca="1">L17</f>
        <v>19.900793275411203</v>
      </c>
      <c r="C22" s="88" t="s">
        <v>501</v>
      </c>
      <c r="D22" s="89">
        <f>C6</f>
        <v>1574.7599999999979</v>
      </c>
      <c r="E22" s="90">
        <f ca="1">B22*D22</f>
        <v>31338.973218386505</v>
      </c>
      <c r="F22" s="90">
        <f ca="1">E22/$F$6</f>
        <v>1177.2717212015966</v>
      </c>
      <c r="G22" s="91">
        <f ca="1">(F22-$D$6)/$D$6</f>
        <v>0.63000584451588315</v>
      </c>
      <c r="H22" s="89">
        <f ca="1">B22</f>
        <v>19.900793275411203</v>
      </c>
      <c r="I22" s="88" t="s">
        <v>501</v>
      </c>
      <c r="J22" s="89">
        <f>C5</f>
        <v>1896.5999999999956</v>
      </c>
      <c r="K22" s="90">
        <f ca="1">J22*H22</f>
        <v>37743.8445261448</v>
      </c>
      <c r="L22" s="90">
        <f ca="1">K22/$F$5</f>
        <v>2210.1815236252655</v>
      </c>
      <c r="M22" s="91">
        <f ca="1">(L22-$D$5)/$D$5</f>
        <v>0.73211718152450278</v>
      </c>
      <c r="O22" s="2" t="s">
        <v>513</v>
      </c>
      <c r="P22" s="64">
        <f ca="1">AVERAGE(F22:F25)</f>
        <v>1361.8277644680718</v>
      </c>
      <c r="Q22" s="64">
        <f ca="1">AVERAGE(L22:L25)</f>
        <v>2331.1428796239966</v>
      </c>
      <c r="R22" s="64">
        <f ca="1">AVERAGE(L29:L32)</f>
        <v>1501.9654783613355</v>
      </c>
      <c r="S22" s="64">
        <f ca="1">AVERAGE(F29:F32)</f>
        <v>265.07915623137478</v>
      </c>
    </row>
    <row r="23" spans="1:20" x14ac:dyDescent="0.3">
      <c r="A23" s="88" t="s">
        <v>506</v>
      </c>
      <c r="B23" s="89">
        <f ca="1">M17</f>
        <v>34.096029993208468</v>
      </c>
      <c r="C23" s="88" t="s">
        <v>502</v>
      </c>
      <c r="D23" s="89">
        <f>E6</f>
        <v>570.73999999999796</v>
      </c>
      <c r="E23" s="90">
        <f t="shared" ref="E23:E25" ca="1" si="8">B23*D23</f>
        <v>19459.968158323732</v>
      </c>
      <c r="F23" s="90">
        <f t="shared" ref="F23:F25" ca="1" si="9">E23/$F$6</f>
        <v>731.02810512110182</v>
      </c>
      <c r="G23" s="91">
        <f t="shared" ref="G23:G25" ca="1" si="10">(F23-$D$6)/$D$6</f>
        <v>1.2153831943373924E-2</v>
      </c>
      <c r="H23" s="89">
        <f t="shared" ref="H23:H25" ca="1" si="11">B23</f>
        <v>34.096029993208468</v>
      </c>
      <c r="I23" s="88" t="s">
        <v>502</v>
      </c>
      <c r="J23" s="89">
        <f>E5</f>
        <v>567.26999999999566</v>
      </c>
      <c r="K23" s="90">
        <f t="shared" ref="K23:K25" ca="1" si="12">J23*H23</f>
        <v>19341.654934247221</v>
      </c>
      <c r="L23" s="90">
        <f t="shared" ref="L23:L25" ca="1" si="13">K23/$F$5</f>
        <v>1132.5970872521248</v>
      </c>
      <c r="M23" s="91">
        <f t="shared" ref="M23:M25" ca="1" si="14">(L23-$D$5)/$D$5</f>
        <v>-0.11238472785883639</v>
      </c>
      <c r="O23" s="2" t="s">
        <v>531</v>
      </c>
      <c r="P23" s="64">
        <f ca="1">D6</f>
        <v>722.25</v>
      </c>
      <c r="Q23" s="64">
        <f ca="1">D5</f>
        <v>1276</v>
      </c>
      <c r="R23" s="64">
        <f ca="1">D4</f>
        <v>1444.9</v>
      </c>
      <c r="S23" s="64">
        <f ca="1">D8</f>
        <v>315.95</v>
      </c>
    </row>
    <row r="24" spans="1:20" x14ac:dyDescent="0.3">
      <c r="A24" s="88" t="s">
        <v>507</v>
      </c>
      <c r="B24" s="89">
        <f ca="1">N17</f>
        <v>5.910676741587003</v>
      </c>
      <c r="C24" s="88" t="s">
        <v>504</v>
      </c>
      <c r="D24" s="89">
        <f>H6</f>
        <v>5347.45</v>
      </c>
      <c r="E24" s="90">
        <f t="shared" ca="1" si="8"/>
        <v>31607.048341799418</v>
      </c>
      <c r="F24" s="90">
        <f t="shared" ca="1" si="9"/>
        <v>1187.3421616002786</v>
      </c>
      <c r="G24" s="91">
        <f t="shared" ca="1" si="10"/>
        <v>0.64394899494673397</v>
      </c>
      <c r="H24" s="89">
        <f t="shared" ca="1" si="11"/>
        <v>5.910676741587003</v>
      </c>
      <c r="I24" s="88" t="s">
        <v>504</v>
      </c>
      <c r="J24" s="89">
        <f>H5</f>
        <v>6468.86</v>
      </c>
      <c r="K24" s="90">
        <f t="shared" ca="1" si="12"/>
        <v>38235.340346582496</v>
      </c>
      <c r="L24" s="90">
        <f t="shared" ca="1" si="13"/>
        <v>2238.9622425718467</v>
      </c>
      <c r="M24" s="91">
        <f t="shared" ca="1" si="14"/>
        <v>0.75467260389643154</v>
      </c>
      <c r="O24" s="2" t="s">
        <v>532</v>
      </c>
      <c r="P24" s="108">
        <f ca="1">(P22-P23)/P23</f>
        <v>0.88553515329604959</v>
      </c>
      <c r="Q24" s="108">
        <f t="shared" ref="Q24:S24" ca="1" si="15">(Q22-Q23)/Q23</f>
        <v>0.82691448246394716</v>
      </c>
      <c r="R24" s="108">
        <f t="shared" ca="1" si="15"/>
        <v>3.9494413704294698E-2</v>
      </c>
      <c r="S24" s="108">
        <f t="shared" ca="1" si="15"/>
        <v>-0.16100915894484952</v>
      </c>
    </row>
    <row r="25" spans="1:20" x14ac:dyDescent="0.3">
      <c r="A25" s="88" t="s">
        <v>508</v>
      </c>
      <c r="B25" s="89">
        <f ca="1">O17</f>
        <v>2.8562226197647287</v>
      </c>
      <c r="C25" s="88" t="s">
        <v>512</v>
      </c>
      <c r="D25" s="89">
        <f>J6</f>
        <v>21917.56</v>
      </c>
      <c r="E25" s="90">
        <f t="shared" ca="1" si="8"/>
        <v>62601.430642050633</v>
      </c>
      <c r="F25" s="90">
        <f t="shared" ca="1" si="9"/>
        <v>2351.6690699493101</v>
      </c>
      <c r="G25" s="91">
        <f t="shared" ca="1" si="10"/>
        <v>2.2560319417782071</v>
      </c>
      <c r="H25" s="89">
        <f t="shared" ca="1" si="11"/>
        <v>2.8562226197647287</v>
      </c>
      <c r="I25" s="88" t="s">
        <v>512</v>
      </c>
      <c r="J25" s="89">
        <f>J5</f>
        <v>22378.26</v>
      </c>
      <c r="K25" s="90">
        <f t="shared" ca="1" si="12"/>
        <v>63917.292402976236</v>
      </c>
      <c r="L25" s="90">
        <f t="shared" ca="1" si="13"/>
        <v>3742.8306650467489</v>
      </c>
      <c r="M25" s="91">
        <f t="shared" ca="1" si="14"/>
        <v>1.9332528722936904</v>
      </c>
    </row>
    <row r="26" spans="1:20" x14ac:dyDescent="0.3">
      <c r="A26" s="130" t="s">
        <v>524</v>
      </c>
      <c r="B26" s="128" t="e" vm="5">
        <v>#VALUE!</v>
      </c>
      <c r="C26" s="128"/>
      <c r="D26" s="128"/>
      <c r="E26" s="128"/>
      <c r="F26" s="128"/>
      <c r="G26" s="128"/>
      <c r="H26" s="128" t="e" vm="1">
        <v>#VALUE!</v>
      </c>
      <c r="I26" s="128"/>
      <c r="J26" s="128"/>
      <c r="K26" s="128"/>
      <c r="L26" s="128"/>
      <c r="M26" s="128"/>
    </row>
    <row r="27" spans="1:20" x14ac:dyDescent="0.3">
      <c r="A27" s="130"/>
      <c r="B27" s="128"/>
      <c r="C27" s="128"/>
      <c r="D27" s="128"/>
      <c r="E27" s="128"/>
      <c r="F27" s="128"/>
      <c r="G27" s="128"/>
      <c r="H27" s="128"/>
      <c r="I27" s="128"/>
      <c r="J27" s="128"/>
      <c r="K27" s="128"/>
      <c r="L27" s="128"/>
      <c r="M27" s="128"/>
    </row>
    <row r="28" spans="1:20" ht="21" customHeight="1" x14ac:dyDescent="0.3">
      <c r="A28" s="130"/>
      <c r="B28" s="92" t="s">
        <v>465</v>
      </c>
      <c r="C28" s="93" t="s">
        <v>467</v>
      </c>
      <c r="D28" s="92" t="s">
        <v>465</v>
      </c>
      <c r="E28" s="94" t="s">
        <v>514</v>
      </c>
      <c r="F28" s="94" t="s">
        <v>513</v>
      </c>
      <c r="G28" s="94" t="e" vm="11">
        <v>#VALUE!</v>
      </c>
      <c r="H28" s="92" t="s">
        <v>465</v>
      </c>
      <c r="I28" s="93" t="s">
        <v>467</v>
      </c>
      <c r="J28" s="92" t="s">
        <v>465</v>
      </c>
      <c r="K28" s="94" t="s">
        <v>514</v>
      </c>
      <c r="L28" s="94" t="s">
        <v>513</v>
      </c>
      <c r="M28" s="94" t="e" vm="11">
        <v>#VALUE!</v>
      </c>
    </row>
    <row r="29" spans="1:20" x14ac:dyDescent="0.3">
      <c r="A29" s="130"/>
      <c r="B29" s="89">
        <f ca="1">B22</f>
        <v>19.900793275411203</v>
      </c>
      <c r="C29" s="88" t="s">
        <v>501</v>
      </c>
      <c r="D29" s="89">
        <f>C8</f>
        <v>2538.3999999999978</v>
      </c>
      <c r="E29" s="90">
        <f ca="1">B29*D29</f>
        <v>50516.173650303754</v>
      </c>
      <c r="F29" s="90">
        <f ca="1">E29/$F$8</f>
        <v>242.28148243328002</v>
      </c>
      <c r="G29" s="91">
        <f ca="1">(F29-$D$8)/$D$8</f>
        <v>-0.23316511336198756</v>
      </c>
      <c r="H29" s="89">
        <f ca="1">H22</f>
        <v>19.900793275411203</v>
      </c>
      <c r="I29" s="88" t="s">
        <v>501</v>
      </c>
      <c r="J29" s="89">
        <f>C4</f>
        <v>20048.270000000004</v>
      </c>
      <c r="K29" s="90">
        <f ca="1">H29*J29</f>
        <v>398976.47679962823</v>
      </c>
      <c r="L29" s="90">
        <f ca="1">K29/$F$8</f>
        <v>1913.5378883637961</v>
      </c>
      <c r="M29" s="91">
        <f ca="1">(L29-$D$4)/$D$4</f>
        <v>0.3243393233883286</v>
      </c>
    </row>
    <row r="30" spans="1:20" x14ac:dyDescent="0.3">
      <c r="A30" s="130"/>
      <c r="B30" s="89">
        <f t="shared" ref="B30:B32" ca="1" si="16">B23</f>
        <v>34.096029993208468</v>
      </c>
      <c r="C30" s="88" t="s">
        <v>502</v>
      </c>
      <c r="D30" s="89">
        <f>E8</f>
        <v>1574.4699999999975</v>
      </c>
      <c r="E30" s="90">
        <f t="shared" ref="E30:E32" ca="1" si="17">B30*D30</f>
        <v>53683.176343406849</v>
      </c>
      <c r="F30" s="90">
        <f t="shared" ref="F30:F32" ca="1" si="18">E30/$F$8</f>
        <v>257.47079809021903</v>
      </c>
      <c r="G30" s="91">
        <f t="shared" ref="G30:G32" ca="1" si="19">(F30-$D$8)/$D$8</f>
        <v>-0.18509005193790459</v>
      </c>
      <c r="H30" s="89">
        <f t="shared" ref="H30:H32" ca="1" si="20">H23</f>
        <v>34.096029993208468</v>
      </c>
      <c r="I30" s="88" t="s">
        <v>502</v>
      </c>
      <c r="J30" s="89">
        <f>E4</f>
        <v>11061.260000000004</v>
      </c>
      <c r="K30" s="90">
        <f t="shared" ref="K30:K32" ca="1" si="21">H30*J30</f>
        <v>377145.05272267724</v>
      </c>
      <c r="L30" s="90">
        <f t="shared" ref="L30:L32" ca="1" si="22">K30/$F$8</f>
        <v>1808.8318228250914</v>
      </c>
      <c r="M30" s="91">
        <f t="shared" ref="M30:M32" ca="1" si="23">(L30-$D$4)/$D$4</f>
        <v>0.25187336343351879</v>
      </c>
    </row>
    <row r="31" spans="1:20" x14ac:dyDescent="0.3">
      <c r="A31" s="130"/>
      <c r="B31" s="89">
        <f t="shared" ca="1" si="16"/>
        <v>5.910676741587003</v>
      </c>
      <c r="C31" s="88" t="s">
        <v>504</v>
      </c>
      <c r="D31" s="89">
        <f>H8</f>
        <v>8623.7199999999993</v>
      </c>
      <c r="E31" s="90">
        <f t="shared" ca="1" si="17"/>
        <v>50972.021229958664</v>
      </c>
      <c r="F31" s="90">
        <f t="shared" ca="1" si="18"/>
        <v>244.46778078847524</v>
      </c>
      <c r="G31" s="91">
        <f t="shared" ca="1" si="19"/>
        <v>-0.22624535278216412</v>
      </c>
      <c r="H31" s="89">
        <f t="shared" ca="1" si="20"/>
        <v>5.910676741587003</v>
      </c>
      <c r="I31" s="88" t="s">
        <v>504</v>
      </c>
      <c r="J31" s="89">
        <f>H4</f>
        <v>64973.34</v>
      </c>
      <c r="K31" s="90">
        <f t="shared" ca="1" si="21"/>
        <v>384036.40956122446</v>
      </c>
      <c r="L31" s="90">
        <f t="shared" ca="1" si="22"/>
        <v>1841.8835769499785</v>
      </c>
      <c r="M31" s="91">
        <f t="shared" ca="1" si="23"/>
        <v>0.27474813270813098</v>
      </c>
    </row>
    <row r="32" spans="1:20" x14ac:dyDescent="0.3">
      <c r="A32" s="130"/>
      <c r="B32" s="89">
        <f t="shared" ca="1" si="16"/>
        <v>2.8562226197647287</v>
      </c>
      <c r="C32" s="88" t="s">
        <v>512</v>
      </c>
      <c r="D32" s="89">
        <f>J8</f>
        <v>23074.799999999999</v>
      </c>
      <c r="E32" s="90">
        <f t="shared" ca="1" si="17"/>
        <v>65906.765706547158</v>
      </c>
      <c r="F32" s="90">
        <f t="shared" ca="1" si="18"/>
        <v>316.09656361352484</v>
      </c>
      <c r="G32" s="91">
        <f t="shared" ca="1" si="19"/>
        <v>4.6388230265816544E-4</v>
      </c>
      <c r="H32" s="89">
        <f t="shared" ca="1" si="20"/>
        <v>2.8562226197647287</v>
      </c>
      <c r="I32" s="88" t="s">
        <v>512</v>
      </c>
      <c r="J32" s="89">
        <f>J4</f>
        <v>32383.08</v>
      </c>
      <c r="K32" s="90">
        <f t="shared" ca="1" si="21"/>
        <v>92493.285593650799</v>
      </c>
      <c r="L32" s="90">
        <f t="shared" ca="1" si="22"/>
        <v>443.60862530647569</v>
      </c>
      <c r="M32" s="91">
        <f t="shared" ca="1" si="23"/>
        <v>-0.69298316471279975</v>
      </c>
    </row>
  </sheetData>
  <mergeCells count="6">
    <mergeCell ref="B19:G20"/>
    <mergeCell ref="A19:A21"/>
    <mergeCell ref="H19:M20"/>
    <mergeCell ref="B26:G27"/>
    <mergeCell ref="H26:M27"/>
    <mergeCell ref="A26:A32"/>
  </mergeCells>
  <conditionalFormatting sqref="G22:G25">
    <cfRule type="cellIs" dxfId="7" priority="7" operator="lessThan">
      <formula>0</formula>
    </cfRule>
    <cfRule type="cellIs" dxfId="6" priority="8" operator="greaterThan">
      <formula>0</formula>
    </cfRule>
  </conditionalFormatting>
  <conditionalFormatting sqref="G29:G32">
    <cfRule type="cellIs" dxfId="5" priority="3" operator="lessThan">
      <formula>0</formula>
    </cfRule>
    <cfRule type="cellIs" dxfId="4" priority="4" operator="greaterThan">
      <formula>0</formula>
    </cfRule>
  </conditionalFormatting>
  <conditionalFormatting sqref="M22:M25">
    <cfRule type="cellIs" dxfId="3" priority="5" operator="lessThan">
      <formula>0</formula>
    </cfRule>
    <cfRule type="cellIs" dxfId="2" priority="6" operator="greaterThan">
      <formula>0</formula>
    </cfRule>
  </conditionalFormatting>
  <conditionalFormatting sqref="M29:M32">
    <cfRule type="cellIs" dxfId="1" priority="1" operator="lessThan">
      <formula>0</formula>
    </cfRule>
    <cfRule type="cellIs" dxfId="0" priority="2" operator="greaterThan">
      <formula>0</formula>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3FA2C1-D7A0-4221-B958-F8B4E98F4A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Company Info</vt:lpstr>
      <vt:lpstr>Balance Sheet</vt:lpstr>
      <vt:lpstr>Income Statement</vt:lpstr>
      <vt:lpstr>Cash Flow Statement</vt:lpstr>
      <vt:lpstr>Ratio Analysis</vt:lpstr>
      <vt:lpstr>WACC &amp; Key Assumptions</vt:lpstr>
      <vt:lpstr>DCF</vt:lpstr>
      <vt:lpstr>Relative 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2025-11-10T17:44:16Z</dcterms:modified>
</cp:coreProperties>
</file>
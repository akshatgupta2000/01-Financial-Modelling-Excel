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333415F0-E820-454E-8F0C-1AD96EEB45EB}" xr6:coauthVersionLast="47" xr6:coauthVersionMax="47" xr10:uidLastSave="{00000000-0000-0000-0000-000000000000}"/>
  <bookViews>
    <workbookView xWindow="13728" yWindow="0" windowWidth="9408" windowHeight="12336" firstSheet="6" activeTab="6" xr2:uid="{B1420911-A13B-4346-A94A-38D3069F7C8A}"/>
  </bookViews>
  <sheets>
    <sheet name="Company Profile" sheetId="1" r:id="rId1"/>
    <sheet name="Balance Sheet" sheetId="2" r:id="rId2"/>
    <sheet name="Common Size Balance Sheet" sheetId="6" r:id="rId3"/>
    <sheet name="Income Statement" sheetId="3" r:id="rId4"/>
    <sheet name="Common Size Income Statement" sheetId="5" r:id="rId5"/>
    <sheet name="Cash Flow Statement" sheetId="4" r:id="rId6"/>
    <sheet name="Financial Ratio" sheetId="7" r:id="rId7"/>
    <sheet name="Dupont Analysis" sheetId="8" r:id="rId8"/>
    <sheet name="Balance Sheet Forecast" sheetId="9" r:id="rId9"/>
    <sheet name="Income Statement Forecast" sheetId="10" r:id="rId10"/>
    <sheet name="WACC &amp; Key Assumptions" sheetId="11" r:id="rId11"/>
    <sheet name="DCF Valuation" sheetId="12" r:id="rId12"/>
    <sheet name="Calc" sheetId="14" r:id="rId13"/>
    <sheet name="Relative Valuation" sheetId="13"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39" i="7" l="1"/>
  <c r="AQ39" i="7"/>
  <c r="AR39" i="7"/>
  <c r="AS39" i="7"/>
  <c r="AO39" i="7"/>
  <c r="AH39" i="7"/>
  <c r="AI39" i="7"/>
  <c r="AJ39" i="7"/>
  <c r="AK39" i="7"/>
  <c r="AL39" i="7"/>
  <c r="AG39" i="7"/>
  <c r="Z39" i="7"/>
  <c r="AA39" i="7"/>
  <c r="AB39" i="7"/>
  <c r="AC39" i="7"/>
  <c r="AD39" i="7"/>
  <c r="Y39" i="7"/>
  <c r="R39" i="7"/>
  <c r="S39" i="7"/>
  <c r="T39" i="7"/>
  <c r="U39" i="7"/>
  <c r="V39" i="7"/>
  <c r="Q39" i="7"/>
  <c r="J39" i="7"/>
  <c r="K39" i="7"/>
  <c r="L39" i="7"/>
  <c r="M39" i="7"/>
  <c r="N39" i="7"/>
  <c r="C39" i="7"/>
  <c r="D39" i="7"/>
  <c r="E39" i="7"/>
  <c r="F39" i="7"/>
  <c r="B39" i="7"/>
  <c r="D29" i="14"/>
  <c r="D28" i="14"/>
  <c r="D27" i="14"/>
  <c r="D26" i="14"/>
  <c r="D25" i="14"/>
  <c r="D24" i="14"/>
  <c r="D23" i="14"/>
  <c r="A24" i="14"/>
  <c r="A25" i="14"/>
  <c r="A26" i="14"/>
  <c r="A27" i="14"/>
  <c r="A28" i="14"/>
  <c r="A29" i="14"/>
  <c r="A23" i="14"/>
  <c r="C29" i="14"/>
  <c r="C24" i="14"/>
  <c r="C25" i="14"/>
  <c r="C26" i="14"/>
  <c r="C27" i="14"/>
  <c r="C28" i="14"/>
  <c r="C23" i="14"/>
  <c r="D21" i="14" l="1"/>
  <c r="D20" i="14"/>
  <c r="D19" i="14"/>
  <c r="D18" i="14"/>
  <c r="D17" i="14"/>
  <c r="D16" i="14"/>
  <c r="D14" i="14"/>
  <c r="D13" i="14"/>
  <c r="D12" i="14"/>
  <c r="D11" i="14"/>
  <c r="D10" i="14"/>
  <c r="D9" i="14"/>
  <c r="D7" i="14"/>
  <c r="D6" i="14"/>
  <c r="D5" i="14"/>
  <c r="D4" i="14"/>
  <c r="D3" i="14"/>
  <c r="D2" i="14"/>
  <c r="M8" i="14"/>
  <c r="M3" i="14"/>
  <c r="M4" i="14"/>
  <c r="M5" i="14"/>
  <c r="M6" i="14"/>
  <c r="M7" i="14"/>
  <c r="M2" i="14"/>
  <c r="L7" i="14"/>
  <c r="L6" i="14"/>
  <c r="L5" i="14"/>
  <c r="L4" i="14"/>
  <c r="L3" i="14"/>
  <c r="L2" i="14"/>
  <c r="K7" i="14"/>
  <c r="K6" i="14"/>
  <c r="K5" i="14"/>
  <c r="K4" i="14"/>
  <c r="K3" i="14"/>
  <c r="K2" i="14"/>
  <c r="J8" i="14"/>
  <c r="J3" i="14"/>
  <c r="J4" i="14"/>
  <c r="J5" i="14"/>
  <c r="J6" i="14"/>
  <c r="J7" i="14"/>
  <c r="J2" i="14"/>
  <c r="I7" i="14"/>
  <c r="I6" i="14"/>
  <c r="I5" i="14"/>
  <c r="I4" i="14"/>
  <c r="I3" i="14"/>
  <c r="I2" i="14"/>
  <c r="H7" i="14"/>
  <c r="H6" i="14"/>
  <c r="H5" i="14"/>
  <c r="H4" i="14"/>
  <c r="H3" i="14"/>
  <c r="H2" i="14"/>
  <c r="G3" i="14"/>
  <c r="G4" i="14"/>
  <c r="G5" i="14"/>
  <c r="G6" i="14"/>
  <c r="G7" i="14"/>
  <c r="G8" i="14"/>
  <c r="G2" i="14"/>
  <c r="C10" i="14"/>
  <c r="C11" i="14"/>
  <c r="C12" i="14"/>
  <c r="C13" i="14"/>
  <c r="C20" i="14" s="1"/>
  <c r="C14" i="14"/>
  <c r="C21" i="14" s="1"/>
  <c r="C15" i="14"/>
  <c r="C22" i="14" s="1"/>
  <c r="C17" i="14"/>
  <c r="C18" i="14"/>
  <c r="C19" i="14"/>
  <c r="C16" i="14"/>
  <c r="C9" i="14"/>
  <c r="A17" i="14"/>
  <c r="A18" i="14"/>
  <c r="A19" i="14"/>
  <c r="A20" i="14"/>
  <c r="A21" i="14"/>
  <c r="A22" i="14"/>
  <c r="A16" i="14"/>
  <c r="C40" i="10"/>
  <c r="C39" i="10"/>
  <c r="C38" i="10"/>
  <c r="C37" i="10"/>
  <c r="C36" i="10"/>
  <c r="C35" i="10"/>
  <c r="C34" i="10"/>
  <c r="C33" i="10"/>
  <c r="C32" i="10"/>
  <c r="C31" i="10"/>
  <c r="C30" i="10"/>
  <c r="C29" i="10"/>
  <c r="C28" i="10"/>
  <c r="C27" i="10"/>
  <c r="C26" i="10"/>
  <c r="C25" i="10"/>
  <c r="C22" i="10"/>
  <c r="C24" i="10"/>
  <c r="C23" i="10"/>
  <c r="C21" i="10"/>
  <c r="G27" i="10"/>
  <c r="G25" i="10"/>
  <c r="AQ38" i="7"/>
  <c r="AR38" i="7"/>
  <c r="AS38" i="7"/>
  <c r="AP38" i="7"/>
  <c r="AO38" i="7"/>
  <c r="AI38" i="7"/>
  <c r="AJ38" i="7"/>
  <c r="AK38" i="7"/>
  <c r="AL38" i="7"/>
  <c r="AH38" i="7"/>
  <c r="AG38" i="7"/>
  <c r="AA38" i="7"/>
  <c r="AB38" i="7"/>
  <c r="AC38" i="7"/>
  <c r="AD38" i="7"/>
  <c r="Z38" i="7"/>
  <c r="Y38" i="7"/>
  <c r="S38" i="7"/>
  <c r="T38" i="7"/>
  <c r="U38" i="7"/>
  <c r="V38" i="7"/>
  <c r="R38" i="7"/>
  <c r="Q38" i="7"/>
  <c r="L38" i="7"/>
  <c r="M38" i="7"/>
  <c r="N38" i="7"/>
  <c r="K38" i="7"/>
  <c r="J38" i="7"/>
  <c r="B33" i="7"/>
  <c r="AY79" i="9"/>
  <c r="AZ79" i="9"/>
  <c r="BA79" i="9"/>
  <c r="BB79" i="9"/>
  <c r="AX79" i="9"/>
  <c r="AP72" i="9"/>
  <c r="AQ72" i="9"/>
  <c r="AR72" i="9"/>
  <c r="AS72" i="9"/>
  <c r="AO72" i="9"/>
  <c r="AG78" i="9"/>
  <c r="AH78" i="9"/>
  <c r="AI78" i="9"/>
  <c r="AJ78" i="9"/>
  <c r="AF78" i="9"/>
  <c r="X68" i="9"/>
  <c r="Y68" i="9"/>
  <c r="Z68" i="9"/>
  <c r="AA68" i="9"/>
  <c r="W68" i="9"/>
  <c r="N60" i="9"/>
  <c r="O60" i="9"/>
  <c r="P60" i="9"/>
  <c r="Q60" i="9"/>
  <c r="R60" i="9"/>
  <c r="M60" i="9"/>
  <c r="E55" i="9"/>
  <c r="F55" i="9"/>
  <c r="G55" i="9"/>
  <c r="H55" i="9"/>
  <c r="D55" i="9"/>
  <c r="D22" i="14" l="1"/>
  <c r="D15" i="14"/>
  <c r="D8" i="14"/>
  <c r="C41" i="10"/>
  <c r="G28" i="10" s="1"/>
  <c r="AL21" i="12"/>
  <c r="AV77" i="9"/>
  <c r="AM5" i="12"/>
  <c r="AN5" i="12"/>
  <c r="AO5" i="12"/>
  <c r="AP5" i="12"/>
  <c r="AQ5" i="12"/>
  <c r="AL5" i="12"/>
  <c r="AM70" i="9"/>
  <c r="AF5" i="12"/>
  <c r="AG5" i="12"/>
  <c r="AH5" i="12"/>
  <c r="AI5" i="12"/>
  <c r="AE5" i="12"/>
  <c r="AE21" i="12"/>
  <c r="X21" i="12"/>
  <c r="AD77" i="9"/>
  <c r="Y5" i="12"/>
  <c r="Z5" i="12"/>
  <c r="AA5" i="12"/>
  <c r="AB5" i="12"/>
  <c r="X5" i="12"/>
  <c r="R11" i="12"/>
  <c r="S11" i="12"/>
  <c r="T11" i="12"/>
  <c r="U11" i="12"/>
  <c r="U67" i="9"/>
  <c r="Q21" i="12"/>
  <c r="Q11" i="12"/>
  <c r="R5" i="12"/>
  <c r="S5" i="12"/>
  <c r="T5" i="12"/>
  <c r="U5" i="12"/>
  <c r="Q5" i="12"/>
  <c r="I21" i="12"/>
  <c r="F18" i="11"/>
  <c r="E18" i="11"/>
  <c r="G18" i="11"/>
  <c r="D18" i="11"/>
  <c r="J11" i="12" l="1"/>
  <c r="K11" i="12"/>
  <c r="L11" i="12"/>
  <c r="M11" i="12"/>
  <c r="N11" i="12"/>
  <c r="I11" i="12"/>
  <c r="K10" i="12"/>
  <c r="L10" i="12"/>
  <c r="M10" i="12"/>
  <c r="N10" i="12"/>
  <c r="J10" i="12"/>
  <c r="I10" i="12"/>
  <c r="M59" i="9"/>
  <c r="N59" i="9"/>
  <c r="O59" i="9"/>
  <c r="P59" i="9"/>
  <c r="Q59" i="9"/>
  <c r="R59" i="9"/>
  <c r="K59" i="9"/>
  <c r="B54" i="9"/>
  <c r="J7" i="12"/>
  <c r="K7" i="12"/>
  <c r="L7" i="12"/>
  <c r="M7" i="12"/>
  <c r="M8" i="12" s="1"/>
  <c r="N7" i="12"/>
  <c r="N8" i="12" s="1"/>
  <c r="I7" i="12"/>
  <c r="I8" i="12" s="1"/>
  <c r="J9" i="12"/>
  <c r="K9" i="12"/>
  <c r="L9" i="12"/>
  <c r="M9" i="12"/>
  <c r="N9" i="12"/>
  <c r="I9" i="12"/>
  <c r="C7" i="12"/>
  <c r="D7" i="12"/>
  <c r="E7" i="12"/>
  <c r="F7" i="12"/>
  <c r="B7" i="12"/>
  <c r="J8" i="12"/>
  <c r="K8" i="12"/>
  <c r="K12" i="12" s="1"/>
  <c r="L8" i="12"/>
  <c r="J6" i="12"/>
  <c r="K6" i="12"/>
  <c r="L6" i="12"/>
  <c r="M6" i="12"/>
  <c r="N6" i="12"/>
  <c r="I6" i="12"/>
  <c r="J5" i="12"/>
  <c r="K5" i="12"/>
  <c r="L5" i="12"/>
  <c r="M5" i="12"/>
  <c r="N5" i="12"/>
  <c r="I5" i="12"/>
  <c r="C15" i="13"/>
  <c r="C14" i="13"/>
  <c r="C13" i="13"/>
  <c r="C12" i="13"/>
  <c r="B15" i="13"/>
  <c r="B14" i="13"/>
  <c r="B13" i="13"/>
  <c r="B12" i="13"/>
  <c r="C6" i="13"/>
  <c r="B6" i="12"/>
  <c r="C6" i="12"/>
  <c r="D6" i="12"/>
  <c r="E6" i="12"/>
  <c r="E8" i="12" s="1"/>
  <c r="F6" i="12"/>
  <c r="C8" i="12"/>
  <c r="L12" i="12" l="1"/>
  <c r="J12" i="12"/>
  <c r="I12" i="12"/>
  <c r="N12" i="12"/>
  <c r="M12" i="12"/>
  <c r="F8" i="12"/>
  <c r="B8" i="12"/>
  <c r="D8" i="12"/>
  <c r="C11" i="12"/>
  <c r="D11" i="12"/>
  <c r="E11" i="12"/>
  <c r="F11" i="12"/>
  <c r="B11" i="12"/>
  <c r="C10" i="12"/>
  <c r="C12" i="12" s="1"/>
  <c r="D10" i="12"/>
  <c r="E10" i="12"/>
  <c r="F10" i="12"/>
  <c r="B10" i="12"/>
  <c r="D54" i="9"/>
  <c r="E54" i="9"/>
  <c r="F54" i="9"/>
  <c r="G54" i="9"/>
  <c r="C54" i="9"/>
  <c r="C9" i="12"/>
  <c r="D9" i="12"/>
  <c r="E9" i="12"/>
  <c r="F9" i="12"/>
  <c r="B9" i="12"/>
  <c r="B12" i="12"/>
  <c r="C5" i="12"/>
  <c r="D5" i="12"/>
  <c r="E5" i="12"/>
  <c r="F5" i="12"/>
  <c r="B5" i="12"/>
  <c r="G13" i="11"/>
  <c r="G14" i="11" s="1"/>
  <c r="G12" i="11"/>
  <c r="F13" i="11"/>
  <c r="F12" i="11"/>
  <c r="E13" i="11"/>
  <c r="E12" i="11"/>
  <c r="C15" i="11"/>
  <c r="D15" i="11"/>
  <c r="C16" i="11"/>
  <c r="D16" i="11"/>
  <c r="B16" i="11"/>
  <c r="B15" i="11"/>
  <c r="D13" i="11"/>
  <c r="D14" i="11" s="1"/>
  <c r="D12" i="11"/>
  <c r="C13" i="11"/>
  <c r="C12" i="11"/>
  <c r="E14" i="11"/>
  <c r="E16" i="11" s="1"/>
  <c r="B14" i="11"/>
  <c r="B13" i="11"/>
  <c r="B12" i="11"/>
  <c r="C10" i="11"/>
  <c r="D10" i="11"/>
  <c r="E10" i="11"/>
  <c r="F10" i="11"/>
  <c r="G10" i="11"/>
  <c r="B10" i="11"/>
  <c r="G9" i="11"/>
  <c r="F9" i="11"/>
  <c r="E9" i="11"/>
  <c r="D9" i="11"/>
  <c r="C9" i="11"/>
  <c r="B9" i="11"/>
  <c r="N15" i="10"/>
  <c r="O15" i="10"/>
  <c r="P15" i="10"/>
  <c r="Q15" i="10"/>
  <c r="R15" i="10"/>
  <c r="M15" i="10"/>
  <c r="L15" i="10"/>
  <c r="E15" i="9"/>
  <c r="F15" i="9"/>
  <c r="G15" i="9"/>
  <c r="H15" i="9"/>
  <c r="D15" i="9"/>
  <c r="E15" i="10"/>
  <c r="F15" i="10"/>
  <c r="G15" i="10"/>
  <c r="H15" i="10"/>
  <c r="D15" i="10"/>
  <c r="C15" i="10"/>
  <c r="B8" i="11" s="1"/>
  <c r="G8" i="11"/>
  <c r="F8" i="11"/>
  <c r="E8" i="11"/>
  <c r="D8" i="11"/>
  <c r="C8" i="11"/>
  <c r="AW15" i="10"/>
  <c r="AV15" i="10"/>
  <c r="AV17" i="10"/>
  <c r="AW17" i="10"/>
  <c r="AY32" i="9"/>
  <c r="AZ32" i="9"/>
  <c r="BA32" i="9"/>
  <c r="AW32" i="9"/>
  <c r="BB32" i="9" s="1"/>
  <c r="AX29" i="9"/>
  <c r="AY29" i="9" s="1"/>
  <c r="AZ29" i="9" s="1"/>
  <c r="BA29" i="9" s="1"/>
  <c r="BB29" i="9" s="1"/>
  <c r="BC29" i="9" s="1"/>
  <c r="AW29" i="9"/>
  <c r="AX27" i="9"/>
  <c r="AY27" i="9"/>
  <c r="AZ27" i="9"/>
  <c r="BA27" i="9"/>
  <c r="BB27" i="9"/>
  <c r="BC27" i="9"/>
  <c r="AW72" i="9"/>
  <c r="AX72" i="9"/>
  <c r="AW69" i="9"/>
  <c r="BB69" i="9" s="1"/>
  <c r="AW26" i="9" s="1"/>
  <c r="AX69" i="9"/>
  <c r="AY69" i="9"/>
  <c r="AZ69" i="9"/>
  <c r="AV69" i="9"/>
  <c r="AX71" i="9"/>
  <c r="AZ71" i="9"/>
  <c r="AW68" i="9"/>
  <c r="AW71" i="9" s="1"/>
  <c r="AX68" i="9"/>
  <c r="AY68" i="9"/>
  <c r="AY71" i="9" s="1"/>
  <c r="AZ68" i="9"/>
  <c r="AV68" i="9"/>
  <c r="AV71" i="9" s="1"/>
  <c r="AY22" i="9"/>
  <c r="AZ22" i="9"/>
  <c r="BA22" i="9"/>
  <c r="BB22" i="9"/>
  <c r="BC22" i="9"/>
  <c r="AX22" i="9"/>
  <c r="BB73" i="9"/>
  <c r="AW16" i="9" s="1"/>
  <c r="AY16" i="9" s="1"/>
  <c r="BB75" i="9"/>
  <c r="AW28" i="9" s="1"/>
  <c r="AZ28" i="9" s="1"/>
  <c r="BB76" i="9"/>
  <c r="AW10" i="9" s="1"/>
  <c r="BB74" i="9"/>
  <c r="AW34" i="9" s="1"/>
  <c r="AY11" i="9"/>
  <c r="AZ11" i="9"/>
  <c r="BA11" i="9"/>
  <c r="BB11" i="9"/>
  <c r="BC11" i="9"/>
  <c r="AX11" i="9"/>
  <c r="AZ9" i="9"/>
  <c r="AW9" i="9"/>
  <c r="BA9" i="9" s="1"/>
  <c r="AW8" i="9"/>
  <c r="AW6" i="9"/>
  <c r="BA6" i="9" s="1"/>
  <c r="AV9" i="9"/>
  <c r="AV34" i="9"/>
  <c r="AV33" i="9"/>
  <c r="AV32" i="9"/>
  <c r="AV31" i="9"/>
  <c r="AV29" i="9"/>
  <c r="AV28" i="9"/>
  <c r="AV27" i="9"/>
  <c r="AV26" i="9"/>
  <c r="AV23" i="9"/>
  <c r="AV22" i="9"/>
  <c r="AV17" i="9"/>
  <c r="AV16" i="9"/>
  <c r="AV15" i="9"/>
  <c r="AV14" i="9"/>
  <c r="AV11" i="9"/>
  <c r="AV10" i="9"/>
  <c r="AV19" i="9" s="1"/>
  <c r="AV8" i="9"/>
  <c r="AY7" i="9"/>
  <c r="AZ7" i="9"/>
  <c r="BA7" i="9"/>
  <c r="BB7" i="9"/>
  <c r="BC7" i="9"/>
  <c r="AX7" i="9"/>
  <c r="AV7" i="9"/>
  <c r="AV6" i="9"/>
  <c r="AV5" i="9"/>
  <c r="AV13" i="10"/>
  <c r="AV10" i="10"/>
  <c r="AV9" i="10"/>
  <c r="AW76" i="9"/>
  <c r="AX76" i="9"/>
  <c r="AY76" i="9"/>
  <c r="AZ76" i="9"/>
  <c r="AV76" i="9"/>
  <c r="AW75" i="9"/>
  <c r="AX75" i="9"/>
  <c r="AY75" i="9"/>
  <c r="AZ75" i="9"/>
  <c r="AV75" i="9"/>
  <c r="AW74" i="9"/>
  <c r="AX74" i="9"/>
  <c r="AY74" i="9"/>
  <c r="AZ74" i="9"/>
  <c r="AV74" i="9"/>
  <c r="AW73" i="9"/>
  <c r="AX73" i="9"/>
  <c r="AY73" i="9"/>
  <c r="AZ73" i="9"/>
  <c r="AV73" i="9"/>
  <c r="AW70" i="9"/>
  <c r="AX70" i="9"/>
  <c r="AY70" i="9"/>
  <c r="AZ70" i="9"/>
  <c r="AV70" i="9"/>
  <c r="AW67" i="9"/>
  <c r="AX67" i="9"/>
  <c r="AY67" i="9"/>
  <c r="AZ67" i="9"/>
  <c r="AV67" i="9"/>
  <c r="AW66" i="9"/>
  <c r="AX66" i="9"/>
  <c r="AY66" i="9"/>
  <c r="AZ66" i="9"/>
  <c r="AV66" i="9"/>
  <c r="BB66" i="9" s="1"/>
  <c r="AW14" i="9" s="1"/>
  <c r="AW65" i="9"/>
  <c r="AX65" i="9"/>
  <c r="AY65" i="9"/>
  <c r="AZ65" i="9"/>
  <c r="AV65" i="9"/>
  <c r="AW64" i="9"/>
  <c r="AX64" i="9"/>
  <c r="AW63" i="9"/>
  <c r="AX63" i="9"/>
  <c r="AY63" i="9"/>
  <c r="AZ63" i="9"/>
  <c r="AV63" i="9"/>
  <c r="AW62" i="9"/>
  <c r="AX62" i="9"/>
  <c r="AY62" i="9"/>
  <c r="AZ62" i="9"/>
  <c r="AV62" i="9"/>
  <c r="BB62" i="9" s="1"/>
  <c r="AW9" i="10" s="1"/>
  <c r="AY9" i="10" s="1"/>
  <c r="AW61" i="9"/>
  <c r="AX61" i="9"/>
  <c r="AY61" i="9"/>
  <c r="AZ61" i="9"/>
  <c r="AV61" i="9"/>
  <c r="AW60" i="9"/>
  <c r="BB60" i="9" s="1"/>
  <c r="AW15" i="9" s="1"/>
  <c r="AX60" i="9"/>
  <c r="AY60" i="9"/>
  <c r="AZ60" i="9"/>
  <c r="AV60" i="9"/>
  <c r="AW59" i="9"/>
  <c r="AX59" i="9"/>
  <c r="AY59" i="9"/>
  <c r="AZ59" i="9"/>
  <c r="AV59" i="9"/>
  <c r="BB58" i="9"/>
  <c r="AW31" i="9" s="1"/>
  <c r="AW58" i="9"/>
  <c r="AX58" i="9"/>
  <c r="AY58" i="9"/>
  <c r="AZ58" i="9"/>
  <c r="AV58" i="9"/>
  <c r="AW57" i="9"/>
  <c r="AX57" i="9"/>
  <c r="AY57" i="9"/>
  <c r="AZ57" i="9"/>
  <c r="AV57" i="9"/>
  <c r="AW52" i="9"/>
  <c r="AX52" i="9"/>
  <c r="AY52" i="9"/>
  <c r="AZ52" i="9"/>
  <c r="AW53" i="9"/>
  <c r="AX53" i="9"/>
  <c r="AY53" i="9"/>
  <c r="AZ53" i="9"/>
  <c r="AV53" i="9"/>
  <c r="BB53" i="9" s="1"/>
  <c r="AV52" i="9"/>
  <c r="AW51" i="9"/>
  <c r="AX51" i="9"/>
  <c r="AY51" i="9"/>
  <c r="AZ51" i="9"/>
  <c r="AV51" i="9"/>
  <c r="AV8" i="10"/>
  <c r="AV5" i="10"/>
  <c r="AV4" i="10"/>
  <c r="AX5" i="10"/>
  <c r="AY5" i="10" s="1"/>
  <c r="AZ5" i="10" s="1"/>
  <c r="BA5" i="10" s="1"/>
  <c r="BB5" i="10" s="1"/>
  <c r="BC5" i="10" s="1"/>
  <c r="AX4" i="10"/>
  <c r="AY4" i="10" s="1"/>
  <c r="AZ4" i="10" s="1"/>
  <c r="BA4" i="10" s="1"/>
  <c r="BB4" i="10" s="1"/>
  <c r="BC4" i="10" s="1"/>
  <c r="AW5" i="10"/>
  <c r="AW4" i="10"/>
  <c r="AW46" i="9"/>
  <c r="AW47" i="9" s="1"/>
  <c r="AX46" i="9"/>
  <c r="AY46" i="9"/>
  <c r="AY47" i="9" s="1"/>
  <c r="AZ46" i="9"/>
  <c r="AZ64" i="9" s="1"/>
  <c r="AX47" i="9"/>
  <c r="AZ47" i="9"/>
  <c r="AV46" i="9"/>
  <c r="AV64" i="9" s="1"/>
  <c r="AW45" i="9"/>
  <c r="AX45" i="9"/>
  <c r="AY45" i="9"/>
  <c r="AZ45" i="9"/>
  <c r="AV45" i="9"/>
  <c r="AW42" i="9"/>
  <c r="AX42" i="9"/>
  <c r="AY42" i="9"/>
  <c r="AZ42" i="9"/>
  <c r="AW43" i="9"/>
  <c r="AW44" i="9" s="1"/>
  <c r="AX43" i="9"/>
  <c r="AX44" i="9" s="1"/>
  <c r="AY43" i="9"/>
  <c r="AY44" i="9" s="1"/>
  <c r="AZ43" i="9"/>
  <c r="AZ44" i="9" s="1"/>
  <c r="BB44" i="9" s="1"/>
  <c r="AW13" i="10" s="1"/>
  <c r="AX13" i="10" s="1"/>
  <c r="AL9" i="12" s="1"/>
  <c r="AV44" i="9"/>
  <c r="AV43" i="9"/>
  <c r="AV42" i="9"/>
  <c r="AW41" i="9"/>
  <c r="AX41" i="9"/>
  <c r="AY41" i="9"/>
  <c r="AZ41" i="9"/>
  <c r="AV41" i="9"/>
  <c r="AW40" i="9"/>
  <c r="AX40" i="9"/>
  <c r="AY40" i="9"/>
  <c r="AZ40" i="9"/>
  <c r="AV40" i="9"/>
  <c r="AW39" i="9"/>
  <c r="AX39" i="9"/>
  <c r="AY39" i="9"/>
  <c r="AZ39" i="9"/>
  <c r="AV39" i="9"/>
  <c r="AN17" i="10"/>
  <c r="AM17" i="10"/>
  <c r="AM33" i="9"/>
  <c r="AO28" i="9"/>
  <c r="AP28" i="9"/>
  <c r="AQ28" i="9"/>
  <c r="AR28" i="9"/>
  <c r="AS28" i="9"/>
  <c r="AM28" i="9"/>
  <c r="AM27" i="9"/>
  <c r="AN25" i="9"/>
  <c r="AO25" i="9" s="1"/>
  <c r="AM25" i="9"/>
  <c r="AM22" i="9"/>
  <c r="AO21" i="9"/>
  <c r="AP21" i="9"/>
  <c r="AQ21" i="9"/>
  <c r="AR21" i="9"/>
  <c r="AS21" i="9"/>
  <c r="AM21" i="9"/>
  <c r="AM23" i="9" s="1"/>
  <c r="AM34" i="9" s="1"/>
  <c r="AN26" i="9"/>
  <c r="AN10" i="9"/>
  <c r="AM30" i="9"/>
  <c r="AM31" i="9"/>
  <c r="AM26" i="9"/>
  <c r="AN31" i="9"/>
  <c r="AM15" i="10"/>
  <c r="AN15" i="10"/>
  <c r="AN8" i="9"/>
  <c r="AE8" i="9"/>
  <c r="AN6" i="9"/>
  <c r="AM13" i="10"/>
  <c r="AM10" i="10"/>
  <c r="AM9" i="10"/>
  <c r="AM8" i="10"/>
  <c r="AS69" i="9"/>
  <c r="AN14" i="9" s="1"/>
  <c r="AS68" i="9"/>
  <c r="AN11" i="9" s="1"/>
  <c r="AN68" i="9"/>
  <c r="AO68" i="9"/>
  <c r="AP68" i="9"/>
  <c r="AQ68" i="9"/>
  <c r="AR68" i="9"/>
  <c r="AN69" i="9"/>
  <c r="AO69" i="9"/>
  <c r="AP69" i="9"/>
  <c r="AQ69" i="9"/>
  <c r="AR69" i="9"/>
  <c r="AM69" i="9"/>
  <c r="AM68" i="9"/>
  <c r="AO7" i="9"/>
  <c r="AP7" i="9"/>
  <c r="AQ7" i="9"/>
  <c r="AR7" i="9"/>
  <c r="AS7" i="9"/>
  <c r="AM7" i="9"/>
  <c r="AN63" i="9"/>
  <c r="AO63" i="9"/>
  <c r="AP63" i="9"/>
  <c r="AQ63" i="9"/>
  <c r="AQ64" i="9" s="1"/>
  <c r="AR63" i="9"/>
  <c r="AM16" i="9" s="1"/>
  <c r="AM63" i="9"/>
  <c r="AR67" i="9"/>
  <c r="AM17" i="9"/>
  <c r="AM15" i="9"/>
  <c r="AM14" i="9"/>
  <c r="AM13" i="9"/>
  <c r="AM11" i="9"/>
  <c r="AM10" i="9"/>
  <c r="AM9" i="9"/>
  <c r="AM8" i="9"/>
  <c r="AM6" i="9"/>
  <c r="AM5" i="9"/>
  <c r="AN67" i="9"/>
  <c r="AO67" i="9"/>
  <c r="AP67" i="9"/>
  <c r="AQ67" i="9"/>
  <c r="AM67" i="9"/>
  <c r="AN66" i="9"/>
  <c r="AO66" i="9"/>
  <c r="AP66" i="9"/>
  <c r="AQ66" i="9"/>
  <c r="AR66" i="9"/>
  <c r="AM66" i="9"/>
  <c r="AN65" i="9"/>
  <c r="AO65" i="9"/>
  <c r="AP65" i="9"/>
  <c r="AQ65" i="9"/>
  <c r="AR65" i="9"/>
  <c r="AM65" i="9"/>
  <c r="AN62" i="9"/>
  <c r="AP62" i="9"/>
  <c r="AQ62" i="9"/>
  <c r="AR62" i="9"/>
  <c r="AN61" i="9"/>
  <c r="AO61" i="9"/>
  <c r="AP61" i="9"/>
  <c r="AQ61" i="9"/>
  <c r="AR61" i="9"/>
  <c r="AM61" i="9"/>
  <c r="AS60" i="9"/>
  <c r="AN13" i="9" s="1"/>
  <c r="AN59" i="9"/>
  <c r="AO59" i="9"/>
  <c r="AP59" i="9"/>
  <c r="AQ59" i="9"/>
  <c r="AR59" i="9"/>
  <c r="AR60" i="9" s="1"/>
  <c r="AN60" i="9"/>
  <c r="AO60" i="9"/>
  <c r="AP60" i="9"/>
  <c r="AQ60" i="9"/>
  <c r="AM60" i="9"/>
  <c r="AM59" i="9"/>
  <c r="AN57" i="9"/>
  <c r="AO57" i="9"/>
  <c r="AP57" i="9"/>
  <c r="AQ57" i="9"/>
  <c r="AQ58" i="9" s="1"/>
  <c r="AR57" i="9"/>
  <c r="AR58" i="9" s="1"/>
  <c r="AN58" i="9"/>
  <c r="AO58" i="9"/>
  <c r="AP58" i="9"/>
  <c r="AS58" i="9" s="1"/>
  <c r="AN10" i="10" s="1"/>
  <c r="AM58" i="9"/>
  <c r="AM57" i="9"/>
  <c r="AN56" i="9"/>
  <c r="AO56" i="9"/>
  <c r="AP56" i="9"/>
  <c r="AQ56" i="9"/>
  <c r="AR56" i="9"/>
  <c r="AM56" i="9"/>
  <c r="AS56" i="9" s="1"/>
  <c r="AN9" i="10" s="1"/>
  <c r="AN55" i="9"/>
  <c r="AO55" i="9"/>
  <c r="AP55" i="9"/>
  <c r="AQ55" i="9"/>
  <c r="AR55" i="9"/>
  <c r="AM55" i="9"/>
  <c r="AN54" i="9"/>
  <c r="AO54" i="9"/>
  <c r="AP54" i="9"/>
  <c r="AQ54" i="9"/>
  <c r="AS54" i="9" s="1"/>
  <c r="AN15" i="9" s="1"/>
  <c r="AR54" i="9"/>
  <c r="AM54" i="9"/>
  <c r="AN53" i="9"/>
  <c r="AO53" i="9"/>
  <c r="AP53" i="9"/>
  <c r="AQ53" i="9"/>
  <c r="AR53" i="9"/>
  <c r="AM53" i="9"/>
  <c r="AN52" i="9"/>
  <c r="AO52" i="9"/>
  <c r="AP52" i="9"/>
  <c r="AQ52" i="9"/>
  <c r="AR52" i="9"/>
  <c r="AM52" i="9"/>
  <c r="AS52" i="9" s="1"/>
  <c r="AN30" i="9" s="1"/>
  <c r="AN51" i="9"/>
  <c r="AO51" i="9"/>
  <c r="AP51" i="9"/>
  <c r="AQ51" i="9"/>
  <c r="AR51" i="9"/>
  <c r="AM51" i="9"/>
  <c r="AN46" i="9"/>
  <c r="AN64" i="9" s="1"/>
  <c r="AO46" i="9"/>
  <c r="AS67" i="9" s="1"/>
  <c r="AN9" i="9" s="1"/>
  <c r="AP46" i="9"/>
  <c r="AP64" i="9" s="1"/>
  <c r="AQ46" i="9"/>
  <c r="AR46" i="9"/>
  <c r="AR47" i="9" s="1"/>
  <c r="AN47" i="9"/>
  <c r="AP47" i="9"/>
  <c r="AQ47" i="9"/>
  <c r="AM47" i="9"/>
  <c r="AM46" i="9"/>
  <c r="AS66" i="9" s="1"/>
  <c r="AN27" i="9" s="1"/>
  <c r="AN45" i="9"/>
  <c r="AO45" i="9"/>
  <c r="AP45" i="9"/>
  <c r="AQ45" i="9"/>
  <c r="AR45" i="9"/>
  <c r="AM45" i="9"/>
  <c r="AS44" i="9"/>
  <c r="AN13" i="10" s="1"/>
  <c r="AO13" i="10" s="1"/>
  <c r="AE9" i="12" s="1"/>
  <c r="AN44" i="9"/>
  <c r="AO44" i="9"/>
  <c r="AP44" i="9"/>
  <c r="AQ44" i="9"/>
  <c r="AR44" i="9"/>
  <c r="AM44" i="9"/>
  <c r="AN43" i="9"/>
  <c r="AO43" i="9"/>
  <c r="AP43" i="9"/>
  <c r="AQ43" i="9"/>
  <c r="AR43" i="9"/>
  <c r="AM43" i="9"/>
  <c r="AN42" i="9"/>
  <c r="AO42" i="9"/>
  <c r="AP42" i="9"/>
  <c r="AQ42" i="9"/>
  <c r="AR42" i="9"/>
  <c r="AM42" i="9"/>
  <c r="AN41" i="9"/>
  <c r="AS41" i="9" s="1"/>
  <c r="AO41" i="9"/>
  <c r="AP41" i="9"/>
  <c r="AQ41" i="9"/>
  <c r="AR41" i="9"/>
  <c r="AM41" i="9"/>
  <c r="AN40" i="9"/>
  <c r="AO40" i="9"/>
  <c r="AP40" i="9"/>
  <c r="AQ40" i="9"/>
  <c r="AR40" i="9"/>
  <c r="AM40" i="9"/>
  <c r="AN39" i="9"/>
  <c r="AO39" i="9"/>
  <c r="AP39" i="9"/>
  <c r="AQ39" i="9"/>
  <c r="AR39" i="9"/>
  <c r="AM39" i="9"/>
  <c r="AN4" i="10"/>
  <c r="AN5" i="10"/>
  <c r="AM5" i="10"/>
  <c r="AM4" i="10"/>
  <c r="AM6" i="10" s="1"/>
  <c r="AE76" i="9"/>
  <c r="AF76" i="9"/>
  <c r="AG76" i="9"/>
  <c r="AH76" i="9"/>
  <c r="AI76" i="9"/>
  <c r="AD76" i="9"/>
  <c r="AE11" i="9"/>
  <c r="AE75" i="9"/>
  <c r="AF75" i="9"/>
  <c r="AG75" i="9"/>
  <c r="AH75" i="9"/>
  <c r="AI75" i="9"/>
  <c r="AD75" i="9"/>
  <c r="AE69" i="9"/>
  <c r="AF69" i="9"/>
  <c r="AG69" i="9"/>
  <c r="AH69" i="9"/>
  <c r="AD69" i="9"/>
  <c r="AD71" i="9"/>
  <c r="AE68" i="9"/>
  <c r="AF68" i="9"/>
  <c r="AF71" i="9" s="1"/>
  <c r="AG68" i="9"/>
  <c r="AG71" i="9" s="1"/>
  <c r="AH68" i="9"/>
  <c r="AH71" i="9" s="1"/>
  <c r="AI68" i="9"/>
  <c r="AI71" i="9" s="1"/>
  <c r="AD68" i="9"/>
  <c r="AD16" i="9"/>
  <c r="AE74" i="9"/>
  <c r="AF74" i="9"/>
  <c r="AG74" i="9"/>
  <c r="AH74" i="9"/>
  <c r="AI74" i="9"/>
  <c r="AD74" i="9"/>
  <c r="AD33" i="9"/>
  <c r="AD31" i="9"/>
  <c r="AG28" i="9"/>
  <c r="AH28" i="9"/>
  <c r="AF28" i="9"/>
  <c r="AD28" i="9"/>
  <c r="AI28" i="9" s="1"/>
  <c r="AD27" i="9"/>
  <c r="AD26" i="9"/>
  <c r="AD22" i="9"/>
  <c r="AD23" i="9" s="1"/>
  <c r="AF21" i="9"/>
  <c r="AG21" i="9"/>
  <c r="AH21" i="9"/>
  <c r="AI21" i="9"/>
  <c r="AJ21" i="9"/>
  <c r="AD21" i="9"/>
  <c r="AE72" i="9"/>
  <c r="AF72" i="9"/>
  <c r="AG72" i="9"/>
  <c r="AH72" i="9"/>
  <c r="AI72" i="9"/>
  <c r="AD72" i="9"/>
  <c r="AE14" i="9"/>
  <c r="AE10" i="9"/>
  <c r="AE31" i="9"/>
  <c r="AE26" i="9"/>
  <c r="AD17" i="9"/>
  <c r="AD15" i="9"/>
  <c r="AD14" i="9"/>
  <c r="AD13" i="9"/>
  <c r="AD11" i="9"/>
  <c r="AD10" i="9"/>
  <c r="AD9" i="9"/>
  <c r="AD17" i="10"/>
  <c r="AE17" i="10"/>
  <c r="AD32" i="9"/>
  <c r="AD25" i="9"/>
  <c r="AE70" i="9"/>
  <c r="AF70" i="9"/>
  <c r="AG70" i="9"/>
  <c r="AH70" i="9"/>
  <c r="AI70" i="9"/>
  <c r="AD70" i="9"/>
  <c r="AE67" i="9"/>
  <c r="AF67" i="9"/>
  <c r="AG67" i="9"/>
  <c r="AH67" i="9"/>
  <c r="AI67" i="9"/>
  <c r="AD67" i="9"/>
  <c r="AE15" i="10"/>
  <c r="AD15" i="10"/>
  <c r="AD13" i="10"/>
  <c r="AD5" i="9"/>
  <c r="AD8" i="9"/>
  <c r="AF7" i="9"/>
  <c r="AG7" i="9"/>
  <c r="AH7" i="9"/>
  <c r="AI7" i="9"/>
  <c r="AJ7" i="9"/>
  <c r="AD7" i="9"/>
  <c r="AD18" i="9"/>
  <c r="AD6" i="9"/>
  <c r="AE6" i="9"/>
  <c r="AE65" i="9"/>
  <c r="AE66" i="9" s="1"/>
  <c r="AF65" i="9"/>
  <c r="AF66" i="9" s="1"/>
  <c r="AG65" i="9"/>
  <c r="AG66" i="9" s="1"/>
  <c r="AH65" i="9"/>
  <c r="AH66" i="9" s="1"/>
  <c r="AI65" i="9"/>
  <c r="AD65" i="9"/>
  <c r="AD66" i="9" s="1"/>
  <c r="AE63" i="9"/>
  <c r="AF63" i="9"/>
  <c r="AG63" i="9"/>
  <c r="AH63" i="9"/>
  <c r="AH64" i="9" s="1"/>
  <c r="AI63" i="9"/>
  <c r="AD10" i="10" s="1"/>
  <c r="AD63" i="9"/>
  <c r="AE61" i="9"/>
  <c r="AF61" i="9"/>
  <c r="AG61" i="9"/>
  <c r="AH61" i="9"/>
  <c r="AI61" i="9"/>
  <c r="AD9" i="10" s="1"/>
  <c r="AD61" i="9"/>
  <c r="AE59" i="9"/>
  <c r="AF59" i="9"/>
  <c r="AG59" i="9"/>
  <c r="AG60" i="9" s="1"/>
  <c r="AH59" i="9"/>
  <c r="AI59" i="9"/>
  <c r="AD59" i="9"/>
  <c r="AH58" i="9"/>
  <c r="AE57" i="9"/>
  <c r="AF57" i="9"/>
  <c r="AF58" i="9" s="1"/>
  <c r="AG57" i="9"/>
  <c r="AH57" i="9"/>
  <c r="AI57" i="9"/>
  <c r="AI58" i="9" s="1"/>
  <c r="AD57" i="9"/>
  <c r="AD58" i="9" s="1"/>
  <c r="AD53" i="9"/>
  <c r="AE52" i="9"/>
  <c r="AE53" i="9" s="1"/>
  <c r="AF52" i="9"/>
  <c r="AG52" i="9"/>
  <c r="AH52" i="9"/>
  <c r="AI52" i="9"/>
  <c r="AD52" i="9"/>
  <c r="AE51" i="9"/>
  <c r="AF51" i="9"/>
  <c r="AF53" i="9" s="1"/>
  <c r="AG51" i="9"/>
  <c r="AG53" i="9" s="1"/>
  <c r="AH51" i="9"/>
  <c r="AH53" i="9" s="1"/>
  <c r="AI51" i="9"/>
  <c r="AI53" i="9" s="1"/>
  <c r="AD51" i="9"/>
  <c r="AD5" i="10"/>
  <c r="AD4" i="10"/>
  <c r="AE5" i="10"/>
  <c r="AF4" i="10"/>
  <c r="AE4" i="10"/>
  <c r="AI46" i="9"/>
  <c r="AI47" i="9" s="1"/>
  <c r="AE45" i="9"/>
  <c r="AE58" i="9" s="1"/>
  <c r="AF45" i="9"/>
  <c r="AG45" i="9"/>
  <c r="AG58" i="9" s="1"/>
  <c r="AH45" i="9"/>
  <c r="AI45" i="9"/>
  <c r="AD8" i="10" s="1"/>
  <c r="AD45" i="9"/>
  <c r="AE44" i="9"/>
  <c r="AE43" i="9"/>
  <c r="AF43" i="9"/>
  <c r="AF44" i="9" s="1"/>
  <c r="AG43" i="9"/>
  <c r="AH43" i="9"/>
  <c r="AI43" i="9"/>
  <c r="AD43" i="9"/>
  <c r="AE42" i="9"/>
  <c r="AF42" i="9"/>
  <c r="AG42" i="9"/>
  <c r="AG44" i="9" s="1"/>
  <c r="AH42" i="9"/>
  <c r="AH44" i="9" s="1"/>
  <c r="AI42" i="9"/>
  <c r="AI44" i="9" s="1"/>
  <c r="AD42" i="9"/>
  <c r="AD44" i="9" s="1"/>
  <c r="AH41" i="9"/>
  <c r="AI41" i="9"/>
  <c r="AD41" i="9"/>
  <c r="AE40" i="9"/>
  <c r="AE46" i="9" s="1"/>
  <c r="AF40" i="9"/>
  <c r="AF46" i="9" s="1"/>
  <c r="AG40" i="9"/>
  <c r="AG46" i="9" s="1"/>
  <c r="AH40" i="9"/>
  <c r="AH46" i="9" s="1"/>
  <c r="AH47" i="9" s="1"/>
  <c r="AI40" i="9"/>
  <c r="AD40" i="9"/>
  <c r="AD46" i="9" s="1"/>
  <c r="AE39" i="9"/>
  <c r="AE41" i="9" s="1"/>
  <c r="AF39" i="9"/>
  <c r="AF41" i="9" s="1"/>
  <c r="AG39" i="9"/>
  <c r="AG41" i="9" s="1"/>
  <c r="AH39" i="9"/>
  <c r="AI39" i="9"/>
  <c r="AD39" i="9"/>
  <c r="V30" i="9"/>
  <c r="V25" i="9"/>
  <c r="U32" i="9"/>
  <c r="V32" i="9" s="1"/>
  <c r="W32" i="9" s="1"/>
  <c r="X32" i="9" s="1"/>
  <c r="Y32" i="9" s="1"/>
  <c r="Z32" i="9" s="1"/>
  <c r="AA32" i="9" s="1"/>
  <c r="X31" i="9"/>
  <c r="Y31" i="9"/>
  <c r="Z31" i="9"/>
  <c r="AA31" i="9"/>
  <c r="W31" i="9"/>
  <c r="U31" i="9"/>
  <c r="U27" i="9"/>
  <c r="V27" i="9" s="1"/>
  <c r="W27" i="9" s="1"/>
  <c r="X27" i="9" s="1"/>
  <c r="Y27" i="9" s="1"/>
  <c r="Z27" i="9" s="1"/>
  <c r="AA27" i="9" s="1"/>
  <c r="U26" i="9"/>
  <c r="V26" i="9" s="1"/>
  <c r="W26" i="9" s="1"/>
  <c r="X26" i="9" s="1"/>
  <c r="Y26" i="9" s="1"/>
  <c r="Z26" i="9" s="1"/>
  <c r="AA26" i="9" s="1"/>
  <c r="W24" i="9"/>
  <c r="X24" i="9"/>
  <c r="Y24" i="9"/>
  <c r="Z24" i="9"/>
  <c r="AA24" i="9"/>
  <c r="U24" i="9"/>
  <c r="V17" i="10"/>
  <c r="U30" i="9"/>
  <c r="U16" i="9"/>
  <c r="V15" i="9"/>
  <c r="U15" i="9"/>
  <c r="X13" i="9"/>
  <c r="Y13" i="9"/>
  <c r="Z13" i="9"/>
  <c r="AA13" i="9"/>
  <c r="W13" i="9"/>
  <c r="U21" i="9"/>
  <c r="V20" i="9"/>
  <c r="U20" i="9"/>
  <c r="U13" i="9"/>
  <c r="U12" i="9"/>
  <c r="V65" i="9"/>
  <c r="W65" i="9"/>
  <c r="X65" i="9"/>
  <c r="Y65" i="9"/>
  <c r="Z65" i="9"/>
  <c r="U65" i="9"/>
  <c r="V8" i="9"/>
  <c r="V10" i="9"/>
  <c r="U10" i="9"/>
  <c r="W10" i="9" s="1"/>
  <c r="X10" i="9" s="1"/>
  <c r="Y10" i="9" s="1"/>
  <c r="Z10" i="9" s="1"/>
  <c r="AA10" i="9" s="1"/>
  <c r="U9" i="9"/>
  <c r="V9" i="9" s="1"/>
  <c r="W9" i="9" s="1"/>
  <c r="X9" i="9" s="1"/>
  <c r="Y9" i="9" s="1"/>
  <c r="Z9" i="9" s="1"/>
  <c r="AA9" i="9" s="1"/>
  <c r="U8" i="9"/>
  <c r="W7" i="9"/>
  <c r="X7" i="9"/>
  <c r="Y7" i="9"/>
  <c r="Z7" i="9"/>
  <c r="AA7" i="9"/>
  <c r="U7" i="9"/>
  <c r="V6" i="9"/>
  <c r="U6" i="9"/>
  <c r="L6" i="9"/>
  <c r="U25" i="9"/>
  <c r="V15" i="10"/>
  <c r="U5" i="9"/>
  <c r="V63" i="9"/>
  <c r="W63" i="9"/>
  <c r="X63" i="9"/>
  <c r="Y63" i="9"/>
  <c r="Z63" i="9"/>
  <c r="U63" i="9"/>
  <c r="V59" i="9"/>
  <c r="W59" i="9"/>
  <c r="X59" i="9"/>
  <c r="Y59" i="9"/>
  <c r="Z59" i="9"/>
  <c r="U14" i="9" s="1"/>
  <c r="U59" i="9"/>
  <c r="V57" i="9"/>
  <c r="W57" i="9"/>
  <c r="X57" i="9"/>
  <c r="Y57" i="9"/>
  <c r="Z57" i="9"/>
  <c r="U29" i="9" s="1"/>
  <c r="U57" i="9"/>
  <c r="V61" i="9"/>
  <c r="W61" i="9"/>
  <c r="X61" i="9"/>
  <c r="Y61" i="9"/>
  <c r="Z61" i="9"/>
  <c r="U61" i="9"/>
  <c r="V52" i="9"/>
  <c r="W52" i="9"/>
  <c r="X52" i="9"/>
  <c r="Y52" i="9"/>
  <c r="Z52" i="9"/>
  <c r="U52" i="9"/>
  <c r="V51" i="9"/>
  <c r="W51" i="9"/>
  <c r="X51" i="9"/>
  <c r="Y51" i="9"/>
  <c r="Z51" i="9"/>
  <c r="U51" i="9"/>
  <c r="U53" i="9" s="1"/>
  <c r="V46" i="9"/>
  <c r="W46" i="9"/>
  <c r="W64" i="9" s="1"/>
  <c r="X46" i="9"/>
  <c r="Y46" i="9"/>
  <c r="Z46" i="9"/>
  <c r="U46" i="9"/>
  <c r="U47" i="9" s="1"/>
  <c r="V45" i="9"/>
  <c r="V47" i="9" s="1"/>
  <c r="W45" i="9"/>
  <c r="W66" i="9" s="1"/>
  <c r="X45" i="9"/>
  <c r="Y45" i="9"/>
  <c r="Y47" i="9" s="1"/>
  <c r="Z45" i="9"/>
  <c r="U45" i="9"/>
  <c r="V43" i="9"/>
  <c r="W43" i="9"/>
  <c r="X43" i="9"/>
  <c r="Y43" i="9"/>
  <c r="Z43" i="9"/>
  <c r="U43" i="9"/>
  <c r="V42" i="9"/>
  <c r="W42" i="9"/>
  <c r="X42" i="9"/>
  <c r="Y42" i="9"/>
  <c r="Z42" i="9"/>
  <c r="Z44" i="9" s="1"/>
  <c r="U42" i="9"/>
  <c r="V40" i="9"/>
  <c r="W40" i="9"/>
  <c r="X40" i="9"/>
  <c r="Y40" i="9"/>
  <c r="Z40" i="9"/>
  <c r="U40" i="9"/>
  <c r="V39" i="9"/>
  <c r="W39" i="9"/>
  <c r="W41" i="9" s="1"/>
  <c r="X39" i="9"/>
  <c r="Y39" i="9"/>
  <c r="Z39" i="9"/>
  <c r="U39" i="9"/>
  <c r="V5" i="10"/>
  <c r="V4" i="10"/>
  <c r="U17" i="10"/>
  <c r="U15" i="10"/>
  <c r="U13" i="10"/>
  <c r="U10" i="10"/>
  <c r="U9" i="10"/>
  <c r="U8" i="10"/>
  <c r="U5" i="10"/>
  <c r="U4" i="10"/>
  <c r="L12" i="9"/>
  <c r="L15" i="9"/>
  <c r="L57" i="9"/>
  <c r="M57" i="9"/>
  <c r="N57" i="9"/>
  <c r="O57" i="9"/>
  <c r="K57" i="9"/>
  <c r="L8" i="9"/>
  <c r="L30" i="9"/>
  <c r="L55" i="9"/>
  <c r="M55" i="9"/>
  <c r="N55" i="9"/>
  <c r="O55" i="9"/>
  <c r="K55" i="9"/>
  <c r="L27" i="9"/>
  <c r="L26" i="9"/>
  <c r="L25" i="9"/>
  <c r="M24" i="9"/>
  <c r="N24" i="9"/>
  <c r="O24" i="9"/>
  <c r="P24" i="9"/>
  <c r="Q24" i="9"/>
  <c r="R24" i="9"/>
  <c r="L50" i="9"/>
  <c r="M50" i="9"/>
  <c r="N50" i="9"/>
  <c r="O50" i="9"/>
  <c r="K50" i="9"/>
  <c r="L49" i="9"/>
  <c r="L51" i="9" s="1"/>
  <c r="M49" i="9"/>
  <c r="N49" i="9"/>
  <c r="O49" i="9"/>
  <c r="K49" i="9"/>
  <c r="L17" i="10"/>
  <c r="K11" i="5"/>
  <c r="L11" i="5"/>
  <c r="M11" i="5"/>
  <c r="N11" i="5"/>
  <c r="J11" i="5"/>
  <c r="C11" i="5"/>
  <c r="D11" i="5"/>
  <c r="E11" i="5"/>
  <c r="F11" i="5"/>
  <c r="G11" i="5"/>
  <c r="B11" i="5"/>
  <c r="K17" i="10"/>
  <c r="K15" i="10"/>
  <c r="K13" i="10"/>
  <c r="L10" i="10"/>
  <c r="L9" i="10"/>
  <c r="L43" i="9"/>
  <c r="M43" i="9"/>
  <c r="N43" i="9"/>
  <c r="O43" i="9"/>
  <c r="K43" i="9"/>
  <c r="K8" i="10"/>
  <c r="K10" i="10"/>
  <c r="K11" i="10" s="1"/>
  <c r="K9" i="10"/>
  <c r="L44" i="9"/>
  <c r="L45" i="9" s="1"/>
  <c r="L41" i="9"/>
  <c r="M41" i="9"/>
  <c r="N41" i="9"/>
  <c r="O41" i="9"/>
  <c r="K41" i="9"/>
  <c r="L40" i="9"/>
  <c r="M40" i="9"/>
  <c r="N40" i="9"/>
  <c r="O40" i="9"/>
  <c r="K40" i="9"/>
  <c r="L38" i="9"/>
  <c r="M38" i="9"/>
  <c r="M44" i="9" s="1"/>
  <c r="N38" i="9"/>
  <c r="N44" i="9" s="1"/>
  <c r="O38" i="9"/>
  <c r="O44" i="9" s="1"/>
  <c r="K38" i="9"/>
  <c r="K44" i="9" s="1"/>
  <c r="L37" i="9"/>
  <c r="L39" i="9" s="1"/>
  <c r="M37" i="9"/>
  <c r="N37" i="9"/>
  <c r="O37" i="9"/>
  <c r="K37" i="9"/>
  <c r="K5" i="10"/>
  <c r="L5" i="10"/>
  <c r="L4" i="10"/>
  <c r="K21" i="9"/>
  <c r="K32" i="9"/>
  <c r="L32" i="9" s="1"/>
  <c r="K31" i="9"/>
  <c r="R31" i="9" s="1"/>
  <c r="K30" i="9"/>
  <c r="M30" i="9" s="1"/>
  <c r="K29" i="9"/>
  <c r="K27" i="9"/>
  <c r="M27" i="9" s="1"/>
  <c r="K26" i="9"/>
  <c r="M26" i="9" s="1"/>
  <c r="N26" i="9" s="1"/>
  <c r="O26" i="9" s="1"/>
  <c r="P26" i="9" s="1"/>
  <c r="Q26" i="9" s="1"/>
  <c r="R26" i="9" s="1"/>
  <c r="K25" i="9"/>
  <c r="K24" i="9"/>
  <c r="K20" i="9"/>
  <c r="R20" i="9" s="1"/>
  <c r="K9" i="9"/>
  <c r="L9" i="9" s="1"/>
  <c r="K16" i="9"/>
  <c r="K15" i="9"/>
  <c r="K14" i="9"/>
  <c r="K13" i="9"/>
  <c r="K12" i="9"/>
  <c r="K10" i="9"/>
  <c r="M10" i="9" s="1"/>
  <c r="K8" i="9"/>
  <c r="M8" i="9" s="1"/>
  <c r="N8" i="9" s="1"/>
  <c r="K7" i="9"/>
  <c r="N7" i="9" s="1"/>
  <c r="K6" i="9"/>
  <c r="K5" i="9"/>
  <c r="K4" i="10"/>
  <c r="C29" i="9"/>
  <c r="B27" i="3"/>
  <c r="C26" i="3"/>
  <c r="D26" i="3"/>
  <c r="E26" i="3"/>
  <c r="F26" i="3"/>
  <c r="G26" i="3"/>
  <c r="B26" i="3"/>
  <c r="C25" i="3"/>
  <c r="D25" i="3"/>
  <c r="E25" i="3"/>
  <c r="F25" i="3"/>
  <c r="G25" i="3"/>
  <c r="B25" i="3"/>
  <c r="C51" i="9"/>
  <c r="D51" i="9"/>
  <c r="E51" i="9"/>
  <c r="F51" i="9"/>
  <c r="G51" i="9"/>
  <c r="B51" i="9"/>
  <c r="C17" i="10"/>
  <c r="B17" i="10"/>
  <c r="C10" i="10"/>
  <c r="C12" i="10"/>
  <c r="B15" i="10"/>
  <c r="B10" i="10"/>
  <c r="C9" i="10"/>
  <c r="B9" i="10"/>
  <c r="C31" i="9"/>
  <c r="C28" i="9"/>
  <c r="C26" i="9"/>
  <c r="C25" i="9"/>
  <c r="C24" i="9"/>
  <c r="C14" i="9"/>
  <c r="B65" i="2"/>
  <c r="C64" i="2"/>
  <c r="D64" i="2"/>
  <c r="E64" i="2"/>
  <c r="F64" i="2"/>
  <c r="G64" i="2"/>
  <c r="B64" i="2"/>
  <c r="C63" i="2"/>
  <c r="D63" i="2"/>
  <c r="E63" i="2"/>
  <c r="F63" i="2"/>
  <c r="G63" i="2"/>
  <c r="B63" i="2"/>
  <c r="C62" i="2"/>
  <c r="D62" i="2"/>
  <c r="E62" i="2"/>
  <c r="F62" i="2"/>
  <c r="G62" i="2"/>
  <c r="B62" i="2"/>
  <c r="C12" i="9"/>
  <c r="C10" i="9"/>
  <c r="C9" i="9"/>
  <c r="C61" i="2"/>
  <c r="D60" i="2"/>
  <c r="E60" i="2"/>
  <c r="F60" i="2"/>
  <c r="G60" i="2"/>
  <c r="C60" i="2"/>
  <c r="C59" i="2"/>
  <c r="D59" i="2"/>
  <c r="E59" i="2"/>
  <c r="F59" i="2"/>
  <c r="G59" i="2"/>
  <c r="B59" i="2"/>
  <c r="C8" i="9"/>
  <c r="C6" i="9"/>
  <c r="C45" i="9"/>
  <c r="D45" i="9"/>
  <c r="E45" i="9"/>
  <c r="F45" i="9"/>
  <c r="G45" i="9"/>
  <c r="B8" i="10" s="1"/>
  <c r="B45" i="9"/>
  <c r="C38" i="9"/>
  <c r="D38" i="9"/>
  <c r="E38" i="9"/>
  <c r="F38" i="9"/>
  <c r="G38" i="9"/>
  <c r="B38" i="9"/>
  <c r="C4" i="10"/>
  <c r="C5" i="10"/>
  <c r="B5" i="10"/>
  <c r="B4" i="10"/>
  <c r="C41" i="9"/>
  <c r="D41" i="9"/>
  <c r="E41" i="9"/>
  <c r="F41" i="9"/>
  <c r="G41" i="9"/>
  <c r="B13" i="10" s="1"/>
  <c r="C42" i="9"/>
  <c r="D42" i="9"/>
  <c r="E42" i="9"/>
  <c r="F42" i="9"/>
  <c r="G42" i="9"/>
  <c r="B42" i="9"/>
  <c r="B41" i="9"/>
  <c r="C37" i="9"/>
  <c r="D37" i="9"/>
  <c r="E37" i="9"/>
  <c r="F37" i="9"/>
  <c r="G37" i="9"/>
  <c r="B49" i="9" s="1"/>
  <c r="B37" i="9"/>
  <c r="B14" i="9"/>
  <c r="B20" i="9"/>
  <c r="D20" i="9" s="1"/>
  <c r="B9" i="9"/>
  <c r="B8" i="9"/>
  <c r="B7" i="9"/>
  <c r="G7" i="9" s="1"/>
  <c r="B31" i="9"/>
  <c r="B30" i="9"/>
  <c r="B29" i="9"/>
  <c r="B28" i="9"/>
  <c r="B26" i="9"/>
  <c r="B25" i="9"/>
  <c r="B24" i="9"/>
  <c r="B23" i="9"/>
  <c r="B19" i="9"/>
  <c r="D19" i="9" s="1"/>
  <c r="B15" i="9"/>
  <c r="B13" i="9"/>
  <c r="B12" i="9"/>
  <c r="D12" i="9" s="1"/>
  <c r="E12" i="9" s="1"/>
  <c r="F12" i="9" s="1"/>
  <c r="G12" i="9" s="1"/>
  <c r="H12" i="9" s="1"/>
  <c r="B10" i="9"/>
  <c r="B6" i="9"/>
  <c r="B5" i="9"/>
  <c r="G5" i="8"/>
  <c r="F5" i="8"/>
  <c r="E5" i="8"/>
  <c r="C5" i="8"/>
  <c r="B5" i="8"/>
  <c r="D5" i="8"/>
  <c r="G4" i="8"/>
  <c r="F4" i="8"/>
  <c r="E4" i="8"/>
  <c r="E6" i="8" s="1"/>
  <c r="D4" i="8"/>
  <c r="C4" i="8"/>
  <c r="B4" i="8"/>
  <c r="B6" i="8" s="1"/>
  <c r="G3" i="8"/>
  <c r="F3" i="8"/>
  <c r="E3" i="8"/>
  <c r="D3" i="8"/>
  <c r="G6" i="8"/>
  <c r="B3" i="8"/>
  <c r="AP21" i="7"/>
  <c r="AQ21" i="7"/>
  <c r="AR21" i="7"/>
  <c r="AS21" i="7"/>
  <c r="AO21" i="7"/>
  <c r="AP20" i="7"/>
  <c r="AQ20" i="7"/>
  <c r="AR20" i="7"/>
  <c r="AS20" i="7"/>
  <c r="AO20" i="7"/>
  <c r="AP18" i="7"/>
  <c r="AQ18" i="7"/>
  <c r="AR18" i="7"/>
  <c r="AS18" i="7"/>
  <c r="AO18" i="7"/>
  <c r="AP17" i="7"/>
  <c r="AQ17" i="7"/>
  <c r="AR17" i="7"/>
  <c r="AS17" i="7"/>
  <c r="AO17" i="7"/>
  <c r="AP15" i="7"/>
  <c r="AQ15" i="7"/>
  <c r="AR15" i="7"/>
  <c r="AS15" i="7"/>
  <c r="AO15" i="7"/>
  <c r="AQ14" i="7"/>
  <c r="AR14" i="7"/>
  <c r="AS14" i="7"/>
  <c r="AP14" i="7"/>
  <c r="AO14" i="7"/>
  <c r="AQ13" i="7"/>
  <c r="AR13" i="7"/>
  <c r="AS13" i="7"/>
  <c r="AP13" i="7"/>
  <c r="AO13" i="7"/>
  <c r="AP12" i="7"/>
  <c r="AQ12" i="7"/>
  <c r="AR12" i="7"/>
  <c r="AS12" i="7"/>
  <c r="AO12" i="7"/>
  <c r="AQ11" i="7"/>
  <c r="AR11" i="7"/>
  <c r="AS11" i="7"/>
  <c r="AP10" i="7"/>
  <c r="AQ10" i="7"/>
  <c r="AR10" i="7"/>
  <c r="AS10" i="7"/>
  <c r="AP11" i="7"/>
  <c r="AO11" i="7"/>
  <c r="AO10" i="7"/>
  <c r="AP4" i="7"/>
  <c r="AQ4" i="7"/>
  <c r="AR4" i="7"/>
  <c r="AS4" i="7"/>
  <c r="AP5" i="7"/>
  <c r="AQ5" i="7"/>
  <c r="AR5" i="7"/>
  <c r="AS5" i="7"/>
  <c r="AP6" i="7"/>
  <c r="AQ6" i="7"/>
  <c r="AR6" i="7"/>
  <c r="AS6" i="7"/>
  <c r="AP7" i="7"/>
  <c r="AQ7" i="7"/>
  <c r="AR7" i="7"/>
  <c r="AS7" i="7"/>
  <c r="AP8" i="7"/>
  <c r="AQ8" i="7"/>
  <c r="AR8" i="7"/>
  <c r="AS8" i="7"/>
  <c r="AO8" i="7"/>
  <c r="AP36" i="7"/>
  <c r="AQ36" i="7"/>
  <c r="AR36" i="7"/>
  <c r="AS36" i="7"/>
  <c r="AO36" i="7"/>
  <c r="AP35" i="7"/>
  <c r="AQ35" i="7"/>
  <c r="AR35" i="7"/>
  <c r="AS35" i="7"/>
  <c r="AO35" i="7"/>
  <c r="AP34" i="7"/>
  <c r="AQ34" i="7"/>
  <c r="AR34" i="7"/>
  <c r="AS34" i="7"/>
  <c r="AO34" i="7"/>
  <c r="AP33" i="7"/>
  <c r="AQ33" i="7"/>
  <c r="AR33" i="7"/>
  <c r="AS33" i="7"/>
  <c r="AO33" i="7"/>
  <c r="AQ32" i="7"/>
  <c r="AR32" i="7"/>
  <c r="AS32" i="7"/>
  <c r="AP32" i="7"/>
  <c r="AO32" i="7"/>
  <c r="AO7" i="7"/>
  <c r="AO6" i="7"/>
  <c r="AO5" i="7"/>
  <c r="AO4" i="7"/>
  <c r="AH21" i="7"/>
  <c r="AI21" i="7"/>
  <c r="AJ21" i="7"/>
  <c r="AK21" i="7"/>
  <c r="AL21" i="7"/>
  <c r="AG21" i="7"/>
  <c r="AH20" i="7"/>
  <c r="AI20" i="7"/>
  <c r="AJ20" i="7"/>
  <c r="AK20" i="7"/>
  <c r="AL20" i="7"/>
  <c r="AG20" i="7"/>
  <c r="AH18" i="7"/>
  <c r="AI18" i="7"/>
  <c r="AJ18" i="7"/>
  <c r="AK18" i="7"/>
  <c r="AL18" i="7"/>
  <c r="AG18" i="7"/>
  <c r="AH17" i="7"/>
  <c r="AI17" i="7"/>
  <c r="AJ17" i="7"/>
  <c r="AK17" i="7"/>
  <c r="AL17" i="7"/>
  <c r="AG17" i="7"/>
  <c r="AI14" i="7"/>
  <c r="AJ14" i="7"/>
  <c r="AK14" i="7"/>
  <c r="AL14" i="7"/>
  <c r="AH14" i="7"/>
  <c r="AH15" i="7" s="1"/>
  <c r="AG14" i="7"/>
  <c r="AI15" i="7"/>
  <c r="AJ15" i="7"/>
  <c r="AK15" i="7"/>
  <c r="AL15" i="7"/>
  <c r="AG15" i="7"/>
  <c r="AI13" i="7"/>
  <c r="AJ13" i="7"/>
  <c r="AK13" i="7"/>
  <c r="AL13" i="7"/>
  <c r="AH13" i="7"/>
  <c r="AG13" i="7"/>
  <c r="AH12" i="7"/>
  <c r="AI12" i="7"/>
  <c r="AJ12" i="7"/>
  <c r="AK12" i="7"/>
  <c r="AL12" i="7"/>
  <c r="AG12" i="7"/>
  <c r="AI11" i="7"/>
  <c r="AJ11" i="7"/>
  <c r="AK11" i="7"/>
  <c r="AL11" i="7"/>
  <c r="AH11" i="7"/>
  <c r="AG11" i="7"/>
  <c r="AH10" i="7"/>
  <c r="AI10" i="7"/>
  <c r="AJ10" i="7"/>
  <c r="AK10" i="7"/>
  <c r="AL10" i="7"/>
  <c r="AG10" i="7"/>
  <c r="AH8" i="7"/>
  <c r="AI8" i="7"/>
  <c r="AJ8" i="7"/>
  <c r="AK8" i="7"/>
  <c r="AL8" i="7"/>
  <c r="AG8" i="7"/>
  <c r="AH33" i="7"/>
  <c r="AI33" i="7"/>
  <c r="AJ33" i="7"/>
  <c r="AK33" i="7"/>
  <c r="AL33" i="7"/>
  <c r="AH34" i="7"/>
  <c r="AI34" i="7"/>
  <c r="AJ34" i="7"/>
  <c r="AK34" i="7"/>
  <c r="AL34" i="7"/>
  <c r="AH35" i="7"/>
  <c r="AI35" i="7"/>
  <c r="AJ35" i="7"/>
  <c r="AK35" i="7"/>
  <c r="AL35" i="7"/>
  <c r="AH36" i="7"/>
  <c r="AI36" i="7"/>
  <c r="AJ36" i="7"/>
  <c r="AK36" i="7"/>
  <c r="AL36" i="7"/>
  <c r="AG36" i="7"/>
  <c r="AG35" i="7"/>
  <c r="AG34" i="7"/>
  <c r="AG33" i="7"/>
  <c r="AL32" i="7"/>
  <c r="AK32" i="7"/>
  <c r="AJ32" i="7"/>
  <c r="AI32" i="7"/>
  <c r="AH32" i="7"/>
  <c r="AG32" i="7"/>
  <c r="AH4" i="7"/>
  <c r="AI4" i="7"/>
  <c r="AJ4" i="7"/>
  <c r="AK4" i="7"/>
  <c r="AL4" i="7"/>
  <c r="AH5" i="7"/>
  <c r="AI5" i="7"/>
  <c r="AJ5" i="7"/>
  <c r="AK5" i="7"/>
  <c r="AL5" i="7"/>
  <c r="AH6" i="7"/>
  <c r="AI6" i="7"/>
  <c r="AJ6" i="7"/>
  <c r="AK6" i="7"/>
  <c r="AL6" i="7"/>
  <c r="AH7" i="7"/>
  <c r="AI7" i="7"/>
  <c r="AJ7" i="7"/>
  <c r="AK7" i="7"/>
  <c r="AL7" i="7"/>
  <c r="AG7" i="7"/>
  <c r="AG6" i="7"/>
  <c r="AG5" i="7"/>
  <c r="AG4" i="7"/>
  <c r="Z21" i="7"/>
  <c r="AA21" i="7"/>
  <c r="AB21" i="7"/>
  <c r="AC21" i="7"/>
  <c r="AD21" i="7"/>
  <c r="Y21" i="7"/>
  <c r="Z20" i="7"/>
  <c r="AA20" i="7"/>
  <c r="AB20" i="7"/>
  <c r="AC20" i="7"/>
  <c r="AD20" i="7"/>
  <c r="Y20" i="7"/>
  <c r="Z18" i="7"/>
  <c r="AA18" i="7"/>
  <c r="AB18" i="7"/>
  <c r="AC18" i="7"/>
  <c r="AD18" i="7"/>
  <c r="Y18" i="7"/>
  <c r="Z17" i="7"/>
  <c r="AA17" i="7"/>
  <c r="AB17" i="7"/>
  <c r="AC17" i="7"/>
  <c r="AD17" i="7"/>
  <c r="Y17" i="7"/>
  <c r="Z15" i="7"/>
  <c r="AA15" i="7"/>
  <c r="AB15" i="7"/>
  <c r="AC15" i="7"/>
  <c r="AD15" i="7"/>
  <c r="Y15" i="7"/>
  <c r="AA14" i="7"/>
  <c r="AB14" i="7"/>
  <c r="AC14" i="7"/>
  <c r="AD14" i="7"/>
  <c r="Z14" i="7"/>
  <c r="Y14" i="7"/>
  <c r="AA13" i="7"/>
  <c r="AB13" i="7"/>
  <c r="AC13" i="7"/>
  <c r="AD13" i="7"/>
  <c r="Z13" i="7"/>
  <c r="Y13" i="7"/>
  <c r="Z12" i="7"/>
  <c r="AA12" i="7"/>
  <c r="AB12" i="7"/>
  <c r="AC12" i="7"/>
  <c r="AD12" i="7"/>
  <c r="Y12" i="7"/>
  <c r="AA11" i="7"/>
  <c r="AB11" i="7"/>
  <c r="AC11" i="7"/>
  <c r="AD11" i="7"/>
  <c r="Z11" i="7"/>
  <c r="Y11" i="7"/>
  <c r="Z10" i="7"/>
  <c r="AA10" i="7"/>
  <c r="AB10" i="7"/>
  <c r="AC10" i="7"/>
  <c r="AD10" i="7"/>
  <c r="Y10" i="7"/>
  <c r="Z5" i="7"/>
  <c r="AA5" i="7"/>
  <c r="AB5" i="7"/>
  <c r="AC5" i="7"/>
  <c r="AD5" i="7"/>
  <c r="Z6" i="7"/>
  <c r="AA6" i="7"/>
  <c r="AB6" i="7"/>
  <c r="AC6" i="7"/>
  <c r="AD6" i="7"/>
  <c r="Z7" i="7"/>
  <c r="AA7" i="7"/>
  <c r="AB7" i="7"/>
  <c r="AC7" i="7"/>
  <c r="AD7" i="7"/>
  <c r="Z8" i="7"/>
  <c r="AA8" i="7"/>
  <c r="AB8" i="7"/>
  <c r="AC8" i="7"/>
  <c r="AD8" i="7"/>
  <c r="Y8" i="7"/>
  <c r="Y7" i="7"/>
  <c r="Y6" i="7"/>
  <c r="Z33" i="7"/>
  <c r="AA33" i="7"/>
  <c r="AB33" i="7"/>
  <c r="AC33" i="7"/>
  <c r="AD33" i="7"/>
  <c r="Z34" i="7"/>
  <c r="AA34" i="7"/>
  <c r="AB34" i="7"/>
  <c r="AC34" i="7"/>
  <c r="AD34" i="7"/>
  <c r="Z35" i="7"/>
  <c r="AA35" i="7"/>
  <c r="AB35" i="7"/>
  <c r="AC35" i="7"/>
  <c r="AD35" i="7"/>
  <c r="Z36" i="7"/>
  <c r="AA36" i="7"/>
  <c r="AB36" i="7"/>
  <c r="AC36" i="7"/>
  <c r="AD36" i="7"/>
  <c r="Y36" i="7"/>
  <c r="Y35" i="7"/>
  <c r="Y34" i="7"/>
  <c r="Y33" i="7"/>
  <c r="AD32" i="7"/>
  <c r="AC32" i="7"/>
  <c r="AB32" i="7"/>
  <c r="AA32" i="7"/>
  <c r="Z32" i="7"/>
  <c r="Y32" i="7"/>
  <c r="Y5" i="7"/>
  <c r="Z4" i="7"/>
  <c r="AA4" i="7"/>
  <c r="AB4" i="7"/>
  <c r="AC4" i="7"/>
  <c r="AD4" i="7"/>
  <c r="Y4" i="7"/>
  <c r="R21" i="7"/>
  <c r="S21" i="7"/>
  <c r="T21" i="7"/>
  <c r="U21" i="7"/>
  <c r="V21" i="7"/>
  <c r="Q21" i="7"/>
  <c r="R20" i="7"/>
  <c r="S20" i="7"/>
  <c r="T20" i="7"/>
  <c r="U20" i="7"/>
  <c r="V20" i="7"/>
  <c r="Q20" i="7"/>
  <c r="R17" i="7"/>
  <c r="S17" i="7"/>
  <c r="T17" i="7"/>
  <c r="U17" i="7"/>
  <c r="V17" i="7"/>
  <c r="R18" i="7"/>
  <c r="S18" i="7"/>
  <c r="T18" i="7"/>
  <c r="U18" i="7"/>
  <c r="V18" i="7"/>
  <c r="Q18" i="7"/>
  <c r="Q17" i="7"/>
  <c r="S14" i="7"/>
  <c r="T14" i="7"/>
  <c r="U14" i="7"/>
  <c r="V14" i="7"/>
  <c r="V15" i="7" s="1"/>
  <c r="R14" i="7"/>
  <c r="S13" i="7"/>
  <c r="T13" i="7"/>
  <c r="T15" i="7" s="1"/>
  <c r="U13" i="7"/>
  <c r="V13" i="7"/>
  <c r="R13" i="7"/>
  <c r="S12" i="7"/>
  <c r="T12" i="7"/>
  <c r="U12" i="7"/>
  <c r="V12" i="7"/>
  <c r="R12" i="7"/>
  <c r="S11" i="7"/>
  <c r="T11" i="7"/>
  <c r="U11" i="7"/>
  <c r="V11" i="7"/>
  <c r="R11" i="7"/>
  <c r="R10" i="7"/>
  <c r="S10" i="7"/>
  <c r="T10" i="7"/>
  <c r="U10" i="7"/>
  <c r="V10" i="7"/>
  <c r="R15" i="7"/>
  <c r="S15" i="7"/>
  <c r="U15" i="7"/>
  <c r="Q15" i="7"/>
  <c r="Q14" i="7"/>
  <c r="Q13" i="7"/>
  <c r="Q12" i="7"/>
  <c r="Q11" i="7"/>
  <c r="Q10" i="7"/>
  <c r="R4" i="7"/>
  <c r="S4" i="7"/>
  <c r="T4" i="7"/>
  <c r="U4" i="7"/>
  <c r="V4" i="7"/>
  <c r="R5" i="7"/>
  <c r="S5" i="7"/>
  <c r="T5" i="7"/>
  <c r="U5" i="7"/>
  <c r="V5" i="7"/>
  <c r="R6" i="7"/>
  <c r="S6" i="7"/>
  <c r="T6" i="7"/>
  <c r="U6" i="7"/>
  <c r="V6" i="7"/>
  <c r="R7" i="7"/>
  <c r="S7" i="7"/>
  <c r="T7" i="7"/>
  <c r="U7" i="7"/>
  <c r="V7" i="7"/>
  <c r="R8" i="7"/>
  <c r="S8" i="7"/>
  <c r="T8" i="7"/>
  <c r="U8" i="7"/>
  <c r="V8" i="7"/>
  <c r="Q8" i="7"/>
  <c r="Q7" i="7"/>
  <c r="R36" i="7"/>
  <c r="S36" i="7"/>
  <c r="T36" i="7"/>
  <c r="U36" i="7"/>
  <c r="V36" i="7"/>
  <c r="Q36" i="7"/>
  <c r="R35" i="7"/>
  <c r="S35" i="7"/>
  <c r="T35" i="7"/>
  <c r="U35" i="7"/>
  <c r="V35" i="7"/>
  <c r="Q35" i="7"/>
  <c r="R34" i="7"/>
  <c r="S34" i="7"/>
  <c r="T34" i="7"/>
  <c r="U34" i="7"/>
  <c r="V34" i="7"/>
  <c r="Q34" i="7"/>
  <c r="R33" i="7"/>
  <c r="S33" i="7"/>
  <c r="T33" i="7"/>
  <c r="U33" i="7"/>
  <c r="V33" i="7"/>
  <c r="Q33" i="7"/>
  <c r="S32" i="7"/>
  <c r="T32" i="7"/>
  <c r="U32" i="7"/>
  <c r="V32" i="7"/>
  <c r="R32" i="7"/>
  <c r="Q32" i="7"/>
  <c r="Q6" i="7"/>
  <c r="Q5" i="7"/>
  <c r="Q4" i="7"/>
  <c r="K21" i="7"/>
  <c r="L21" i="7"/>
  <c r="M21" i="7"/>
  <c r="N21" i="7"/>
  <c r="J21" i="7"/>
  <c r="K20" i="7"/>
  <c r="L20" i="7"/>
  <c r="M20" i="7"/>
  <c r="N20" i="7"/>
  <c r="J20" i="7"/>
  <c r="K18" i="7"/>
  <c r="L18" i="7"/>
  <c r="M18" i="7"/>
  <c r="N18" i="7"/>
  <c r="J18" i="7"/>
  <c r="K17" i="7"/>
  <c r="L17" i="7"/>
  <c r="M17" i="7"/>
  <c r="N17" i="7"/>
  <c r="J17" i="7"/>
  <c r="K15" i="7"/>
  <c r="L15" i="7"/>
  <c r="M15" i="7"/>
  <c r="N15" i="7"/>
  <c r="J15" i="7"/>
  <c r="L14" i="7"/>
  <c r="M14" i="7"/>
  <c r="N14" i="7"/>
  <c r="K14" i="7"/>
  <c r="J14" i="7"/>
  <c r="K36" i="7"/>
  <c r="L36" i="7"/>
  <c r="M36" i="7"/>
  <c r="N36" i="7"/>
  <c r="J36" i="7"/>
  <c r="L13" i="7"/>
  <c r="M13" i="7"/>
  <c r="N13" i="7"/>
  <c r="K13" i="7"/>
  <c r="J13" i="7"/>
  <c r="K12" i="7"/>
  <c r="L12" i="7"/>
  <c r="M12" i="7"/>
  <c r="N12" i="7"/>
  <c r="J12" i="7"/>
  <c r="L11" i="7"/>
  <c r="M11" i="7"/>
  <c r="N11" i="7"/>
  <c r="K11" i="7"/>
  <c r="J11" i="7"/>
  <c r="K10" i="7"/>
  <c r="L10" i="7"/>
  <c r="M10" i="7"/>
  <c r="N10" i="7"/>
  <c r="J10" i="7"/>
  <c r="K8" i="7"/>
  <c r="L8" i="7"/>
  <c r="M8" i="7"/>
  <c r="N8" i="7"/>
  <c r="J8" i="7"/>
  <c r="K35" i="7"/>
  <c r="L35" i="7"/>
  <c r="M35" i="7"/>
  <c r="N35" i="7"/>
  <c r="J35" i="7"/>
  <c r="K7" i="7"/>
  <c r="L7" i="7"/>
  <c r="M7" i="7"/>
  <c r="N7" i="7"/>
  <c r="J7" i="7"/>
  <c r="K5" i="7"/>
  <c r="L5" i="7"/>
  <c r="M5" i="7"/>
  <c r="N5" i="7"/>
  <c r="J5" i="7"/>
  <c r="K4" i="7"/>
  <c r="L4" i="7"/>
  <c r="M4" i="7"/>
  <c r="N4" i="7"/>
  <c r="J4" i="7"/>
  <c r="K34" i="7"/>
  <c r="L34" i="7"/>
  <c r="M34" i="7"/>
  <c r="N34" i="7"/>
  <c r="J34" i="7"/>
  <c r="K33" i="7"/>
  <c r="L33" i="7"/>
  <c r="M33" i="7"/>
  <c r="N33" i="7"/>
  <c r="J33" i="7"/>
  <c r="L32" i="7"/>
  <c r="M32" i="7"/>
  <c r="N32" i="7"/>
  <c r="K32" i="7"/>
  <c r="J32" i="7"/>
  <c r="B24" i="3"/>
  <c r="D24" i="3"/>
  <c r="E24" i="3"/>
  <c r="F24" i="3"/>
  <c r="G24" i="3"/>
  <c r="C24" i="3"/>
  <c r="C21" i="7"/>
  <c r="D21" i="7"/>
  <c r="E21" i="7"/>
  <c r="F21" i="7"/>
  <c r="G21" i="7"/>
  <c r="B21" i="7"/>
  <c r="C20" i="7"/>
  <c r="D20" i="7"/>
  <c r="E20" i="7"/>
  <c r="F20" i="7"/>
  <c r="G20" i="7"/>
  <c r="B20" i="7"/>
  <c r="C18" i="7"/>
  <c r="D18" i="7"/>
  <c r="E18" i="7"/>
  <c r="F18" i="7"/>
  <c r="G18" i="7"/>
  <c r="B18" i="7"/>
  <c r="C17" i="7"/>
  <c r="D17" i="7"/>
  <c r="E17" i="7"/>
  <c r="F17" i="7"/>
  <c r="G17" i="7"/>
  <c r="B17" i="7"/>
  <c r="D14" i="7"/>
  <c r="E14" i="7"/>
  <c r="F14" i="7"/>
  <c r="F15" i="7" s="1"/>
  <c r="G14" i="7"/>
  <c r="C14" i="7"/>
  <c r="C23" i="3"/>
  <c r="D23" i="3"/>
  <c r="E23" i="3"/>
  <c r="F23" i="3"/>
  <c r="G23" i="3"/>
  <c r="B23" i="3"/>
  <c r="C58" i="2"/>
  <c r="D58" i="2"/>
  <c r="E58" i="2"/>
  <c r="F58" i="2"/>
  <c r="G58" i="2"/>
  <c r="B58" i="2"/>
  <c r="B14" i="7"/>
  <c r="D13" i="7"/>
  <c r="D15" i="7" s="1"/>
  <c r="E13" i="7"/>
  <c r="F13" i="7"/>
  <c r="G13" i="7"/>
  <c r="C13" i="7"/>
  <c r="B13" i="7"/>
  <c r="D12" i="7"/>
  <c r="E12" i="7"/>
  <c r="E15" i="7" s="1"/>
  <c r="F12" i="7"/>
  <c r="B12" i="7"/>
  <c r="B15" i="7" s="1"/>
  <c r="G11" i="7"/>
  <c r="G12" i="7" s="1"/>
  <c r="G15" i="7" s="1"/>
  <c r="D11" i="7"/>
  <c r="E11" i="7"/>
  <c r="F11" i="7"/>
  <c r="C11" i="7"/>
  <c r="C12" i="7" s="1"/>
  <c r="C15" i="7" s="1"/>
  <c r="B11" i="7"/>
  <c r="C10" i="7"/>
  <c r="D10" i="7"/>
  <c r="E10" i="7"/>
  <c r="F10" i="7"/>
  <c r="G10" i="7"/>
  <c r="B10" i="7"/>
  <c r="C8" i="7"/>
  <c r="D8" i="7"/>
  <c r="E8" i="7"/>
  <c r="F8" i="7"/>
  <c r="G8" i="7"/>
  <c r="B8" i="7"/>
  <c r="C7" i="7"/>
  <c r="D7" i="7"/>
  <c r="E7" i="7"/>
  <c r="F7" i="7"/>
  <c r="G7" i="7"/>
  <c r="B7" i="7"/>
  <c r="C6" i="7"/>
  <c r="D6" i="7"/>
  <c r="E6" i="7"/>
  <c r="F6" i="7"/>
  <c r="G6" i="7"/>
  <c r="B6" i="7"/>
  <c r="C5" i="7"/>
  <c r="D5" i="7"/>
  <c r="E5" i="7"/>
  <c r="F5" i="7"/>
  <c r="G5" i="7"/>
  <c r="B5" i="7"/>
  <c r="C4" i="7"/>
  <c r="D4" i="7"/>
  <c r="E4" i="7"/>
  <c r="F4" i="7"/>
  <c r="G4" i="7"/>
  <c r="B4" i="7"/>
  <c r="AP16" i="6"/>
  <c r="AQ16" i="6"/>
  <c r="AR16" i="6"/>
  <c r="AS16" i="6"/>
  <c r="AP17" i="6"/>
  <c r="AQ17" i="6"/>
  <c r="AR17" i="6"/>
  <c r="AS17" i="6"/>
  <c r="AP18" i="6"/>
  <c r="AQ18" i="6"/>
  <c r="AR18" i="6"/>
  <c r="AS18" i="6"/>
  <c r="AP19" i="6"/>
  <c r="AQ19" i="6"/>
  <c r="AR19" i="6"/>
  <c r="AS19" i="6"/>
  <c r="AP21" i="6"/>
  <c r="AQ21" i="6"/>
  <c r="AR21" i="6"/>
  <c r="AS21" i="6"/>
  <c r="AP22" i="6"/>
  <c r="AQ22" i="6"/>
  <c r="AR22" i="6"/>
  <c r="AS22" i="6"/>
  <c r="AP23" i="6"/>
  <c r="AQ23" i="6"/>
  <c r="AR23" i="6"/>
  <c r="AS23" i="6"/>
  <c r="AP24" i="6"/>
  <c r="AQ24" i="6"/>
  <c r="AR24" i="6"/>
  <c r="AS24" i="6"/>
  <c r="AP25" i="6"/>
  <c r="AQ25" i="6"/>
  <c r="AR25" i="6"/>
  <c r="AS25" i="6"/>
  <c r="AP26" i="6"/>
  <c r="AQ26" i="6"/>
  <c r="AR26" i="6"/>
  <c r="AS26" i="6"/>
  <c r="AP27" i="6"/>
  <c r="AQ27" i="6"/>
  <c r="AR27" i="6"/>
  <c r="AS27" i="6"/>
  <c r="AO27" i="6"/>
  <c r="AO28" i="6" s="1"/>
  <c r="AO26" i="6"/>
  <c r="AO25" i="6"/>
  <c r="AO24" i="6"/>
  <c r="AO23" i="6"/>
  <c r="AO22" i="6"/>
  <c r="AO21" i="6"/>
  <c r="AO19" i="6"/>
  <c r="AO18" i="6"/>
  <c r="AO17" i="6"/>
  <c r="AO16" i="6"/>
  <c r="AP4" i="6"/>
  <c r="AQ4" i="6"/>
  <c r="AR4" i="6"/>
  <c r="AS4" i="6"/>
  <c r="AP5" i="6"/>
  <c r="AQ5" i="6"/>
  <c r="AR5" i="6"/>
  <c r="AS5" i="6"/>
  <c r="AP6" i="6"/>
  <c r="AQ6" i="6"/>
  <c r="AR6" i="6"/>
  <c r="AS6" i="6"/>
  <c r="AP7" i="6"/>
  <c r="AQ7" i="6"/>
  <c r="AR7" i="6"/>
  <c r="AS7" i="6"/>
  <c r="AP8" i="6"/>
  <c r="AQ8" i="6"/>
  <c r="AR8" i="6"/>
  <c r="AS8" i="6"/>
  <c r="AP9" i="6"/>
  <c r="AQ9" i="6"/>
  <c r="AR9" i="6"/>
  <c r="AS9" i="6"/>
  <c r="AP10" i="6"/>
  <c r="AQ10" i="6"/>
  <c r="AR10" i="6"/>
  <c r="AS10" i="6"/>
  <c r="AP11" i="6"/>
  <c r="AQ11" i="6"/>
  <c r="AR11" i="6"/>
  <c r="AS11" i="6"/>
  <c r="AP12" i="6"/>
  <c r="AQ12" i="6"/>
  <c r="AR12" i="6"/>
  <c r="AS12" i="6"/>
  <c r="AP13" i="6"/>
  <c r="AQ13" i="6"/>
  <c r="AQ14" i="6" s="1"/>
  <c r="AR13" i="6"/>
  <c r="AR14" i="6" s="1"/>
  <c r="AS13" i="6"/>
  <c r="AS14" i="6" s="1"/>
  <c r="AO13" i="6"/>
  <c r="AO14" i="6" s="1"/>
  <c r="AO12" i="6"/>
  <c r="AO11" i="6"/>
  <c r="AO10" i="6"/>
  <c r="AO9" i="6"/>
  <c r="AO8" i="6"/>
  <c r="AO7" i="6"/>
  <c r="AO6" i="6"/>
  <c r="AO5" i="6"/>
  <c r="AO4" i="6"/>
  <c r="AH16" i="6"/>
  <c r="AI16" i="6"/>
  <c r="AJ16" i="6"/>
  <c r="AK16" i="6"/>
  <c r="AL16" i="6"/>
  <c r="AH17" i="6"/>
  <c r="AI17" i="6"/>
  <c r="AJ17" i="6"/>
  <c r="AK17" i="6"/>
  <c r="AL17" i="6"/>
  <c r="AH18" i="6"/>
  <c r="AI18" i="6"/>
  <c r="AJ18" i="6"/>
  <c r="AK18" i="6"/>
  <c r="AL18" i="6"/>
  <c r="AH19" i="6"/>
  <c r="AI19" i="6"/>
  <c r="AJ19" i="6"/>
  <c r="AK19" i="6"/>
  <c r="AL19" i="6"/>
  <c r="AH20" i="6"/>
  <c r="AI20" i="6"/>
  <c r="AJ20" i="6"/>
  <c r="AK20" i="6"/>
  <c r="AL20" i="6"/>
  <c r="AH21" i="6"/>
  <c r="AI21" i="6"/>
  <c r="AJ21" i="6"/>
  <c r="AK21" i="6"/>
  <c r="AL21" i="6"/>
  <c r="AH22" i="6"/>
  <c r="AI22" i="6"/>
  <c r="AJ22" i="6"/>
  <c r="AK22" i="6"/>
  <c r="AL22" i="6"/>
  <c r="AH23" i="6"/>
  <c r="AI23" i="6"/>
  <c r="AJ23" i="6"/>
  <c r="AK23" i="6"/>
  <c r="AL23" i="6"/>
  <c r="AH24" i="6"/>
  <c r="AI24" i="6"/>
  <c r="AJ24" i="6"/>
  <c r="AK24" i="6"/>
  <c r="AL24" i="6"/>
  <c r="AH25" i="6"/>
  <c r="AI25" i="6"/>
  <c r="AJ25" i="6"/>
  <c r="AK25" i="6"/>
  <c r="AL25" i="6"/>
  <c r="AH26" i="6"/>
  <c r="AI26" i="6"/>
  <c r="AJ26" i="6"/>
  <c r="AK26" i="6"/>
  <c r="AL26" i="6"/>
  <c r="AH27" i="6"/>
  <c r="AH28" i="6" s="1"/>
  <c r="AI27" i="6"/>
  <c r="AJ27" i="6"/>
  <c r="AK27" i="6"/>
  <c r="AL27" i="6"/>
  <c r="AG27" i="6"/>
  <c r="AG26" i="6"/>
  <c r="AG25" i="6"/>
  <c r="AG24" i="6"/>
  <c r="AG23" i="6"/>
  <c r="AG22" i="6"/>
  <c r="AG21" i="6"/>
  <c r="AG20" i="6"/>
  <c r="AG19" i="6"/>
  <c r="AG18" i="6"/>
  <c r="AG17" i="6"/>
  <c r="AG16" i="6"/>
  <c r="AH4" i="6"/>
  <c r="AI4" i="6"/>
  <c r="AJ4" i="6"/>
  <c r="AK4" i="6"/>
  <c r="AL4" i="6"/>
  <c r="AH5" i="6"/>
  <c r="AI5" i="6"/>
  <c r="AJ5" i="6"/>
  <c r="AK5" i="6"/>
  <c r="AL5" i="6"/>
  <c r="AH6" i="6"/>
  <c r="AI6" i="6"/>
  <c r="AJ6" i="6"/>
  <c r="AK6" i="6"/>
  <c r="AL6" i="6"/>
  <c r="AH7" i="6"/>
  <c r="AI7" i="6"/>
  <c r="AJ7" i="6"/>
  <c r="AK7" i="6"/>
  <c r="AL7" i="6"/>
  <c r="AH8" i="6"/>
  <c r="AI8" i="6"/>
  <c r="AJ8" i="6"/>
  <c r="AJ14" i="6" s="1"/>
  <c r="AK8" i="6"/>
  <c r="AK14" i="6" s="1"/>
  <c r="AL8" i="6"/>
  <c r="AH9" i="6"/>
  <c r="AI9" i="6"/>
  <c r="AJ9" i="6"/>
  <c r="AK9" i="6"/>
  <c r="AL9" i="6"/>
  <c r="AH10" i="6"/>
  <c r="AI10" i="6"/>
  <c r="AJ10" i="6"/>
  <c r="AK10" i="6"/>
  <c r="AL10" i="6"/>
  <c r="AH11" i="6"/>
  <c r="AI11" i="6"/>
  <c r="AJ11" i="6"/>
  <c r="AK11" i="6"/>
  <c r="AL11" i="6"/>
  <c r="AH12" i="6"/>
  <c r="AI12" i="6"/>
  <c r="AJ12" i="6"/>
  <c r="AK12" i="6"/>
  <c r="AL12" i="6"/>
  <c r="AH13" i="6"/>
  <c r="AI13" i="6"/>
  <c r="AI14" i="6" s="1"/>
  <c r="AJ13" i="6"/>
  <c r="AK13" i="6"/>
  <c r="AL13" i="6"/>
  <c r="AG13" i="6"/>
  <c r="AG14" i="6" s="1"/>
  <c r="AG12" i="6"/>
  <c r="AG11" i="6"/>
  <c r="AG10" i="6"/>
  <c r="AG9" i="6"/>
  <c r="AG8" i="6"/>
  <c r="AG7" i="6"/>
  <c r="AG6" i="6"/>
  <c r="AG5" i="6"/>
  <c r="AG4" i="6"/>
  <c r="Z16" i="6"/>
  <c r="AA16" i="6"/>
  <c r="AB16" i="6"/>
  <c r="AC16" i="6"/>
  <c r="AD16" i="6"/>
  <c r="Z17" i="6"/>
  <c r="AA17" i="6"/>
  <c r="AB17" i="6"/>
  <c r="AC17" i="6"/>
  <c r="AD17" i="6"/>
  <c r="Z18" i="6"/>
  <c r="AA18" i="6"/>
  <c r="AB18" i="6"/>
  <c r="AC18" i="6"/>
  <c r="AD18" i="6"/>
  <c r="Z19" i="6"/>
  <c r="AA19" i="6"/>
  <c r="AB19" i="6"/>
  <c r="AC19" i="6"/>
  <c r="AD19" i="6"/>
  <c r="Z20" i="6"/>
  <c r="AA20" i="6"/>
  <c r="AB20" i="6"/>
  <c r="AC20" i="6"/>
  <c r="AD20" i="6"/>
  <c r="Z21" i="6"/>
  <c r="AA21" i="6"/>
  <c r="AB21" i="6"/>
  <c r="AC21" i="6"/>
  <c r="AD21" i="6"/>
  <c r="Z22" i="6"/>
  <c r="AA22" i="6"/>
  <c r="AB22" i="6"/>
  <c r="AC22" i="6"/>
  <c r="AD22" i="6"/>
  <c r="Z23" i="6"/>
  <c r="AA23" i="6"/>
  <c r="AB23" i="6"/>
  <c r="AC23" i="6"/>
  <c r="AD23" i="6"/>
  <c r="Z24" i="6"/>
  <c r="AA24" i="6"/>
  <c r="AB24" i="6"/>
  <c r="AC24" i="6"/>
  <c r="AD24" i="6"/>
  <c r="Z25" i="6"/>
  <c r="AA25" i="6"/>
  <c r="AB25" i="6"/>
  <c r="AC25" i="6"/>
  <c r="AD25" i="6"/>
  <c r="Z26" i="6"/>
  <c r="AA26" i="6"/>
  <c r="AB26" i="6"/>
  <c r="AC26" i="6"/>
  <c r="AD26" i="6"/>
  <c r="Z27" i="6"/>
  <c r="Z28" i="6" s="1"/>
  <c r="AA27" i="6"/>
  <c r="AB27" i="6"/>
  <c r="AC27" i="6"/>
  <c r="AD27" i="6"/>
  <c r="Y27" i="6"/>
  <c r="Y26" i="6"/>
  <c r="Y25" i="6"/>
  <c r="Y24" i="6"/>
  <c r="Y23" i="6"/>
  <c r="Y22" i="6"/>
  <c r="Y21" i="6"/>
  <c r="Y20" i="6"/>
  <c r="Y19" i="6"/>
  <c r="Y18" i="6"/>
  <c r="Y17" i="6"/>
  <c r="Y16" i="6"/>
  <c r="Z4" i="6"/>
  <c r="AA4" i="6"/>
  <c r="AB4" i="6"/>
  <c r="AC4" i="6"/>
  <c r="AD4" i="6"/>
  <c r="Z5" i="6"/>
  <c r="AA5" i="6"/>
  <c r="AB5" i="6"/>
  <c r="AC5" i="6"/>
  <c r="AD5" i="6"/>
  <c r="Z6" i="6"/>
  <c r="AA6" i="6"/>
  <c r="AB6" i="6"/>
  <c r="AC6" i="6"/>
  <c r="AD6" i="6"/>
  <c r="Z7" i="6"/>
  <c r="AA7" i="6"/>
  <c r="AB7" i="6"/>
  <c r="AC7" i="6"/>
  <c r="AD7" i="6"/>
  <c r="Z8" i="6"/>
  <c r="AA8" i="6"/>
  <c r="AB8" i="6"/>
  <c r="AC8" i="6"/>
  <c r="AC14" i="6" s="1"/>
  <c r="AD8" i="6"/>
  <c r="Z9" i="6"/>
  <c r="AA9" i="6"/>
  <c r="AB9" i="6"/>
  <c r="AC9" i="6"/>
  <c r="AD9" i="6"/>
  <c r="Z10" i="6"/>
  <c r="AA10" i="6"/>
  <c r="AB10" i="6"/>
  <c r="AC10" i="6"/>
  <c r="AD10" i="6"/>
  <c r="Z11" i="6"/>
  <c r="AA11" i="6"/>
  <c r="AB11" i="6"/>
  <c r="AC11" i="6"/>
  <c r="AD11" i="6"/>
  <c r="Z12" i="6"/>
  <c r="AA12" i="6"/>
  <c r="AB12" i="6"/>
  <c r="AC12" i="6"/>
  <c r="AD12" i="6"/>
  <c r="Z13" i="6"/>
  <c r="Z14" i="6" s="1"/>
  <c r="AA13" i="6"/>
  <c r="AB13" i="6"/>
  <c r="AB14" i="6" s="1"/>
  <c r="AC13" i="6"/>
  <c r="AD13" i="6"/>
  <c r="Y13" i="6"/>
  <c r="Y12" i="6"/>
  <c r="Y11" i="6"/>
  <c r="Y10" i="6"/>
  <c r="Y9" i="6"/>
  <c r="Y8" i="6"/>
  <c r="Y7" i="6"/>
  <c r="Y6" i="6"/>
  <c r="Y5" i="6"/>
  <c r="Y4" i="6"/>
  <c r="AP28" i="6"/>
  <c r="AQ28" i="6"/>
  <c r="AR28" i="6"/>
  <c r="AS28" i="6"/>
  <c r="AP14" i="6"/>
  <c r="AI28" i="6"/>
  <c r="AJ28" i="6"/>
  <c r="AK28" i="6"/>
  <c r="AL28" i="6"/>
  <c r="AH14" i="6"/>
  <c r="AL14" i="6"/>
  <c r="AA28" i="6"/>
  <c r="AB28" i="6"/>
  <c r="AC28" i="6"/>
  <c r="AD28" i="6"/>
  <c r="AA14" i="6"/>
  <c r="AD14" i="6"/>
  <c r="Y14" i="6"/>
  <c r="R16" i="6"/>
  <c r="S16" i="6"/>
  <c r="T16" i="6"/>
  <c r="U16" i="6"/>
  <c r="V16" i="6"/>
  <c r="R17" i="6"/>
  <c r="S17" i="6"/>
  <c r="T17" i="6"/>
  <c r="U17" i="6"/>
  <c r="V17" i="6"/>
  <c r="R18" i="6"/>
  <c r="S18" i="6"/>
  <c r="T18" i="6"/>
  <c r="U18" i="6"/>
  <c r="V18" i="6"/>
  <c r="R19" i="6"/>
  <c r="S19" i="6"/>
  <c r="T19" i="6"/>
  <c r="U19" i="6"/>
  <c r="V19" i="6"/>
  <c r="R20" i="6"/>
  <c r="S20" i="6"/>
  <c r="T20" i="6"/>
  <c r="U20" i="6"/>
  <c r="V20" i="6"/>
  <c r="R21" i="6"/>
  <c r="S21" i="6"/>
  <c r="T21" i="6"/>
  <c r="U21" i="6"/>
  <c r="V21" i="6"/>
  <c r="R22" i="6"/>
  <c r="S22" i="6"/>
  <c r="T22" i="6"/>
  <c r="U22" i="6"/>
  <c r="V22" i="6"/>
  <c r="R23" i="6"/>
  <c r="S23" i="6"/>
  <c r="T23" i="6"/>
  <c r="U23" i="6"/>
  <c r="V23" i="6"/>
  <c r="R24" i="6"/>
  <c r="S24" i="6"/>
  <c r="T24" i="6"/>
  <c r="U24" i="6"/>
  <c r="V24" i="6"/>
  <c r="R25" i="6"/>
  <c r="S25" i="6"/>
  <c r="T25" i="6"/>
  <c r="U25" i="6"/>
  <c r="V25" i="6"/>
  <c r="R26" i="6"/>
  <c r="S26" i="6"/>
  <c r="T26" i="6"/>
  <c r="U26" i="6"/>
  <c r="V26" i="6"/>
  <c r="R27" i="6"/>
  <c r="R28" i="6" s="1"/>
  <c r="S27" i="6"/>
  <c r="T27" i="6"/>
  <c r="U27" i="6"/>
  <c r="V27" i="6"/>
  <c r="Q27" i="6"/>
  <c r="Q26" i="6"/>
  <c r="Q25" i="6"/>
  <c r="Q24" i="6"/>
  <c r="Q23" i="6"/>
  <c r="Q22" i="6"/>
  <c r="Q21" i="6"/>
  <c r="Q20" i="6"/>
  <c r="Q19" i="6"/>
  <c r="Q18" i="6"/>
  <c r="Q17" i="6"/>
  <c r="Q16" i="6"/>
  <c r="R13" i="6"/>
  <c r="S13" i="6"/>
  <c r="T13" i="6"/>
  <c r="U13" i="6"/>
  <c r="V13" i="6"/>
  <c r="V14" i="6" s="1"/>
  <c r="R4" i="6"/>
  <c r="S4" i="6"/>
  <c r="T4" i="6"/>
  <c r="U4" i="6"/>
  <c r="V4" i="6"/>
  <c r="R5" i="6"/>
  <c r="S5" i="6"/>
  <c r="T5" i="6"/>
  <c r="U5" i="6"/>
  <c r="V5" i="6"/>
  <c r="R6" i="6"/>
  <c r="S6" i="6"/>
  <c r="T6" i="6"/>
  <c r="U6" i="6"/>
  <c r="V6" i="6"/>
  <c r="R7" i="6"/>
  <c r="S7" i="6"/>
  <c r="T7" i="6"/>
  <c r="U7" i="6"/>
  <c r="V7" i="6"/>
  <c r="R8" i="6"/>
  <c r="S8" i="6"/>
  <c r="T8" i="6"/>
  <c r="T14" i="6" s="1"/>
  <c r="U8" i="6"/>
  <c r="U14" i="6" s="1"/>
  <c r="V8" i="6"/>
  <c r="R9" i="6"/>
  <c r="S9" i="6"/>
  <c r="T9" i="6"/>
  <c r="U9" i="6"/>
  <c r="V9" i="6"/>
  <c r="R10" i="6"/>
  <c r="S10" i="6"/>
  <c r="T10" i="6"/>
  <c r="U10" i="6"/>
  <c r="V10" i="6"/>
  <c r="R11" i="6"/>
  <c r="S11" i="6"/>
  <c r="T11" i="6"/>
  <c r="U11" i="6"/>
  <c r="V11" i="6"/>
  <c r="R12" i="6"/>
  <c r="S12" i="6"/>
  <c r="T12" i="6"/>
  <c r="U12" i="6"/>
  <c r="V12" i="6"/>
  <c r="S28" i="6"/>
  <c r="T28" i="6"/>
  <c r="U28" i="6"/>
  <c r="V28" i="6"/>
  <c r="R14" i="6"/>
  <c r="S14" i="6"/>
  <c r="Q14" i="6"/>
  <c r="Q13" i="6"/>
  <c r="Q12" i="6"/>
  <c r="Q11" i="6"/>
  <c r="Q10" i="6"/>
  <c r="Q9" i="6"/>
  <c r="Q8" i="6"/>
  <c r="Q7" i="6"/>
  <c r="Q6" i="6"/>
  <c r="Q5" i="6"/>
  <c r="Q4" i="6"/>
  <c r="K16" i="6"/>
  <c r="L16" i="6"/>
  <c r="M16" i="6"/>
  <c r="N16" i="6"/>
  <c r="K17" i="6"/>
  <c r="L17" i="6"/>
  <c r="M17" i="6"/>
  <c r="N17" i="6"/>
  <c r="K18" i="6"/>
  <c r="L18" i="6"/>
  <c r="L28" i="6" s="1"/>
  <c r="M18" i="6"/>
  <c r="N18" i="6"/>
  <c r="N28" i="6" s="1"/>
  <c r="K20" i="6"/>
  <c r="L20" i="6"/>
  <c r="M20" i="6"/>
  <c r="N20" i="6"/>
  <c r="K21" i="6"/>
  <c r="L21" i="6"/>
  <c r="M21" i="6"/>
  <c r="N21" i="6"/>
  <c r="K22" i="6"/>
  <c r="K28" i="6" s="1"/>
  <c r="L22" i="6"/>
  <c r="M22" i="6"/>
  <c r="N22" i="6"/>
  <c r="K23" i="6"/>
  <c r="L23" i="6"/>
  <c r="M23" i="6"/>
  <c r="N23" i="6"/>
  <c r="K24" i="6"/>
  <c r="L24" i="6"/>
  <c r="M24" i="6"/>
  <c r="N24" i="6"/>
  <c r="K25" i="6"/>
  <c r="L25" i="6"/>
  <c r="M25" i="6"/>
  <c r="N25" i="6"/>
  <c r="K26" i="6"/>
  <c r="L26" i="6"/>
  <c r="M26" i="6"/>
  <c r="N26" i="6"/>
  <c r="K27" i="6"/>
  <c r="L27" i="6"/>
  <c r="M27" i="6"/>
  <c r="N27" i="6"/>
  <c r="M28" i="6"/>
  <c r="J28" i="6"/>
  <c r="J27" i="6"/>
  <c r="J26" i="6"/>
  <c r="J25" i="6"/>
  <c r="J24" i="6"/>
  <c r="J23" i="6"/>
  <c r="J22" i="6"/>
  <c r="J21" i="6"/>
  <c r="J20" i="6"/>
  <c r="J18" i="6"/>
  <c r="J17" i="6"/>
  <c r="J16" i="6"/>
  <c r="K4" i="6"/>
  <c r="L4" i="6"/>
  <c r="M4" i="6"/>
  <c r="N4" i="6"/>
  <c r="K6" i="6"/>
  <c r="L6" i="6"/>
  <c r="M6" i="6"/>
  <c r="N6" i="6"/>
  <c r="K7" i="6"/>
  <c r="L7" i="6"/>
  <c r="M7" i="6"/>
  <c r="N7" i="6"/>
  <c r="K8" i="6"/>
  <c r="K14" i="6" s="1"/>
  <c r="L8" i="6"/>
  <c r="L14" i="6" s="1"/>
  <c r="M8" i="6"/>
  <c r="N8" i="6"/>
  <c r="K9" i="6"/>
  <c r="L9" i="6"/>
  <c r="M9" i="6"/>
  <c r="N9" i="6"/>
  <c r="K10" i="6"/>
  <c r="L10" i="6"/>
  <c r="M10" i="6"/>
  <c r="N10" i="6"/>
  <c r="K11" i="6"/>
  <c r="L11" i="6"/>
  <c r="M11" i="6"/>
  <c r="N11" i="6"/>
  <c r="K12" i="6"/>
  <c r="L12" i="6"/>
  <c r="M12" i="6"/>
  <c r="N12" i="6"/>
  <c r="K13" i="6"/>
  <c r="L13" i="6"/>
  <c r="M13" i="6"/>
  <c r="N13" i="6"/>
  <c r="J13" i="6"/>
  <c r="J14" i="6" s="1"/>
  <c r="J12" i="6"/>
  <c r="J11" i="6"/>
  <c r="J10" i="6"/>
  <c r="J9" i="6"/>
  <c r="J8" i="6"/>
  <c r="J7" i="6"/>
  <c r="J6" i="6"/>
  <c r="J4" i="6"/>
  <c r="M14" i="6"/>
  <c r="N14" i="6"/>
  <c r="C20" i="6"/>
  <c r="D20" i="6"/>
  <c r="E20" i="6"/>
  <c r="F20" i="6"/>
  <c r="G20" i="6"/>
  <c r="C21" i="6"/>
  <c r="D21" i="6"/>
  <c r="E21" i="6"/>
  <c r="F21" i="6"/>
  <c r="G21" i="6"/>
  <c r="C22" i="6"/>
  <c r="D22" i="6"/>
  <c r="E22" i="6"/>
  <c r="F22" i="6"/>
  <c r="F28" i="6" s="1"/>
  <c r="G22" i="6"/>
  <c r="C23" i="6"/>
  <c r="D23" i="6"/>
  <c r="E23" i="6"/>
  <c r="F23" i="6"/>
  <c r="G23" i="6"/>
  <c r="C24" i="6"/>
  <c r="D24" i="6"/>
  <c r="E24" i="6"/>
  <c r="F24" i="6"/>
  <c r="G24" i="6"/>
  <c r="C25" i="6"/>
  <c r="D25" i="6"/>
  <c r="E25" i="6"/>
  <c r="F25" i="6"/>
  <c r="G25" i="6"/>
  <c r="C26" i="6"/>
  <c r="D26" i="6"/>
  <c r="D28" i="6" s="1"/>
  <c r="E26" i="6"/>
  <c r="F26" i="6"/>
  <c r="G26" i="6"/>
  <c r="C27" i="6"/>
  <c r="D27" i="6"/>
  <c r="E27" i="6"/>
  <c r="F27" i="6"/>
  <c r="G27" i="6"/>
  <c r="C28" i="6"/>
  <c r="E28" i="6"/>
  <c r="G28" i="6"/>
  <c r="B28" i="6"/>
  <c r="B27" i="6"/>
  <c r="B26" i="6"/>
  <c r="B25" i="6"/>
  <c r="B24" i="6"/>
  <c r="B23" i="6"/>
  <c r="B22" i="6"/>
  <c r="B21" i="6"/>
  <c r="C19" i="6"/>
  <c r="D19" i="6"/>
  <c r="E19" i="6"/>
  <c r="F19" i="6"/>
  <c r="G19" i="6"/>
  <c r="B19" i="6"/>
  <c r="B20" i="6"/>
  <c r="C16" i="6"/>
  <c r="D16" i="6"/>
  <c r="E16" i="6"/>
  <c r="F16" i="6"/>
  <c r="G16" i="6"/>
  <c r="C17" i="6"/>
  <c r="D17" i="6"/>
  <c r="E17" i="6"/>
  <c r="F17" i="6"/>
  <c r="G17" i="6"/>
  <c r="C18" i="6"/>
  <c r="D18" i="6"/>
  <c r="E18" i="6"/>
  <c r="F18" i="6"/>
  <c r="G18" i="6"/>
  <c r="B18" i="6"/>
  <c r="B17" i="6"/>
  <c r="B16" i="6"/>
  <c r="C8" i="6"/>
  <c r="D8" i="6"/>
  <c r="E8" i="6"/>
  <c r="F8" i="6"/>
  <c r="G8" i="6"/>
  <c r="C9" i="6"/>
  <c r="D9" i="6"/>
  <c r="E9" i="6"/>
  <c r="F9" i="6"/>
  <c r="G9" i="6"/>
  <c r="C10" i="6"/>
  <c r="D10" i="6"/>
  <c r="E10" i="6"/>
  <c r="F10" i="6"/>
  <c r="G10" i="6"/>
  <c r="C11" i="6"/>
  <c r="D11" i="6"/>
  <c r="E11" i="6"/>
  <c r="F11" i="6"/>
  <c r="G11" i="6"/>
  <c r="C12" i="6"/>
  <c r="D12" i="6"/>
  <c r="E12" i="6"/>
  <c r="F12" i="6"/>
  <c r="G12" i="6"/>
  <c r="C13" i="6"/>
  <c r="D13" i="6"/>
  <c r="E13" i="6"/>
  <c r="F13" i="6"/>
  <c r="G13" i="6"/>
  <c r="B13" i="6"/>
  <c r="B12" i="6"/>
  <c r="B11" i="6"/>
  <c r="B10" i="6"/>
  <c r="B9" i="6"/>
  <c r="B8" i="6"/>
  <c r="B14" i="6" s="1"/>
  <c r="C14" i="6"/>
  <c r="D14" i="6"/>
  <c r="E14" i="6"/>
  <c r="F14" i="6"/>
  <c r="G14" i="6"/>
  <c r="C5" i="6"/>
  <c r="D5" i="6"/>
  <c r="E5" i="6"/>
  <c r="F5" i="6"/>
  <c r="G5" i="6"/>
  <c r="C6" i="6"/>
  <c r="D6" i="6"/>
  <c r="E6" i="6"/>
  <c r="F6" i="6"/>
  <c r="G6" i="6"/>
  <c r="C7" i="6"/>
  <c r="D7" i="6"/>
  <c r="E7" i="6"/>
  <c r="F7" i="6"/>
  <c r="G7" i="6"/>
  <c r="B7" i="6"/>
  <c r="B6" i="6"/>
  <c r="B5" i="6"/>
  <c r="C4" i="6"/>
  <c r="D4" i="6"/>
  <c r="E4" i="6"/>
  <c r="F4" i="6"/>
  <c r="G4" i="6"/>
  <c r="B4" i="6"/>
  <c r="AP15" i="5"/>
  <c r="AQ15" i="5"/>
  <c r="AR15" i="5"/>
  <c r="AS15" i="5"/>
  <c r="AO15" i="5"/>
  <c r="AP14" i="5"/>
  <c r="AQ14" i="5"/>
  <c r="AR14" i="5"/>
  <c r="AS14" i="5"/>
  <c r="AO14" i="5"/>
  <c r="AP11" i="5"/>
  <c r="AQ11" i="5"/>
  <c r="AR11" i="5"/>
  <c r="AS11" i="5"/>
  <c r="AP12" i="5"/>
  <c r="AP13" i="5" s="1"/>
  <c r="AQ12" i="5"/>
  <c r="AQ13" i="5" s="1"/>
  <c r="AR12" i="5"/>
  <c r="AR13" i="5" s="1"/>
  <c r="AS12" i="5"/>
  <c r="AS13" i="5" s="1"/>
  <c r="AO13" i="5"/>
  <c r="AO12" i="5"/>
  <c r="AO11" i="5"/>
  <c r="AP10" i="5"/>
  <c r="AQ10" i="5"/>
  <c r="AR10" i="5"/>
  <c r="AS10" i="5"/>
  <c r="AO10" i="5"/>
  <c r="AP9" i="5"/>
  <c r="AQ9" i="5"/>
  <c r="AR9" i="5"/>
  <c r="AS9" i="5"/>
  <c r="AO9" i="5"/>
  <c r="AP8" i="5"/>
  <c r="AQ8" i="5"/>
  <c r="AR8" i="5"/>
  <c r="AS8" i="5"/>
  <c r="AO8" i="5"/>
  <c r="AP7" i="5"/>
  <c r="AQ7" i="5"/>
  <c r="AR7" i="5"/>
  <c r="AS7" i="5"/>
  <c r="AO7" i="5"/>
  <c r="AP6" i="5"/>
  <c r="AQ6" i="5"/>
  <c r="AR6" i="5"/>
  <c r="AS6" i="5"/>
  <c r="AO6" i="5"/>
  <c r="AP5" i="5"/>
  <c r="AQ5" i="5"/>
  <c r="AR5" i="5"/>
  <c r="AS5" i="5"/>
  <c r="AO5" i="5"/>
  <c r="R7" i="5"/>
  <c r="S7" i="5"/>
  <c r="T7" i="5"/>
  <c r="U7" i="5"/>
  <c r="V7" i="5"/>
  <c r="V8" i="5" s="1"/>
  <c r="Q7" i="5"/>
  <c r="AG7" i="5"/>
  <c r="AP4" i="5"/>
  <c r="AQ4" i="5"/>
  <c r="AR4" i="5"/>
  <c r="AS4" i="5"/>
  <c r="AO4" i="5"/>
  <c r="AH6" i="5"/>
  <c r="AI6" i="5"/>
  <c r="AJ6" i="5"/>
  <c r="AK6" i="5"/>
  <c r="AL6" i="5"/>
  <c r="AH7" i="5"/>
  <c r="AH8" i="5" s="1"/>
  <c r="AH10" i="5" s="1"/>
  <c r="AH13" i="5" s="1"/>
  <c r="AH15" i="5" s="1"/>
  <c r="AI7" i="5"/>
  <c r="AI8" i="5" s="1"/>
  <c r="AI10" i="5" s="1"/>
  <c r="AI13" i="5" s="1"/>
  <c r="AI15" i="5" s="1"/>
  <c r="AJ7" i="5"/>
  <c r="AJ8" i="5" s="1"/>
  <c r="AJ10" i="5" s="1"/>
  <c r="AJ13" i="5" s="1"/>
  <c r="AJ15" i="5" s="1"/>
  <c r="AK7" i="5"/>
  <c r="AL7" i="5"/>
  <c r="AK8" i="5"/>
  <c r="AL8" i="5"/>
  <c r="AL10" i="5" s="1"/>
  <c r="AL13" i="5" s="1"/>
  <c r="AL15" i="5" s="1"/>
  <c r="AH9" i="5"/>
  <c r="AI9" i="5"/>
  <c r="AJ9" i="5"/>
  <c r="AK9" i="5"/>
  <c r="AL9" i="5"/>
  <c r="AK10" i="5"/>
  <c r="AK13" i="5" s="1"/>
  <c r="AK15" i="5" s="1"/>
  <c r="AH11" i="5"/>
  <c r="AI11" i="5"/>
  <c r="AJ11" i="5"/>
  <c r="AK11" i="5"/>
  <c r="AL11" i="5"/>
  <c r="AH12" i="5"/>
  <c r="AI12" i="5"/>
  <c r="AJ12" i="5"/>
  <c r="AK12" i="5"/>
  <c r="AL12" i="5"/>
  <c r="AH14" i="5"/>
  <c r="AI14" i="5"/>
  <c r="AJ14" i="5"/>
  <c r="AK14" i="5"/>
  <c r="AL14" i="5"/>
  <c r="AG14" i="5"/>
  <c r="AG12" i="5"/>
  <c r="AG11" i="5"/>
  <c r="AG9" i="5"/>
  <c r="AG8" i="5"/>
  <c r="AG10" i="5" s="1"/>
  <c r="AG13" i="5" s="1"/>
  <c r="AG15" i="5" s="1"/>
  <c r="AG6" i="5"/>
  <c r="AH5" i="5"/>
  <c r="AI5" i="5"/>
  <c r="AJ5" i="5"/>
  <c r="AK5" i="5"/>
  <c r="AL5" i="5"/>
  <c r="AG5" i="5"/>
  <c r="AH4" i="5"/>
  <c r="AI4" i="5"/>
  <c r="AJ4" i="5"/>
  <c r="AK4" i="5"/>
  <c r="AL4" i="5"/>
  <c r="AG4" i="5"/>
  <c r="Z9" i="5"/>
  <c r="AA9" i="5"/>
  <c r="AB9" i="5"/>
  <c r="AC9" i="5"/>
  <c r="AD9" i="5"/>
  <c r="Z10" i="5"/>
  <c r="Z13" i="5" s="1"/>
  <c r="AA10" i="5"/>
  <c r="AB10" i="5"/>
  <c r="AC10" i="5"/>
  <c r="AD10" i="5"/>
  <c r="Z11" i="5"/>
  <c r="AA11" i="5"/>
  <c r="AB11" i="5"/>
  <c r="AC11" i="5"/>
  <c r="AC13" i="5" s="1"/>
  <c r="AD11" i="5"/>
  <c r="AD13" i="5" s="1"/>
  <c r="Z12" i="5"/>
  <c r="AA12" i="5"/>
  <c r="AB12" i="5"/>
  <c r="AC12" i="5"/>
  <c r="AD12" i="5"/>
  <c r="AA13" i="5"/>
  <c r="AB13" i="5"/>
  <c r="Z14" i="5"/>
  <c r="AA14" i="5"/>
  <c r="AB14" i="5"/>
  <c r="AC14" i="5"/>
  <c r="AD14" i="5"/>
  <c r="Z15" i="5"/>
  <c r="AA15" i="5"/>
  <c r="AB15" i="5"/>
  <c r="AC15" i="5"/>
  <c r="AD15" i="5"/>
  <c r="Y15" i="5"/>
  <c r="Y14" i="5"/>
  <c r="Y13" i="5"/>
  <c r="Y12" i="5"/>
  <c r="Y11" i="5"/>
  <c r="Y10" i="5"/>
  <c r="Y9" i="5"/>
  <c r="Z6" i="5"/>
  <c r="AA6" i="5"/>
  <c r="AB6" i="5"/>
  <c r="AC6" i="5"/>
  <c r="AD6" i="5"/>
  <c r="Z7" i="5"/>
  <c r="Z8" i="5" s="1"/>
  <c r="AA7" i="5"/>
  <c r="AA8" i="5" s="1"/>
  <c r="AB7" i="5"/>
  <c r="AB8" i="5" s="1"/>
  <c r="AC7" i="5"/>
  <c r="AD7" i="5"/>
  <c r="AC8" i="5"/>
  <c r="AD8" i="5"/>
  <c r="Y8" i="5"/>
  <c r="Y7" i="5"/>
  <c r="Y6" i="5"/>
  <c r="Z5" i="5"/>
  <c r="AA5" i="5"/>
  <c r="AB5" i="5"/>
  <c r="AC5" i="5"/>
  <c r="AD5" i="5"/>
  <c r="Y5" i="5"/>
  <c r="Z4" i="5"/>
  <c r="AA4" i="5"/>
  <c r="AB4" i="5"/>
  <c r="AC4" i="5"/>
  <c r="AD4" i="5"/>
  <c r="Y4" i="5"/>
  <c r="X3" i="5"/>
  <c r="X4" i="5"/>
  <c r="X5" i="5"/>
  <c r="X6" i="5"/>
  <c r="X7" i="5"/>
  <c r="X8" i="5"/>
  <c r="X9" i="5"/>
  <c r="X10" i="5"/>
  <c r="X11" i="5"/>
  <c r="X12" i="5"/>
  <c r="X13" i="5"/>
  <c r="X14" i="5"/>
  <c r="X15" i="5"/>
  <c r="R15" i="5"/>
  <c r="S15" i="5"/>
  <c r="T15" i="5"/>
  <c r="U15" i="5"/>
  <c r="V15" i="5"/>
  <c r="Q15" i="5"/>
  <c r="R14" i="5"/>
  <c r="S14" i="5"/>
  <c r="T14" i="5"/>
  <c r="U14" i="5"/>
  <c r="V14" i="5"/>
  <c r="Q14" i="5"/>
  <c r="R13" i="5"/>
  <c r="S13" i="5"/>
  <c r="T13" i="5"/>
  <c r="U13" i="5"/>
  <c r="V13" i="5"/>
  <c r="Q13" i="5"/>
  <c r="R12" i="5"/>
  <c r="S12" i="5"/>
  <c r="T12" i="5"/>
  <c r="U12" i="5"/>
  <c r="V12" i="5"/>
  <c r="Q12" i="5"/>
  <c r="R11" i="5"/>
  <c r="S11" i="5"/>
  <c r="T11" i="5"/>
  <c r="U11" i="5"/>
  <c r="V11" i="5"/>
  <c r="Q11" i="5"/>
  <c r="R10" i="5"/>
  <c r="S10" i="5"/>
  <c r="T10" i="5"/>
  <c r="U10" i="5"/>
  <c r="V10" i="5"/>
  <c r="Q10" i="5"/>
  <c r="R9" i="5"/>
  <c r="S9" i="5"/>
  <c r="T9" i="5"/>
  <c r="U9" i="5"/>
  <c r="V9" i="5"/>
  <c r="Q9" i="5"/>
  <c r="R6" i="5"/>
  <c r="S6" i="5"/>
  <c r="T6" i="5"/>
  <c r="U6" i="5"/>
  <c r="V6" i="5"/>
  <c r="R8" i="5"/>
  <c r="T8" i="5"/>
  <c r="S8" i="5"/>
  <c r="U8" i="5"/>
  <c r="Q8" i="5"/>
  <c r="Q6" i="5"/>
  <c r="R5" i="5"/>
  <c r="S5" i="5"/>
  <c r="T5" i="5"/>
  <c r="U5" i="5"/>
  <c r="V5" i="5"/>
  <c r="Q5" i="5"/>
  <c r="R4" i="5"/>
  <c r="S4" i="5"/>
  <c r="T4" i="5"/>
  <c r="U4" i="5"/>
  <c r="V4" i="5"/>
  <c r="Q4" i="5"/>
  <c r="P3" i="5"/>
  <c r="P4" i="5"/>
  <c r="P5" i="5"/>
  <c r="P6" i="5"/>
  <c r="P7" i="5"/>
  <c r="P8" i="5"/>
  <c r="P9" i="5"/>
  <c r="P10" i="5"/>
  <c r="P11" i="5"/>
  <c r="P12" i="5"/>
  <c r="P13" i="5"/>
  <c r="P14" i="5"/>
  <c r="P15" i="5"/>
  <c r="M15" i="5"/>
  <c r="M6" i="7" s="1"/>
  <c r="N15" i="5"/>
  <c r="N6" i="7" s="1"/>
  <c r="K14" i="5"/>
  <c r="L14" i="5"/>
  <c r="M14" i="5"/>
  <c r="N14" i="5"/>
  <c r="J14" i="5"/>
  <c r="K13" i="5"/>
  <c r="K15" i="5" s="1"/>
  <c r="K6" i="7" s="1"/>
  <c r="L13" i="5"/>
  <c r="L15" i="5" s="1"/>
  <c r="L6" i="7" s="1"/>
  <c r="M13" i="5"/>
  <c r="N13" i="5"/>
  <c r="J13" i="5"/>
  <c r="J15" i="5" s="1"/>
  <c r="J6" i="7" s="1"/>
  <c r="K12" i="5"/>
  <c r="L12" i="5"/>
  <c r="M12" i="5"/>
  <c r="N12" i="5"/>
  <c r="J12" i="5"/>
  <c r="K10" i="5"/>
  <c r="L10" i="5"/>
  <c r="M10" i="5"/>
  <c r="N10" i="5"/>
  <c r="J10" i="5"/>
  <c r="K9" i="5"/>
  <c r="L9" i="5"/>
  <c r="M9" i="5"/>
  <c r="N9" i="5"/>
  <c r="J9" i="5"/>
  <c r="M8" i="5"/>
  <c r="K7" i="5"/>
  <c r="L7" i="5"/>
  <c r="M7" i="5"/>
  <c r="N7" i="5"/>
  <c r="J7" i="5"/>
  <c r="K6" i="5"/>
  <c r="L6" i="5"/>
  <c r="M6" i="5"/>
  <c r="N6" i="5"/>
  <c r="J6" i="5"/>
  <c r="M5" i="5"/>
  <c r="N5" i="5"/>
  <c r="N8" i="5" s="1"/>
  <c r="K4" i="5"/>
  <c r="K5" i="5" s="1"/>
  <c r="K8" i="5" s="1"/>
  <c r="L4" i="5"/>
  <c r="L5" i="5" s="1"/>
  <c r="L8" i="5" s="1"/>
  <c r="M4" i="5"/>
  <c r="N4" i="5"/>
  <c r="J4" i="5"/>
  <c r="J5" i="5" s="1"/>
  <c r="J8" i="5" s="1"/>
  <c r="I3" i="5"/>
  <c r="I4" i="5"/>
  <c r="I5" i="5"/>
  <c r="I6" i="5"/>
  <c r="I7" i="5"/>
  <c r="I8" i="5"/>
  <c r="I9" i="5"/>
  <c r="I10" i="5"/>
  <c r="I11" i="5"/>
  <c r="I12" i="5"/>
  <c r="I13" i="5"/>
  <c r="I14" i="5"/>
  <c r="I15" i="5"/>
  <c r="C13" i="5"/>
  <c r="D13" i="5"/>
  <c r="E13" i="5"/>
  <c r="F13" i="5"/>
  <c r="G13" i="5"/>
  <c r="B13" i="5"/>
  <c r="C15" i="5"/>
  <c r="D15" i="5"/>
  <c r="E15" i="5"/>
  <c r="F15" i="5"/>
  <c r="G15" i="5"/>
  <c r="B15" i="5"/>
  <c r="C14" i="5"/>
  <c r="D14" i="5"/>
  <c r="E14" i="5"/>
  <c r="F14" i="5"/>
  <c r="G14" i="5"/>
  <c r="B14" i="5"/>
  <c r="C12" i="5"/>
  <c r="D12" i="5"/>
  <c r="E12" i="5"/>
  <c r="F12" i="5"/>
  <c r="G12" i="5"/>
  <c r="B12" i="5"/>
  <c r="C8" i="5"/>
  <c r="D8" i="5"/>
  <c r="E8" i="5"/>
  <c r="E10" i="5" s="1"/>
  <c r="F8" i="5"/>
  <c r="F10" i="5" s="1"/>
  <c r="G8" i="5"/>
  <c r="B8" i="5"/>
  <c r="C9" i="5"/>
  <c r="D9" i="5"/>
  <c r="E9" i="5"/>
  <c r="F9" i="5"/>
  <c r="G9" i="5"/>
  <c r="B9" i="5"/>
  <c r="C7" i="5"/>
  <c r="D7" i="5"/>
  <c r="E7" i="5"/>
  <c r="F7" i="5"/>
  <c r="G7" i="5"/>
  <c r="B7" i="5"/>
  <c r="C6" i="5"/>
  <c r="D6" i="5"/>
  <c r="E6" i="5"/>
  <c r="F6" i="5"/>
  <c r="G6" i="5"/>
  <c r="B6" i="5"/>
  <c r="C4" i="5"/>
  <c r="C5" i="5" s="1"/>
  <c r="D4" i="5"/>
  <c r="D5" i="5" s="1"/>
  <c r="E4" i="5"/>
  <c r="E5" i="5" s="1"/>
  <c r="F4" i="5"/>
  <c r="F5" i="5" s="1"/>
  <c r="G4" i="5"/>
  <c r="G5" i="5" s="1"/>
  <c r="B4" i="5"/>
  <c r="B5" i="5" s="1"/>
  <c r="AP51" i="4"/>
  <c r="AQ51" i="4"/>
  <c r="AR51" i="4"/>
  <c r="AS51" i="4"/>
  <c r="AO51" i="4"/>
  <c r="AP39" i="4"/>
  <c r="AQ39" i="4"/>
  <c r="AR39" i="4"/>
  <c r="AS39" i="4"/>
  <c r="AO39" i="4"/>
  <c r="AP18" i="4"/>
  <c r="AP24" i="4" s="1"/>
  <c r="AP26" i="4" s="1"/>
  <c r="AQ18" i="4"/>
  <c r="AQ24" i="4" s="1"/>
  <c r="AQ26" i="4" s="1"/>
  <c r="AR18" i="4"/>
  <c r="AR24" i="4" s="1"/>
  <c r="AR26" i="4" s="1"/>
  <c r="AS18" i="4"/>
  <c r="AS24" i="4" s="1"/>
  <c r="AS26" i="4" s="1"/>
  <c r="AO18" i="4"/>
  <c r="AO24" i="4" s="1"/>
  <c r="AO26" i="4" s="1"/>
  <c r="AL16" i="4"/>
  <c r="AJ17" i="4"/>
  <c r="AJ23" i="4" s="1"/>
  <c r="AJ31" i="4" s="1"/>
  <c r="AJ33" i="4" s="1"/>
  <c r="AI17" i="4"/>
  <c r="AH56" i="4"/>
  <c r="AG56" i="4"/>
  <c r="AH54" i="4"/>
  <c r="AI54" i="4"/>
  <c r="AJ54" i="4"/>
  <c r="AK54" i="4"/>
  <c r="AL54" i="4"/>
  <c r="AG54" i="4"/>
  <c r="AH45" i="4"/>
  <c r="AI45" i="4"/>
  <c r="AJ45" i="4"/>
  <c r="AK45" i="4"/>
  <c r="AL45" i="4"/>
  <c r="AG45" i="4"/>
  <c r="AH23" i="4"/>
  <c r="AH31" i="4" s="1"/>
  <c r="AH33" i="4" s="1"/>
  <c r="AI23" i="4"/>
  <c r="AI31" i="4" s="1"/>
  <c r="AI33" i="4" s="1"/>
  <c r="AK23" i="4"/>
  <c r="AK31" i="4" s="1"/>
  <c r="AK33" i="4" s="1"/>
  <c r="AL23" i="4"/>
  <c r="AL31" i="4" s="1"/>
  <c r="AL33" i="4" s="1"/>
  <c r="AG23" i="4"/>
  <c r="AG31" i="4" s="1"/>
  <c r="AG33" i="4" s="1"/>
  <c r="Z60" i="4"/>
  <c r="AA60" i="4"/>
  <c r="AB60" i="4"/>
  <c r="AC60" i="4"/>
  <c r="AD60" i="4"/>
  <c r="Y60" i="4"/>
  <c r="AD50" i="4"/>
  <c r="AA26" i="4"/>
  <c r="Y19" i="4"/>
  <c r="Y31" i="4" s="1"/>
  <c r="Y33" i="4" s="1"/>
  <c r="Z19" i="4"/>
  <c r="Z31" i="4" s="1"/>
  <c r="Z33" i="4" s="1"/>
  <c r="Z48" i="4"/>
  <c r="AA48" i="4"/>
  <c r="AB48" i="4"/>
  <c r="AC48" i="4"/>
  <c r="AD48" i="4"/>
  <c r="Y48" i="4"/>
  <c r="AA19" i="4"/>
  <c r="AA31" i="4" s="1"/>
  <c r="AA33" i="4" s="1"/>
  <c r="AB19" i="4"/>
  <c r="AB31" i="4" s="1"/>
  <c r="AB33" i="4" s="1"/>
  <c r="AC19" i="4"/>
  <c r="AC31" i="4" s="1"/>
  <c r="AC33" i="4" s="1"/>
  <c r="AD19" i="4"/>
  <c r="AD31" i="4" s="1"/>
  <c r="AD33" i="4" s="1"/>
  <c r="V62" i="4"/>
  <c r="R22" i="4"/>
  <c r="S22" i="4"/>
  <c r="S27" i="4" s="1"/>
  <c r="S29" i="4" s="1"/>
  <c r="T22" i="4"/>
  <c r="T27" i="4" s="1"/>
  <c r="T29" i="4" s="1"/>
  <c r="U22" i="4"/>
  <c r="U27" i="4" s="1"/>
  <c r="U29" i="4" s="1"/>
  <c r="Q22" i="4"/>
  <c r="Q27" i="4" s="1"/>
  <c r="Q29" i="4" s="1"/>
  <c r="V4" i="4"/>
  <c r="V22" i="4" s="1"/>
  <c r="V27" i="4" s="1"/>
  <c r="V29" i="4" s="1"/>
  <c r="U4" i="4"/>
  <c r="S50" i="4"/>
  <c r="S59" i="4" s="1"/>
  <c r="Q54" i="4"/>
  <c r="R59" i="4"/>
  <c r="T59" i="4"/>
  <c r="U59" i="4"/>
  <c r="V59" i="4"/>
  <c r="Q59" i="4"/>
  <c r="R48" i="4"/>
  <c r="S48" i="4"/>
  <c r="T48" i="4"/>
  <c r="U48" i="4"/>
  <c r="V48" i="4"/>
  <c r="Q48" i="4"/>
  <c r="R27" i="4"/>
  <c r="R29" i="4" s="1"/>
  <c r="K51" i="4"/>
  <c r="L51" i="4"/>
  <c r="M51" i="4"/>
  <c r="N51" i="4"/>
  <c r="J51" i="4"/>
  <c r="K32" i="4"/>
  <c r="J24" i="4"/>
  <c r="J31" i="4" s="1"/>
  <c r="J33" i="4" s="1"/>
  <c r="K62" i="4"/>
  <c r="L62" i="4"/>
  <c r="M62" i="4"/>
  <c r="N62" i="4"/>
  <c r="J62" i="4"/>
  <c r="K24" i="4"/>
  <c r="K31" i="4" s="1"/>
  <c r="K33" i="4" s="1"/>
  <c r="L24" i="4"/>
  <c r="L31" i="4" s="1"/>
  <c r="L33" i="4" s="1"/>
  <c r="M24" i="4"/>
  <c r="M31" i="4" s="1"/>
  <c r="M33" i="4" s="1"/>
  <c r="N24" i="4"/>
  <c r="N31" i="4" s="1"/>
  <c r="N33" i="4" s="1"/>
  <c r="C59" i="4"/>
  <c r="D59" i="4"/>
  <c r="E59" i="4"/>
  <c r="F59" i="4"/>
  <c r="G59" i="4"/>
  <c r="B59" i="4"/>
  <c r="C38" i="4"/>
  <c r="C44" i="4" s="1"/>
  <c r="D38" i="4"/>
  <c r="D44" i="4" s="1"/>
  <c r="E38" i="4"/>
  <c r="E44" i="4" s="1"/>
  <c r="F38" i="4"/>
  <c r="F44" i="4" s="1"/>
  <c r="G38" i="4"/>
  <c r="G44" i="4" s="1"/>
  <c r="B38" i="4"/>
  <c r="B44" i="4" s="1"/>
  <c r="C12" i="4"/>
  <c r="C28" i="4" s="1"/>
  <c r="C30" i="4" s="1"/>
  <c r="D12" i="4"/>
  <c r="D28" i="4" s="1"/>
  <c r="D30" i="4" s="1"/>
  <c r="E12" i="4"/>
  <c r="E28" i="4" s="1"/>
  <c r="E30" i="4" s="1"/>
  <c r="F12" i="4"/>
  <c r="F28" i="4" s="1"/>
  <c r="F30" i="4" s="1"/>
  <c r="G12" i="4"/>
  <c r="G28" i="4" s="1"/>
  <c r="G30" i="4" s="1"/>
  <c r="B12" i="4"/>
  <c r="B28" i="4" s="1"/>
  <c r="B30" i="4" s="1"/>
  <c r="AP26" i="3"/>
  <c r="AQ26" i="3"/>
  <c r="AR26" i="3"/>
  <c r="AS26" i="3"/>
  <c r="AO26" i="3"/>
  <c r="AP16" i="3"/>
  <c r="AQ16" i="3"/>
  <c r="AR16" i="3"/>
  <c r="AS16" i="3"/>
  <c r="AO16" i="3"/>
  <c r="AP6" i="3"/>
  <c r="AQ6" i="3"/>
  <c r="AR6" i="3"/>
  <c r="AS6" i="3"/>
  <c r="AO6" i="3"/>
  <c r="AI17" i="3"/>
  <c r="AJ17" i="3"/>
  <c r="AH17" i="3"/>
  <c r="AH24" i="3"/>
  <c r="AI24" i="3"/>
  <c r="AJ24" i="3"/>
  <c r="AK24" i="3"/>
  <c r="AL24" i="3"/>
  <c r="AG24" i="3"/>
  <c r="AH14" i="3"/>
  <c r="AI14" i="3"/>
  <c r="AJ14" i="3"/>
  <c r="AK14" i="3"/>
  <c r="AL14" i="3"/>
  <c r="AG14" i="3"/>
  <c r="AH6" i="3"/>
  <c r="AI6" i="3"/>
  <c r="AI15" i="3" s="1"/>
  <c r="AI19" i="3" s="1"/>
  <c r="AJ6" i="3"/>
  <c r="AJ15" i="3" s="1"/>
  <c r="AJ19" i="3" s="1"/>
  <c r="AK6" i="3"/>
  <c r="AL6" i="3"/>
  <c r="AG6" i="3"/>
  <c r="Z27" i="3"/>
  <c r="AA27" i="3"/>
  <c r="AB27" i="3"/>
  <c r="AC27" i="3"/>
  <c r="AD27" i="3"/>
  <c r="Y27" i="3"/>
  <c r="Z15" i="3"/>
  <c r="AA15" i="3"/>
  <c r="AB15" i="3"/>
  <c r="AC15" i="3"/>
  <c r="AD15" i="3"/>
  <c r="Y15" i="3"/>
  <c r="Z6" i="3"/>
  <c r="AA6" i="3"/>
  <c r="AB6" i="3"/>
  <c r="AC6" i="3"/>
  <c r="AC16" i="3" s="1"/>
  <c r="AC20" i="3" s="1"/>
  <c r="AC22" i="3" s="1"/>
  <c r="AD6" i="3"/>
  <c r="Y6" i="3"/>
  <c r="R29" i="3"/>
  <c r="R30" i="3" s="1"/>
  <c r="S29" i="3"/>
  <c r="T29" i="3"/>
  <c r="U29" i="3"/>
  <c r="U30" i="3" s="1"/>
  <c r="V29" i="3"/>
  <c r="V30" i="3" s="1"/>
  <c r="Q29" i="3"/>
  <c r="S30" i="3"/>
  <c r="T30" i="3"/>
  <c r="Q30" i="3"/>
  <c r="R24" i="3"/>
  <c r="S24" i="3"/>
  <c r="T24" i="3"/>
  <c r="U24" i="3"/>
  <c r="V24" i="3"/>
  <c r="Q24" i="3"/>
  <c r="R16" i="3"/>
  <c r="S16" i="3"/>
  <c r="T16" i="3"/>
  <c r="U16" i="3"/>
  <c r="V16" i="3"/>
  <c r="V18" i="3" s="1"/>
  <c r="V20" i="3" s="1"/>
  <c r="Q16" i="3"/>
  <c r="R6" i="3"/>
  <c r="S6" i="3"/>
  <c r="T6" i="3"/>
  <c r="U6" i="3"/>
  <c r="V6" i="3"/>
  <c r="Q6" i="3"/>
  <c r="N17" i="3"/>
  <c r="M17" i="3"/>
  <c r="J23" i="3"/>
  <c r="K26" i="3"/>
  <c r="L26" i="3"/>
  <c r="M26" i="3"/>
  <c r="N26" i="3"/>
  <c r="J26" i="3"/>
  <c r="K22" i="3"/>
  <c r="L22" i="3"/>
  <c r="M22" i="3"/>
  <c r="N22" i="3"/>
  <c r="J22" i="3"/>
  <c r="K15" i="3"/>
  <c r="L15" i="3"/>
  <c r="M15" i="3"/>
  <c r="N15" i="3"/>
  <c r="J15" i="3"/>
  <c r="K6" i="3"/>
  <c r="L6" i="3"/>
  <c r="M6" i="3"/>
  <c r="N6" i="3"/>
  <c r="J6" i="3"/>
  <c r="C20" i="3"/>
  <c r="D20" i="3"/>
  <c r="E20" i="3"/>
  <c r="F20" i="3"/>
  <c r="G20" i="3"/>
  <c r="B20" i="3"/>
  <c r="C14" i="3"/>
  <c r="D14" i="3"/>
  <c r="E14" i="3"/>
  <c r="F14" i="3"/>
  <c r="F15" i="3" s="1"/>
  <c r="G14" i="3"/>
  <c r="B14" i="3"/>
  <c r="C6" i="3"/>
  <c r="D6" i="3"/>
  <c r="E6" i="3"/>
  <c r="F6" i="3"/>
  <c r="G6" i="3"/>
  <c r="B6" i="3"/>
  <c r="AP43" i="2"/>
  <c r="AQ43" i="2"/>
  <c r="AR43" i="2"/>
  <c r="AS43" i="2"/>
  <c r="AO43" i="2"/>
  <c r="AP53" i="2"/>
  <c r="AQ53" i="2"/>
  <c r="AR53" i="2"/>
  <c r="AS53" i="2"/>
  <c r="AO53" i="2"/>
  <c r="AR54" i="2"/>
  <c r="AP33" i="2"/>
  <c r="AP35" i="2" s="1"/>
  <c r="AQ33" i="2"/>
  <c r="AQ35" i="2" s="1"/>
  <c r="AR33" i="2"/>
  <c r="AR35" i="2" s="1"/>
  <c r="AS33" i="2"/>
  <c r="AS35" i="2" s="1"/>
  <c r="AO33" i="2"/>
  <c r="AO35" i="2" s="1"/>
  <c r="AP27" i="2"/>
  <c r="AQ27" i="2"/>
  <c r="AR27" i="2"/>
  <c r="AS27" i="2"/>
  <c r="AO27" i="2"/>
  <c r="AP17" i="2"/>
  <c r="AQ17" i="2"/>
  <c r="AR17" i="2"/>
  <c r="AS17" i="2"/>
  <c r="AO17" i="2"/>
  <c r="AH58" i="2"/>
  <c r="AI58" i="2"/>
  <c r="AJ58" i="2"/>
  <c r="AK58" i="2"/>
  <c r="AL58" i="2"/>
  <c r="AG58" i="2"/>
  <c r="AL48" i="2"/>
  <c r="AK48" i="2"/>
  <c r="AJ48" i="2"/>
  <c r="AI48" i="2"/>
  <c r="AI59" i="2" s="1"/>
  <c r="AH48" i="2"/>
  <c r="AG48" i="2"/>
  <c r="AL37" i="2"/>
  <c r="AL39" i="2" s="1"/>
  <c r="AK37" i="2"/>
  <c r="AK39" i="2" s="1"/>
  <c r="AJ37" i="2"/>
  <c r="AJ39" i="2" s="1"/>
  <c r="AI37" i="2"/>
  <c r="AI39" i="2" s="1"/>
  <c r="AH37" i="2"/>
  <c r="AH39" i="2" s="1"/>
  <c r="AG37" i="2"/>
  <c r="AG39" i="2" s="1"/>
  <c r="AH31" i="2"/>
  <c r="AI31" i="2"/>
  <c r="AJ31" i="2"/>
  <c r="AK31" i="2"/>
  <c r="AL31" i="2"/>
  <c r="AG31" i="2"/>
  <c r="AH16" i="2"/>
  <c r="AI16" i="2"/>
  <c r="AJ16" i="2"/>
  <c r="AK16" i="2"/>
  <c r="AL16" i="2"/>
  <c r="AG16" i="2"/>
  <c r="AG32" i="2" s="1"/>
  <c r="Z29" i="2"/>
  <c r="Z30" i="2" s="1"/>
  <c r="AA29" i="2"/>
  <c r="AB29" i="2"/>
  <c r="AC29" i="2"/>
  <c r="AD29" i="2"/>
  <c r="Y29" i="2"/>
  <c r="Z58" i="2"/>
  <c r="AA58" i="2"/>
  <c r="AB58" i="2"/>
  <c r="AC58" i="2"/>
  <c r="AD58" i="2"/>
  <c r="Y58" i="2"/>
  <c r="Z46" i="2"/>
  <c r="AA46" i="2"/>
  <c r="AB46" i="2"/>
  <c r="AC46" i="2"/>
  <c r="AD46" i="2"/>
  <c r="Y46" i="2"/>
  <c r="Z35" i="2"/>
  <c r="Z37" i="2" s="1"/>
  <c r="AA35" i="2"/>
  <c r="AA37" i="2" s="1"/>
  <c r="AB35" i="2"/>
  <c r="AB37" i="2" s="1"/>
  <c r="AC35" i="2"/>
  <c r="AC37" i="2" s="1"/>
  <c r="AD35" i="2"/>
  <c r="AD37" i="2" s="1"/>
  <c r="Y35" i="2"/>
  <c r="Y37" i="2" s="1"/>
  <c r="Z18" i="2"/>
  <c r="AA18" i="2"/>
  <c r="AB18" i="2"/>
  <c r="AC18" i="2"/>
  <c r="AD18" i="2"/>
  <c r="Y18" i="2"/>
  <c r="R60" i="2"/>
  <c r="S60" i="2"/>
  <c r="T60" i="2"/>
  <c r="U60" i="2"/>
  <c r="V60" i="2"/>
  <c r="Q60" i="2"/>
  <c r="R49" i="2"/>
  <c r="S49" i="2"/>
  <c r="T49" i="2"/>
  <c r="U49" i="2"/>
  <c r="V49" i="2"/>
  <c r="Q49" i="2"/>
  <c r="R38" i="2"/>
  <c r="S38" i="2"/>
  <c r="S40" i="2" s="1"/>
  <c r="T38" i="2"/>
  <c r="U38" i="2"/>
  <c r="U40" i="2" s="1"/>
  <c r="V38" i="2"/>
  <c r="V40" i="2" s="1"/>
  <c r="Q38" i="2"/>
  <c r="Q40" i="2" s="1"/>
  <c r="R40" i="2"/>
  <c r="T40" i="2"/>
  <c r="R32" i="2"/>
  <c r="S32" i="2"/>
  <c r="T32" i="2"/>
  <c r="U32" i="2"/>
  <c r="V32" i="2"/>
  <c r="Q32" i="2"/>
  <c r="R20" i="2"/>
  <c r="S20" i="2"/>
  <c r="T20" i="2"/>
  <c r="U20" i="2"/>
  <c r="V20" i="2"/>
  <c r="Q20" i="2"/>
  <c r="K43" i="2"/>
  <c r="L43" i="2"/>
  <c r="M43" i="2"/>
  <c r="N43" i="2"/>
  <c r="J43" i="2"/>
  <c r="K28" i="2"/>
  <c r="L28" i="2"/>
  <c r="M28" i="2"/>
  <c r="N28" i="2"/>
  <c r="J28" i="2"/>
  <c r="K52" i="2"/>
  <c r="L52" i="2"/>
  <c r="M52" i="2"/>
  <c r="N52" i="2"/>
  <c r="J52" i="2"/>
  <c r="K35" i="2"/>
  <c r="L35" i="2"/>
  <c r="M35" i="2"/>
  <c r="N35" i="2"/>
  <c r="J35" i="2"/>
  <c r="K17" i="2"/>
  <c r="K29" i="2" s="1"/>
  <c r="L17" i="2"/>
  <c r="M17" i="2"/>
  <c r="N17" i="2"/>
  <c r="J17" i="2"/>
  <c r="J29" i="2" s="1"/>
  <c r="C55" i="2"/>
  <c r="D55" i="2"/>
  <c r="E55" i="2"/>
  <c r="F55" i="2"/>
  <c r="G55" i="2"/>
  <c r="B55" i="2"/>
  <c r="C44" i="2"/>
  <c r="D44" i="2"/>
  <c r="E44" i="2"/>
  <c r="F44" i="2"/>
  <c r="G44" i="2"/>
  <c r="B44" i="2"/>
  <c r="C33" i="2"/>
  <c r="C35" i="2" s="1"/>
  <c r="D33" i="2"/>
  <c r="D35" i="2" s="1"/>
  <c r="E33" i="2"/>
  <c r="E35" i="2" s="1"/>
  <c r="F33" i="2"/>
  <c r="F35" i="2" s="1"/>
  <c r="G33" i="2"/>
  <c r="G35" i="2" s="1"/>
  <c r="B33" i="2"/>
  <c r="B35" i="2" s="1"/>
  <c r="C27" i="2"/>
  <c r="D27" i="2"/>
  <c r="E27" i="2"/>
  <c r="F27" i="2"/>
  <c r="G27" i="2"/>
  <c r="B27" i="2"/>
  <c r="C17" i="2"/>
  <c r="D17" i="2"/>
  <c r="E17" i="2"/>
  <c r="F17" i="2"/>
  <c r="G17" i="2"/>
  <c r="B17" i="2"/>
  <c r="C3" i="1" a="1"/>
  <c r="C3" i="1" s="1"/>
  <c r="D3" i="1" a="1"/>
  <c r="D3" i="1" s="1"/>
  <c r="E3" i="1" a="1"/>
  <c r="E3" i="1" s="1"/>
  <c r="F3" i="1" a="1"/>
  <c r="F3" i="1" s="1"/>
  <c r="G3" i="1" a="1"/>
  <c r="G3" i="1" s="1"/>
  <c r="C4" i="1" a="1"/>
  <c r="C4" i="1" s="1"/>
  <c r="D4" i="1" a="1"/>
  <c r="D4" i="1" s="1"/>
  <c r="E4" i="1" a="1"/>
  <c r="E4" i="1" s="1"/>
  <c r="F4" i="1" a="1"/>
  <c r="F4" i="1" s="1"/>
  <c r="G4" i="1" a="1"/>
  <c r="G4" i="1" s="1"/>
  <c r="C5" i="1" a="1"/>
  <c r="C5" i="1" s="1"/>
  <c r="D5" i="1" a="1"/>
  <c r="D5" i="1" s="1"/>
  <c r="E5" i="1" a="1"/>
  <c r="E5" i="1" s="1"/>
  <c r="F5" i="1" a="1"/>
  <c r="F5" i="1" s="1"/>
  <c r="G5" i="1" a="1"/>
  <c r="G5" i="1" s="1"/>
  <c r="C6" i="1" a="1"/>
  <c r="C6" i="1" s="1"/>
  <c r="D6" i="1" a="1"/>
  <c r="D6" i="1" s="1"/>
  <c r="E6" i="1" a="1"/>
  <c r="E6" i="1" s="1"/>
  <c r="F6" i="1" a="1"/>
  <c r="F6" i="1" s="1"/>
  <c r="G6" i="1" a="1"/>
  <c r="G6" i="1" s="1"/>
  <c r="C7" i="1" a="1"/>
  <c r="C7" i="1" s="1"/>
  <c r="D7" i="1" a="1"/>
  <c r="D7" i="1" s="1"/>
  <c r="E7" i="1" a="1"/>
  <c r="E7" i="1" s="1"/>
  <c r="F7" i="1" a="1"/>
  <c r="F7" i="1" s="1"/>
  <c r="G7" i="1" a="1"/>
  <c r="G7" i="1" s="1"/>
  <c r="C8" i="1" a="1"/>
  <c r="C8" i="1" s="1"/>
  <c r="C9" i="1" s="1"/>
  <c r="D8" i="1" a="1"/>
  <c r="D8" i="1" s="1"/>
  <c r="D9" i="1" s="1"/>
  <c r="E8" i="1" a="1"/>
  <c r="E8" i="1" s="1"/>
  <c r="E9" i="1" s="1"/>
  <c r="F8" i="1" a="1"/>
  <c r="F8" i="1" s="1"/>
  <c r="F9" i="1" s="1"/>
  <c r="G8" i="1" a="1"/>
  <c r="G8" i="1" s="1"/>
  <c r="G9" i="1" s="1"/>
  <c r="C10" i="1" a="1"/>
  <c r="C10" i="1" s="1"/>
  <c r="Q25" i="12" s="1"/>
  <c r="D10" i="1" a="1"/>
  <c r="D10" i="1" s="1"/>
  <c r="AE25" i="12" s="1"/>
  <c r="E10" i="1" a="1"/>
  <c r="E10" i="1" s="1"/>
  <c r="AL25" i="12" s="1"/>
  <c r="F10" i="1" a="1"/>
  <c r="F10" i="1" s="1"/>
  <c r="X25" i="12" s="1"/>
  <c r="G10" i="1" a="1"/>
  <c r="G10" i="1" s="1"/>
  <c r="I25" i="12" s="1"/>
  <c r="C11" i="1" a="1"/>
  <c r="C11" i="1" s="1"/>
  <c r="C12" i="1" s="1"/>
  <c r="D11" i="1" a="1"/>
  <c r="D11" i="1" s="1"/>
  <c r="D12" i="1" s="1"/>
  <c r="D4" i="13" s="1"/>
  <c r="E11" i="1" a="1"/>
  <c r="E11" i="1" s="1"/>
  <c r="E12" i="1" s="1"/>
  <c r="F11" i="1" a="1"/>
  <c r="F11" i="1" s="1"/>
  <c r="F12" i="1" s="1"/>
  <c r="D5" i="13" s="1"/>
  <c r="G11" i="1" a="1"/>
  <c r="G11" i="1" s="1"/>
  <c r="G12" i="1" s="1"/>
  <c r="C13" i="1" a="1"/>
  <c r="C13" i="1" s="1"/>
  <c r="D13" i="1" a="1"/>
  <c r="D13" i="1" s="1"/>
  <c r="E13" i="1" a="1"/>
  <c r="E13" i="1" s="1"/>
  <c r="F13" i="1" a="1"/>
  <c r="F13" i="1" s="1"/>
  <c r="G13" i="1" a="1"/>
  <c r="G13" i="1" s="1"/>
  <c r="C14" i="1" a="1"/>
  <c r="C14" i="1" s="1"/>
  <c r="D5" i="11" s="1"/>
  <c r="D7" i="11" s="1"/>
  <c r="D14" i="1" a="1"/>
  <c r="D14" i="1" s="1"/>
  <c r="F5" i="11" s="1"/>
  <c r="F7" i="11" s="1"/>
  <c r="E14" i="1" a="1"/>
  <c r="E14" i="1" s="1"/>
  <c r="G5" i="11" s="1"/>
  <c r="G7" i="11" s="1"/>
  <c r="F14" i="1" a="1"/>
  <c r="F14" i="1" s="1"/>
  <c r="E5" i="11" s="1"/>
  <c r="E7" i="11" s="1"/>
  <c r="G14" i="1" a="1"/>
  <c r="G14" i="1" s="1"/>
  <c r="C5" i="11" s="1"/>
  <c r="C7" i="11" s="1"/>
  <c r="B14" i="1" a="1"/>
  <c r="B14" i="1" s="1"/>
  <c r="B5" i="11" s="1"/>
  <c r="B13" i="1" a="1"/>
  <c r="B13" i="1" s="1"/>
  <c r="B11" i="1" a="1"/>
  <c r="B11" i="1" s="1"/>
  <c r="B12" i="1" s="1"/>
  <c r="B10" i="1" a="1"/>
  <c r="B10" i="1" s="1"/>
  <c r="B8" i="1" a="1"/>
  <c r="B8" i="1" s="1"/>
  <c r="B9" i="1" s="1"/>
  <c r="B7" i="1" a="1"/>
  <c r="B7" i="1" s="1"/>
  <c r="B6" i="1" a="1"/>
  <c r="B6" i="1" s="1"/>
  <c r="B5" i="1" a="1"/>
  <c r="B5" i="1" s="1"/>
  <c r="B4" i="1" a="1"/>
  <c r="B4" i="1" s="1"/>
  <c r="B3" i="1" a="1"/>
  <c r="B3" i="1" s="1"/>
  <c r="B7" i="11" l="1"/>
  <c r="F17" i="11"/>
  <c r="AF13" i="12" s="1"/>
  <c r="G17" i="11"/>
  <c r="AN13" i="12" s="1"/>
  <c r="C17" i="11"/>
  <c r="J13" i="12" s="1"/>
  <c r="J14" i="12" s="1"/>
  <c r="D17" i="11"/>
  <c r="R13" i="12" s="1"/>
  <c r="E17" i="11"/>
  <c r="AB13" i="12" s="1"/>
  <c r="F32" i="7"/>
  <c r="G32" i="7"/>
  <c r="B32" i="7"/>
  <c r="C32" i="7"/>
  <c r="D32" i="7"/>
  <c r="E32" i="7"/>
  <c r="Z37" i="7"/>
  <c r="Y37" i="7"/>
  <c r="AA37" i="7"/>
  <c r="AB37" i="7"/>
  <c r="AC37" i="7"/>
  <c r="AD37" i="7"/>
  <c r="K37" i="7"/>
  <c r="J37" i="7"/>
  <c r="L37" i="7"/>
  <c r="M37" i="7"/>
  <c r="N37" i="7"/>
  <c r="AL24" i="12"/>
  <c r="AP37" i="7"/>
  <c r="AQ37" i="7"/>
  <c r="AR37" i="7"/>
  <c r="AS37" i="7"/>
  <c r="AO37" i="7"/>
  <c r="AH37" i="7"/>
  <c r="AI37" i="7"/>
  <c r="AJ37" i="7"/>
  <c r="AK37" i="7"/>
  <c r="AL37" i="7"/>
  <c r="AG37" i="7"/>
  <c r="R37" i="7"/>
  <c r="S37" i="7"/>
  <c r="T37" i="7"/>
  <c r="U37" i="7"/>
  <c r="V37" i="7"/>
  <c r="Q37" i="7"/>
  <c r="AP30" i="7"/>
  <c r="AP31" i="7" s="1"/>
  <c r="AP27" i="7" s="1"/>
  <c r="AH30" i="7"/>
  <c r="AH31" i="7" s="1"/>
  <c r="AH26" i="7" s="1"/>
  <c r="AE24" i="12"/>
  <c r="Z30" i="7"/>
  <c r="Z31" i="7" s="1"/>
  <c r="Z27" i="7" s="1"/>
  <c r="X24" i="12"/>
  <c r="R30" i="7"/>
  <c r="R31" i="7" s="1"/>
  <c r="R23" i="7" s="1"/>
  <c r="Q24" i="12"/>
  <c r="K30" i="7"/>
  <c r="K31" i="7" s="1"/>
  <c r="K24" i="7" s="1"/>
  <c r="I24" i="12"/>
  <c r="D12" i="12"/>
  <c r="D9" i="13"/>
  <c r="B23" i="13" s="1"/>
  <c r="F12" i="12"/>
  <c r="E12" i="12"/>
  <c r="G23" i="13"/>
  <c r="G24" i="13" s="1"/>
  <c r="G20" i="13"/>
  <c r="G21" i="13"/>
  <c r="G22" i="13"/>
  <c r="C30" i="7"/>
  <c r="C31" i="7" s="1"/>
  <c r="C27" i="7" s="1"/>
  <c r="B16" i="13"/>
  <c r="C16" i="13" s="1"/>
  <c r="B17" i="11"/>
  <c r="G16" i="11"/>
  <c r="G15" i="11"/>
  <c r="F14" i="11"/>
  <c r="F16" i="11" s="1"/>
  <c r="F15" i="11"/>
  <c r="E15" i="11"/>
  <c r="C14" i="11"/>
  <c r="AJ69" i="9"/>
  <c r="BB64" i="9"/>
  <c r="AW10" i="10" s="1"/>
  <c r="BC10" i="10" s="1"/>
  <c r="BB71" i="9"/>
  <c r="AZ10" i="9"/>
  <c r="AY10" i="9"/>
  <c r="BA10" i="9"/>
  <c r="AY34" i="9"/>
  <c r="AZ34" i="9"/>
  <c r="BA34" i="9"/>
  <c r="BB34" i="9"/>
  <c r="BC34" i="9"/>
  <c r="AX34" i="9"/>
  <c r="AJ74" i="9"/>
  <c r="AE33" i="9" s="1"/>
  <c r="AM64" i="9"/>
  <c r="AY64" i="9"/>
  <c r="AZ6" i="9"/>
  <c r="AY28" i="9"/>
  <c r="AM62" i="9"/>
  <c r="AY6" i="9"/>
  <c r="AY9" i="9"/>
  <c r="AV72" i="9"/>
  <c r="AX28" i="9"/>
  <c r="BB47" i="9"/>
  <c r="AW8" i="10" s="1"/>
  <c r="BA8" i="10" s="1"/>
  <c r="BA14" i="9" s="1"/>
  <c r="AX6" i="9"/>
  <c r="AX9" i="9"/>
  <c r="BB68" i="9"/>
  <c r="BC26" i="9" s="1"/>
  <c r="AZ72" i="9"/>
  <c r="BC28" i="9"/>
  <c r="AI69" i="9"/>
  <c r="AO64" i="9"/>
  <c r="AO47" i="9"/>
  <c r="AS47" i="9" s="1"/>
  <c r="AN8" i="10" s="1"/>
  <c r="AO62" i="9"/>
  <c r="AS65" i="9"/>
  <c r="AN33" i="9" s="1"/>
  <c r="AV47" i="9"/>
  <c r="BC6" i="9"/>
  <c r="BC9" i="9"/>
  <c r="AY72" i="9"/>
  <c r="BB28" i="9"/>
  <c r="AX32" i="9"/>
  <c r="AJ68" i="9"/>
  <c r="AF25" i="9" s="1"/>
  <c r="BB41" i="9"/>
  <c r="AV49" i="9" s="1"/>
  <c r="BB6" i="9"/>
  <c r="BB9" i="9"/>
  <c r="BA28" i="9"/>
  <c r="BC32" i="9"/>
  <c r="AJ75" i="9"/>
  <c r="AE27" i="9" s="1"/>
  <c r="AJ76" i="9"/>
  <c r="AE9" i="9" s="1"/>
  <c r="AX16" i="9"/>
  <c r="BA31" i="9"/>
  <c r="AY15" i="9"/>
  <c r="AZ15" i="9"/>
  <c r="BA15" i="9"/>
  <c r="BB15" i="9"/>
  <c r="BC15" i="9"/>
  <c r="AX15" i="9"/>
  <c r="BC16" i="9"/>
  <c r="AZ8" i="10"/>
  <c r="AX9" i="10"/>
  <c r="BB16" i="9"/>
  <c r="AX10" i="9"/>
  <c r="BA16" i="9"/>
  <c r="BC10" i="9"/>
  <c r="AZ16" i="9"/>
  <c r="BB10" i="9"/>
  <c r="BC9" i="10"/>
  <c r="BB9" i="10"/>
  <c r="BA9" i="10"/>
  <c r="AZ9" i="10"/>
  <c r="AV11" i="10"/>
  <c r="AV6" i="10"/>
  <c r="AX6" i="10"/>
  <c r="W5" i="10"/>
  <c r="X5" i="10" s="1"/>
  <c r="Y5" i="10" s="1"/>
  <c r="Z5" i="10" s="1"/>
  <c r="AA5" i="10" s="1"/>
  <c r="M4" i="10"/>
  <c r="N4" i="10" s="1"/>
  <c r="O4" i="10" s="1"/>
  <c r="AO5" i="10"/>
  <c r="AP5" i="10" s="1"/>
  <c r="AQ5" i="10" s="1"/>
  <c r="AR5" i="10" s="1"/>
  <c r="AS5" i="10" s="1"/>
  <c r="AD11" i="10"/>
  <c r="U6" i="10"/>
  <c r="U12" i="10" s="1"/>
  <c r="U14" i="10" s="1"/>
  <c r="U16" i="10" s="1"/>
  <c r="U18" i="10" s="1"/>
  <c r="W4" i="10"/>
  <c r="X4" i="10" s="1"/>
  <c r="AM11" i="10"/>
  <c r="AM12" i="10" s="1"/>
  <c r="AM14" i="10" s="1"/>
  <c r="AM16" i="10" s="1"/>
  <c r="AM18" i="10" s="1"/>
  <c r="AF5" i="10"/>
  <c r="K6" i="10"/>
  <c r="M10" i="10"/>
  <c r="N10" i="10" s="1"/>
  <c r="O10" i="10" s="1"/>
  <c r="P10" i="10" s="1"/>
  <c r="Q10" i="10" s="1"/>
  <c r="R10" i="10" s="1"/>
  <c r="M9" i="10"/>
  <c r="N9" i="10" s="1"/>
  <c r="O9" i="10" s="1"/>
  <c r="P9" i="10" s="1"/>
  <c r="Q9" i="10" s="1"/>
  <c r="R9" i="10" s="1"/>
  <c r="AG4" i="10"/>
  <c r="AH4" i="10" s="1"/>
  <c r="AI4" i="10" s="1"/>
  <c r="AJ4" i="10" s="1"/>
  <c r="AG5" i="10"/>
  <c r="AH5" i="10" s="1"/>
  <c r="AI5" i="10" s="1"/>
  <c r="AJ5" i="10" s="1"/>
  <c r="AV24" i="9"/>
  <c r="AV35" i="9" s="1"/>
  <c r="AM18" i="9"/>
  <c r="AR64" i="9"/>
  <c r="AS64" i="9" s="1"/>
  <c r="AN16" i="9" s="1"/>
  <c r="AO4" i="10"/>
  <c r="AE71" i="9"/>
  <c r="AJ71" i="9" s="1"/>
  <c r="AI60" i="9"/>
  <c r="AE73" i="9"/>
  <c r="AE60" i="9"/>
  <c r="AE62" i="9"/>
  <c r="AJ41" i="9"/>
  <c r="AD47" i="9"/>
  <c r="AF60" i="9"/>
  <c r="AD64" i="9"/>
  <c r="AJ44" i="9"/>
  <c r="AE13" i="10" s="1"/>
  <c r="AF13" i="10" s="1"/>
  <c r="X9" i="12" s="1"/>
  <c r="AJ53" i="9"/>
  <c r="AH62" i="9"/>
  <c r="AH73" i="9"/>
  <c r="AG62" i="9"/>
  <c r="AG47" i="9"/>
  <c r="AG64" i="9"/>
  <c r="AJ58" i="9"/>
  <c r="AE30" i="9" s="1"/>
  <c r="AE64" i="9"/>
  <c r="AG73" i="9"/>
  <c r="AD73" i="9"/>
  <c r="AD60" i="9"/>
  <c r="AD62" i="9"/>
  <c r="AF64" i="9"/>
  <c r="AF47" i="9"/>
  <c r="AH60" i="9"/>
  <c r="AF62" i="9"/>
  <c r="AF73" i="9"/>
  <c r="AI62" i="9"/>
  <c r="AD30" i="9"/>
  <c r="AD34" i="9" s="1"/>
  <c r="L42" i="9"/>
  <c r="Z60" i="9"/>
  <c r="AE47" i="9"/>
  <c r="X53" i="9"/>
  <c r="AI66" i="9"/>
  <c r="AJ66" i="9" s="1"/>
  <c r="AE13" i="9" s="1"/>
  <c r="W53" i="9"/>
  <c r="AI73" i="9"/>
  <c r="Z62" i="9"/>
  <c r="U66" i="9"/>
  <c r="W20" i="9"/>
  <c r="X20" i="9" s="1"/>
  <c r="Y20" i="9" s="1"/>
  <c r="Z20" i="9" s="1"/>
  <c r="AA20" i="9" s="1"/>
  <c r="W15" i="9"/>
  <c r="X15" i="9" s="1"/>
  <c r="Y15" i="9" s="1"/>
  <c r="Z15" i="9" s="1"/>
  <c r="AA15" i="9" s="1"/>
  <c r="AJ28" i="9"/>
  <c r="AI64" i="9"/>
  <c r="U44" i="9"/>
  <c r="Y44" i="9"/>
  <c r="Z64" i="9"/>
  <c r="Y66" i="9"/>
  <c r="AF6" i="10"/>
  <c r="AF26" i="9" s="1"/>
  <c r="AD6" i="10"/>
  <c r="O58" i="9"/>
  <c r="Z53" i="9"/>
  <c r="V58" i="9"/>
  <c r="K39" i="9"/>
  <c r="W44" i="9"/>
  <c r="O39" i="9"/>
  <c r="O51" i="9"/>
  <c r="Q31" i="9"/>
  <c r="Z41" i="9"/>
  <c r="Z47" i="9"/>
  <c r="U58" i="9"/>
  <c r="Y60" i="9"/>
  <c r="D6" i="9"/>
  <c r="E6" i="9" s="1"/>
  <c r="F6" i="9" s="1"/>
  <c r="G6" i="9" s="1"/>
  <c r="H6" i="9" s="1"/>
  <c r="D25" i="9"/>
  <c r="E25" i="9" s="1"/>
  <c r="F25" i="9" s="1"/>
  <c r="G25" i="9" s="1"/>
  <c r="K42" i="9"/>
  <c r="Y41" i="9"/>
  <c r="V53" i="9"/>
  <c r="D26" i="9"/>
  <c r="E26" i="9" s="1"/>
  <c r="F26" i="9" s="1"/>
  <c r="G26" i="9" s="1"/>
  <c r="H26" i="9" s="1"/>
  <c r="O42" i="9"/>
  <c r="X41" i="9"/>
  <c r="X47" i="9"/>
  <c r="P20" i="9"/>
  <c r="N20" i="9"/>
  <c r="X60" i="9"/>
  <c r="Y64" i="9"/>
  <c r="W8" i="9"/>
  <c r="X8" i="9" s="1"/>
  <c r="Y8" i="9" s="1"/>
  <c r="Z8" i="9" s="1"/>
  <c r="AA8" i="9" s="1"/>
  <c r="Z66" i="9"/>
  <c r="M42" i="9"/>
  <c r="Y62" i="9"/>
  <c r="X58" i="9"/>
  <c r="V60" i="9"/>
  <c r="K56" i="9"/>
  <c r="V44" i="9"/>
  <c r="Y53" i="9"/>
  <c r="W58" i="9"/>
  <c r="V64" i="9"/>
  <c r="U22" i="9"/>
  <c r="U33" i="9" s="1"/>
  <c r="M25" i="9"/>
  <c r="U41" i="9"/>
  <c r="V41" i="9"/>
  <c r="X64" i="9"/>
  <c r="V66" i="9"/>
  <c r="K51" i="9"/>
  <c r="Y58" i="9"/>
  <c r="V62" i="9"/>
  <c r="U60" i="9"/>
  <c r="X44" i="9"/>
  <c r="N42" i="9"/>
  <c r="W62" i="9"/>
  <c r="X66" i="9"/>
  <c r="Z58" i="9"/>
  <c r="N31" i="9"/>
  <c r="U64" i="9"/>
  <c r="N51" i="9"/>
  <c r="O56" i="9"/>
  <c r="Q7" i="9"/>
  <c r="X62" i="9"/>
  <c r="L13" i="9"/>
  <c r="W60" i="9"/>
  <c r="D31" i="9"/>
  <c r="E31" i="9" s="1"/>
  <c r="F31" i="9" s="1"/>
  <c r="G31" i="9" s="1"/>
  <c r="H31" i="9" s="1"/>
  <c r="K58" i="9"/>
  <c r="M51" i="9"/>
  <c r="Q20" i="9"/>
  <c r="N56" i="9"/>
  <c r="O8" i="9"/>
  <c r="P8" i="9" s="1"/>
  <c r="Q8" i="9" s="1"/>
  <c r="R8" i="9" s="1"/>
  <c r="M58" i="9"/>
  <c r="W47" i="9"/>
  <c r="M56" i="9"/>
  <c r="L58" i="9"/>
  <c r="L56" i="9"/>
  <c r="U62" i="9"/>
  <c r="R10" i="9"/>
  <c r="O10" i="9"/>
  <c r="U17" i="9"/>
  <c r="M32" i="9"/>
  <c r="N32" i="9" s="1"/>
  <c r="O32" i="9" s="1"/>
  <c r="P32" i="9" s="1"/>
  <c r="Q32" i="9" s="1"/>
  <c r="R32" i="9" s="1"/>
  <c r="N45" i="9"/>
  <c r="N58" i="9"/>
  <c r="P31" i="9"/>
  <c r="M7" i="9"/>
  <c r="Q10" i="9"/>
  <c r="M45" i="9"/>
  <c r="K17" i="9"/>
  <c r="N39" i="9"/>
  <c r="O20" i="9"/>
  <c r="O31" i="9"/>
  <c r="R7" i="9"/>
  <c r="P10" i="9"/>
  <c r="D24" i="9"/>
  <c r="E24" i="9" s="1"/>
  <c r="F24" i="9" s="1"/>
  <c r="G24" i="9" s="1"/>
  <c r="H24" i="9" s="1"/>
  <c r="N25" i="9"/>
  <c r="O25" i="9" s="1"/>
  <c r="P25" i="9" s="1"/>
  <c r="Q25" i="9" s="1"/>
  <c r="R25" i="9" s="1"/>
  <c r="N27" i="9"/>
  <c r="O27" i="9" s="1"/>
  <c r="P27" i="9" s="1"/>
  <c r="Q27" i="9" s="1"/>
  <c r="R27" i="9" s="1"/>
  <c r="N30" i="9"/>
  <c r="O30" i="9" s="1"/>
  <c r="P30" i="9" s="1"/>
  <c r="Q30" i="9" s="1"/>
  <c r="R30" i="9" s="1"/>
  <c r="P7" i="9"/>
  <c r="M9" i="9"/>
  <c r="N9" i="9" s="1"/>
  <c r="O9" i="9" s="1"/>
  <c r="P9" i="9" s="1"/>
  <c r="Q9" i="9" s="1"/>
  <c r="R9" i="9" s="1"/>
  <c r="N10" i="9"/>
  <c r="D9" i="9"/>
  <c r="E9" i="9" s="1"/>
  <c r="F9" i="9" s="1"/>
  <c r="G9" i="9" s="1"/>
  <c r="H9" i="9" s="1"/>
  <c r="O7" i="9"/>
  <c r="D10" i="9"/>
  <c r="E10" i="9" s="1"/>
  <c r="F10" i="9" s="1"/>
  <c r="G10" i="9" s="1"/>
  <c r="H10" i="9" s="1"/>
  <c r="M20" i="9"/>
  <c r="M31" i="9"/>
  <c r="M39" i="9"/>
  <c r="U11" i="10"/>
  <c r="M5" i="10"/>
  <c r="M6" i="10" s="1"/>
  <c r="K12" i="10"/>
  <c r="K14" i="10" s="1"/>
  <c r="K16" i="10" s="1"/>
  <c r="K18" i="10" s="1"/>
  <c r="C3" i="8"/>
  <c r="C6" i="8" s="1"/>
  <c r="O45" i="9"/>
  <c r="K45" i="9"/>
  <c r="F46" i="9"/>
  <c r="E39" i="9"/>
  <c r="K22" i="9"/>
  <c r="K34" i="9" s="1"/>
  <c r="G46" i="9"/>
  <c r="E46" i="9"/>
  <c r="F39" i="9"/>
  <c r="D7" i="9"/>
  <c r="C39" i="9"/>
  <c r="D28" i="9"/>
  <c r="E28" i="9" s="1"/>
  <c r="F28" i="9" s="1"/>
  <c r="G28" i="9" s="1"/>
  <c r="H28" i="9" s="1"/>
  <c r="F52" i="9"/>
  <c r="D8" i="9"/>
  <c r="E8" i="9" s="1"/>
  <c r="F8" i="9" s="1"/>
  <c r="G8" i="9" s="1"/>
  <c r="H8" i="9" s="1"/>
  <c r="B46" i="9"/>
  <c r="F7" i="9"/>
  <c r="B52" i="9"/>
  <c r="G52" i="9"/>
  <c r="E52" i="9"/>
  <c r="F43" i="9"/>
  <c r="D52" i="9"/>
  <c r="C52" i="9"/>
  <c r="H19" i="9"/>
  <c r="E7" i="9"/>
  <c r="G19" i="9"/>
  <c r="F19" i="9"/>
  <c r="E19" i="9"/>
  <c r="D46" i="9"/>
  <c r="C46" i="9"/>
  <c r="H7" i="9"/>
  <c r="B6" i="10"/>
  <c r="D9" i="10"/>
  <c r="E9" i="10" s="1"/>
  <c r="F9" i="10" s="1"/>
  <c r="G9" i="10" s="1"/>
  <c r="H9" i="10" s="1"/>
  <c r="D5" i="10"/>
  <c r="E5" i="10" s="1"/>
  <c r="D21" i="9"/>
  <c r="H25" i="9"/>
  <c r="B11" i="10"/>
  <c r="D39" i="9"/>
  <c r="B43" i="9"/>
  <c r="B39" i="9"/>
  <c r="E43" i="9"/>
  <c r="D43" i="9"/>
  <c r="C43" i="9"/>
  <c r="G43" i="9"/>
  <c r="G39" i="9"/>
  <c r="D4" i="10"/>
  <c r="D10" i="10" s="1"/>
  <c r="B16" i="9"/>
  <c r="B21" i="9"/>
  <c r="B33" i="9" s="1"/>
  <c r="F6" i="8"/>
  <c r="D6" i="8"/>
  <c r="AO30" i="7"/>
  <c r="AO31" i="7" s="1"/>
  <c r="AS30" i="7"/>
  <c r="AS31" i="7" s="1"/>
  <c r="AR30" i="7"/>
  <c r="AR31" i="7" s="1"/>
  <c r="AQ30" i="7"/>
  <c r="AQ31" i="7" s="1"/>
  <c r="AG30" i="7"/>
  <c r="AG31" i="7" s="1"/>
  <c r="AL30" i="7"/>
  <c r="AL31" i="7" s="1"/>
  <c r="AK30" i="7"/>
  <c r="AK31" i="7" s="1"/>
  <c r="AJ30" i="7"/>
  <c r="AJ31" i="7" s="1"/>
  <c r="AI30" i="7"/>
  <c r="AI31" i="7" s="1"/>
  <c r="Y30" i="7"/>
  <c r="Y31" i="7" s="1"/>
  <c r="AD30" i="7"/>
  <c r="AD31" i="7" s="1"/>
  <c r="AC30" i="7"/>
  <c r="AC31" i="7" s="1"/>
  <c r="AB30" i="7"/>
  <c r="AB31" i="7" s="1"/>
  <c r="AA30" i="7"/>
  <c r="AA31" i="7" s="1"/>
  <c r="Q30" i="7"/>
  <c r="Q31" i="7" s="1"/>
  <c r="U30" i="7"/>
  <c r="U31" i="7" s="1"/>
  <c r="V30" i="7"/>
  <c r="V31" i="7" s="1"/>
  <c r="T30" i="7"/>
  <c r="T31" i="7" s="1"/>
  <c r="S30" i="7"/>
  <c r="S31" i="7" s="1"/>
  <c r="J30" i="7"/>
  <c r="J31" i="7" s="1"/>
  <c r="N30" i="7"/>
  <c r="N31" i="7" s="1"/>
  <c r="M30" i="7"/>
  <c r="M31" i="7" s="1"/>
  <c r="L30" i="7"/>
  <c r="L31" i="7" s="1"/>
  <c r="B30" i="7"/>
  <c r="B31" i="7" s="1"/>
  <c r="G30" i="7"/>
  <c r="G31" i="7" s="1"/>
  <c r="F30" i="7"/>
  <c r="F31" i="7" s="1"/>
  <c r="E30" i="7"/>
  <c r="E31" i="7" s="1"/>
  <c r="D30" i="7"/>
  <c r="D31" i="7" s="1"/>
  <c r="AG28" i="6"/>
  <c r="Y28" i="6"/>
  <c r="Q28" i="6"/>
  <c r="D10" i="5"/>
  <c r="B10" i="5"/>
  <c r="C10" i="5"/>
  <c r="G10" i="5"/>
  <c r="AS52" i="4"/>
  <c r="AS55" i="4" s="1"/>
  <c r="AR52" i="4"/>
  <c r="AR55" i="4" s="1"/>
  <c r="AQ52" i="4"/>
  <c r="AQ55" i="4" s="1"/>
  <c r="AP52" i="4"/>
  <c r="AP55" i="4" s="1"/>
  <c r="AO52" i="4"/>
  <c r="AO55" i="4" s="1"/>
  <c r="AL56" i="4"/>
  <c r="AL59" i="4" s="1"/>
  <c r="AK56" i="4"/>
  <c r="AK59" i="4" s="1"/>
  <c r="AJ56" i="4"/>
  <c r="AJ59" i="4" s="1"/>
  <c r="AI56" i="4"/>
  <c r="AI59" i="4" s="1"/>
  <c r="AH59" i="4"/>
  <c r="AG59" i="4"/>
  <c r="AC61" i="4"/>
  <c r="AC64" i="4" s="1"/>
  <c r="AD61" i="4"/>
  <c r="AD64" i="4" s="1"/>
  <c r="AB61" i="4"/>
  <c r="AB64" i="4" s="1"/>
  <c r="AA61" i="4"/>
  <c r="AA64" i="4" s="1"/>
  <c r="Z61" i="4"/>
  <c r="Z64" i="4" s="1"/>
  <c r="Y61" i="4"/>
  <c r="Y64" i="4" s="1"/>
  <c r="U60" i="4"/>
  <c r="U63" i="4" s="1"/>
  <c r="V60" i="4"/>
  <c r="V63" i="4" s="1"/>
  <c r="T60" i="4"/>
  <c r="T63" i="4" s="1"/>
  <c r="S60" i="4"/>
  <c r="S63" i="4" s="1"/>
  <c r="R60" i="4"/>
  <c r="R63" i="4" s="1"/>
  <c r="Q60" i="4"/>
  <c r="Q63" i="4" s="1"/>
  <c r="M63" i="4"/>
  <c r="M66" i="4" s="1"/>
  <c r="L63" i="4"/>
  <c r="L66" i="4" s="1"/>
  <c r="K63" i="4"/>
  <c r="K66" i="4" s="1"/>
  <c r="N63" i="4"/>
  <c r="N66" i="4" s="1"/>
  <c r="J63" i="4"/>
  <c r="J66" i="4" s="1"/>
  <c r="G60" i="4"/>
  <c r="G62" i="4" s="1"/>
  <c r="F60" i="4"/>
  <c r="F62" i="4" s="1"/>
  <c r="E60" i="4"/>
  <c r="E62" i="4" s="1"/>
  <c r="D60" i="4"/>
  <c r="D62" i="4" s="1"/>
  <c r="C60" i="4"/>
  <c r="C62" i="4" s="1"/>
  <c r="B60" i="4"/>
  <c r="B62" i="4" s="1"/>
  <c r="AS17" i="3"/>
  <c r="AS19" i="3" s="1"/>
  <c r="AS21" i="3" s="1"/>
  <c r="AS27" i="3" s="1"/>
  <c r="AR17" i="3"/>
  <c r="AR19" i="3" s="1"/>
  <c r="AR21" i="3" s="1"/>
  <c r="AR27" i="3" s="1"/>
  <c r="AQ17" i="3"/>
  <c r="AQ19" i="3" s="1"/>
  <c r="AQ21" i="3" s="1"/>
  <c r="AQ27" i="3" s="1"/>
  <c r="AP17" i="3"/>
  <c r="AP19" i="3" s="1"/>
  <c r="AP21" i="3" s="1"/>
  <c r="AP27" i="3" s="1"/>
  <c r="AO17" i="3"/>
  <c r="AO19" i="3" s="1"/>
  <c r="AO21" i="3" s="1"/>
  <c r="AO27" i="3" s="1"/>
  <c r="AL15" i="3"/>
  <c r="AL17" i="3" s="1"/>
  <c r="AL19" i="3" s="1"/>
  <c r="AL25" i="3" s="1"/>
  <c r="AK15" i="3"/>
  <c r="AK17" i="3" s="1"/>
  <c r="AK19" i="3" s="1"/>
  <c r="AK25" i="3" s="1"/>
  <c r="AJ25" i="3"/>
  <c r="AI25" i="3"/>
  <c r="AH15" i="3"/>
  <c r="AH19" i="3" s="1"/>
  <c r="AH25" i="3" s="1"/>
  <c r="AG15" i="3"/>
  <c r="AG17" i="3" s="1"/>
  <c r="AG19" i="3" s="1"/>
  <c r="AG25" i="3" s="1"/>
  <c r="AC28" i="3"/>
  <c r="AD16" i="3"/>
  <c r="AD20" i="3" s="1"/>
  <c r="AD22" i="3" s="1"/>
  <c r="AD28" i="3" s="1"/>
  <c r="AB16" i="3"/>
  <c r="AB20" i="3" s="1"/>
  <c r="AB22" i="3" s="1"/>
  <c r="AB28" i="3" s="1"/>
  <c r="AA16" i="3"/>
  <c r="AA20" i="3" s="1"/>
  <c r="AA22" i="3" s="1"/>
  <c r="AA28" i="3" s="1"/>
  <c r="Z16" i="3"/>
  <c r="Z20" i="3" s="1"/>
  <c r="Z22" i="3" s="1"/>
  <c r="Z28" i="3" s="1"/>
  <c r="Y16" i="3"/>
  <c r="Y20" i="3" s="1"/>
  <c r="Y22" i="3" s="1"/>
  <c r="Y28" i="3" s="1"/>
  <c r="V25" i="3"/>
  <c r="U18" i="3"/>
  <c r="U20" i="3" s="1"/>
  <c r="U25" i="3" s="1"/>
  <c r="T18" i="3"/>
  <c r="T20" i="3" s="1"/>
  <c r="T25" i="3" s="1"/>
  <c r="S18" i="3"/>
  <c r="S20" i="3" s="1"/>
  <c r="S25" i="3" s="1"/>
  <c r="R18" i="3"/>
  <c r="R20" i="3" s="1"/>
  <c r="R25" i="3" s="1"/>
  <c r="Q18" i="3"/>
  <c r="Q20" i="3" s="1"/>
  <c r="Q25" i="3" s="1"/>
  <c r="N16" i="3"/>
  <c r="N18" i="3" s="1"/>
  <c r="N23" i="3" s="1"/>
  <c r="N27" i="3" s="1"/>
  <c r="M16" i="3"/>
  <c r="M18" i="3" s="1"/>
  <c r="M23" i="3" s="1"/>
  <c r="M27" i="3" s="1"/>
  <c r="K16" i="3"/>
  <c r="K18" i="3" s="1"/>
  <c r="K23" i="3" s="1"/>
  <c r="K27" i="3" s="1"/>
  <c r="L16" i="3"/>
  <c r="L18" i="3" s="1"/>
  <c r="L23" i="3" s="1"/>
  <c r="L27" i="3" s="1"/>
  <c r="J16" i="3"/>
  <c r="J18" i="3" s="1"/>
  <c r="J27" i="3" s="1"/>
  <c r="F21" i="3"/>
  <c r="G15" i="3"/>
  <c r="G21" i="3" s="1"/>
  <c r="E15" i="3"/>
  <c r="E21" i="3" s="1"/>
  <c r="D15" i="3"/>
  <c r="D21" i="3" s="1"/>
  <c r="C15" i="3"/>
  <c r="C21" i="3" s="1"/>
  <c r="B15" i="3"/>
  <c r="B21" i="3" s="1"/>
  <c r="AQ54" i="2"/>
  <c r="AS54" i="2"/>
  <c r="AS55" i="2" s="1"/>
  <c r="Y30" i="2"/>
  <c r="AR55" i="2"/>
  <c r="AK59" i="2"/>
  <c r="AK60" i="2" s="1"/>
  <c r="AS28" i="2"/>
  <c r="AP54" i="2"/>
  <c r="AP55" i="2" s="1"/>
  <c r="AQ28" i="2"/>
  <c r="AQ55" i="2"/>
  <c r="AR28" i="2"/>
  <c r="AP28" i="2"/>
  <c r="AO54" i="2"/>
  <c r="AO55" i="2" s="1"/>
  <c r="AO28" i="2"/>
  <c r="AL59" i="2"/>
  <c r="AL60" i="2" s="1"/>
  <c r="AL32" i="2"/>
  <c r="AK32" i="2"/>
  <c r="AJ59" i="2"/>
  <c r="AJ60" i="2" s="1"/>
  <c r="AI60" i="2"/>
  <c r="AJ32" i="2"/>
  <c r="AI32" i="2"/>
  <c r="AH59" i="2"/>
  <c r="AH60" i="2" s="1"/>
  <c r="AG59" i="2"/>
  <c r="AG60" i="2" s="1"/>
  <c r="AH32" i="2"/>
  <c r="AC30" i="2"/>
  <c r="AD30" i="2"/>
  <c r="AA59" i="2"/>
  <c r="AD59" i="2"/>
  <c r="AC59" i="2"/>
  <c r="AB59" i="2"/>
  <c r="AB30" i="2"/>
  <c r="AA30" i="2"/>
  <c r="Z59" i="2"/>
  <c r="Y59" i="2"/>
  <c r="U61" i="2"/>
  <c r="V61" i="2"/>
  <c r="V33" i="2"/>
  <c r="U33" i="2"/>
  <c r="S61" i="2"/>
  <c r="T61" i="2"/>
  <c r="T33" i="2"/>
  <c r="S33" i="2"/>
  <c r="R61" i="2"/>
  <c r="Q61" i="2"/>
  <c r="R33" i="2"/>
  <c r="Q33" i="2"/>
  <c r="N29" i="2"/>
  <c r="N53" i="2"/>
  <c r="L53" i="2"/>
  <c r="M29" i="2"/>
  <c r="L29" i="2"/>
  <c r="K53" i="2"/>
  <c r="J53" i="2"/>
  <c r="M53" i="2"/>
  <c r="F56" i="2"/>
  <c r="G56" i="2"/>
  <c r="G28" i="2"/>
  <c r="F28" i="2"/>
  <c r="E56" i="2"/>
  <c r="D56" i="2"/>
  <c r="E28" i="2"/>
  <c r="D28" i="2"/>
  <c r="C56" i="2"/>
  <c r="B56" i="2"/>
  <c r="C28" i="2"/>
  <c r="B28" i="2"/>
  <c r="AG13" i="12" l="1"/>
  <c r="AH13" i="12"/>
  <c r="AI13" i="12"/>
  <c r="AE13" i="12"/>
  <c r="K13" i="12"/>
  <c r="K14" i="12" s="1"/>
  <c r="L13" i="12"/>
  <c r="L14" i="12" s="1"/>
  <c r="AL13" i="12"/>
  <c r="AM13" i="12"/>
  <c r="AO13" i="12"/>
  <c r="AQ13" i="12"/>
  <c r="AP13" i="12"/>
  <c r="X13" i="12"/>
  <c r="Y13" i="12"/>
  <c r="Z13" i="12"/>
  <c r="AA13" i="12"/>
  <c r="T13" i="12"/>
  <c r="S13" i="12"/>
  <c r="M13" i="12"/>
  <c r="M14" i="12" s="1"/>
  <c r="Q13" i="12"/>
  <c r="N13" i="12"/>
  <c r="N14" i="12" s="1"/>
  <c r="U13" i="12"/>
  <c r="I17" i="12"/>
  <c r="I18" i="12" s="1"/>
  <c r="I13" i="12"/>
  <c r="I14" i="12" s="1"/>
  <c r="K25" i="7"/>
  <c r="AP26" i="7"/>
  <c r="AP24" i="7"/>
  <c r="AP23" i="7"/>
  <c r="AZ26" i="9"/>
  <c r="BA77" i="9"/>
  <c r="AY10" i="10"/>
  <c r="AX5" i="9"/>
  <c r="AY13" i="10" s="1"/>
  <c r="AM9" i="12" s="1"/>
  <c r="AL11" i="12"/>
  <c r="BB8" i="10"/>
  <c r="Z26" i="7"/>
  <c r="Z24" i="7"/>
  <c r="Z23" i="7"/>
  <c r="AH23" i="7"/>
  <c r="BB26" i="9"/>
  <c r="BA26" i="9"/>
  <c r="AY26" i="9"/>
  <c r="AH27" i="7"/>
  <c r="AH24" i="7"/>
  <c r="R26" i="7"/>
  <c r="R27" i="7"/>
  <c r="R24" i="7"/>
  <c r="K27" i="7"/>
  <c r="K26" i="7"/>
  <c r="K23" i="7"/>
  <c r="C23" i="13"/>
  <c r="E23" i="13" s="1"/>
  <c r="H23" i="13" s="1"/>
  <c r="D23" i="13"/>
  <c r="F23" i="13" s="1"/>
  <c r="I23" i="13" s="1"/>
  <c r="C23" i="7"/>
  <c r="C26" i="7"/>
  <c r="C24" i="7"/>
  <c r="AA53" i="9"/>
  <c r="AX10" i="10"/>
  <c r="AZ10" i="10"/>
  <c r="AA44" i="9"/>
  <c r="V13" i="10" s="1"/>
  <c r="W13" i="10" s="1"/>
  <c r="Q9" i="12" s="1"/>
  <c r="BA10" i="10"/>
  <c r="BB72" i="9"/>
  <c r="AW33" i="9" s="1"/>
  <c r="AJ47" i="9"/>
  <c r="AE8" i="10" s="1"/>
  <c r="AF8" i="10" s="1"/>
  <c r="AF13" i="9" s="1"/>
  <c r="BC8" i="10"/>
  <c r="BC14" i="9" s="1"/>
  <c r="AY8" i="10"/>
  <c r="AY14" i="9" s="1"/>
  <c r="AX26" i="9"/>
  <c r="AY49" i="9"/>
  <c r="AO11" i="12" s="1"/>
  <c r="AW49" i="9"/>
  <c r="AM11" i="12" s="1"/>
  <c r="AX49" i="9"/>
  <c r="AN11" i="12" s="1"/>
  <c r="AZ49" i="9"/>
  <c r="AP11" i="12" s="1"/>
  <c r="BB10" i="10"/>
  <c r="AX8" i="10"/>
  <c r="AX14" i="9" s="1"/>
  <c r="BA49" i="9"/>
  <c r="AQ11" i="12" s="1"/>
  <c r="AS62" i="9"/>
  <c r="BB14" i="9"/>
  <c r="BB31" i="9"/>
  <c r="AZ14" i="9"/>
  <c r="AZ31" i="9"/>
  <c r="AD12" i="10"/>
  <c r="AD14" i="10" s="1"/>
  <c r="AD16" i="10" s="1"/>
  <c r="AD18" i="10" s="1"/>
  <c r="AV12" i="10"/>
  <c r="AV14" i="10" s="1"/>
  <c r="AV16" i="10" s="1"/>
  <c r="AV18" i="10" s="1"/>
  <c r="AY6" i="10"/>
  <c r="Y4" i="10"/>
  <c r="X6" i="10"/>
  <c r="W6" i="10"/>
  <c r="AF14" i="9"/>
  <c r="AF11" i="9"/>
  <c r="AF9" i="9"/>
  <c r="AF31" i="9"/>
  <c r="AF27" i="9"/>
  <c r="AP4" i="10"/>
  <c r="AO6" i="10"/>
  <c r="AF6" i="9"/>
  <c r="AF10" i="9"/>
  <c r="AF32" i="9"/>
  <c r="AF33" i="9"/>
  <c r="AD49" i="9"/>
  <c r="AJ64" i="9"/>
  <c r="AE10" i="10" s="1"/>
  <c r="AF10" i="10" s="1"/>
  <c r="AJ73" i="9"/>
  <c r="AE16" i="9" s="1"/>
  <c r="R58" i="9"/>
  <c r="L14" i="9" s="1"/>
  <c r="AJ62" i="9"/>
  <c r="AE9" i="10" s="1"/>
  <c r="R39" i="9"/>
  <c r="K47" i="9" s="1"/>
  <c r="AA64" i="9"/>
  <c r="V10" i="10" s="1"/>
  <c r="W10" i="10" s="1"/>
  <c r="AJ60" i="9"/>
  <c r="AE15" i="9" s="1"/>
  <c r="AG6" i="10"/>
  <c r="AA66" i="9"/>
  <c r="V12" i="9" s="1"/>
  <c r="AA47" i="9"/>
  <c r="V8" i="10" s="1"/>
  <c r="R42" i="9"/>
  <c r="L13" i="10" s="1"/>
  <c r="M13" i="10" s="1"/>
  <c r="AA41" i="9"/>
  <c r="AA60" i="9"/>
  <c r="V14" i="9" s="1"/>
  <c r="W14" i="9" s="1"/>
  <c r="AA58" i="9"/>
  <c r="V29" i="9" s="1"/>
  <c r="AA62" i="9"/>
  <c r="V9" i="10" s="1"/>
  <c r="X9" i="10" s="1"/>
  <c r="R51" i="9"/>
  <c r="R56" i="9"/>
  <c r="L29" i="9" s="1"/>
  <c r="R45" i="9"/>
  <c r="L8" i="10" s="1"/>
  <c r="M8" i="10" s="1"/>
  <c r="X6" i="9"/>
  <c r="M12" i="9"/>
  <c r="M6" i="9"/>
  <c r="M14" i="9"/>
  <c r="M15" i="9"/>
  <c r="N5" i="10"/>
  <c r="P4" i="10"/>
  <c r="B12" i="10"/>
  <c r="B14" i="10" s="1"/>
  <c r="B16" i="10" s="1"/>
  <c r="B18" i="10" s="1"/>
  <c r="B47" i="9"/>
  <c r="C8" i="10" s="1"/>
  <c r="H52" i="9"/>
  <c r="C13" i="9" s="1"/>
  <c r="E4" i="10"/>
  <c r="D14" i="9"/>
  <c r="D6" i="10"/>
  <c r="B44" i="9"/>
  <c r="C13" i="10" s="1"/>
  <c r="C14" i="10" s="1"/>
  <c r="B40" i="9"/>
  <c r="F5" i="10"/>
  <c r="AQ24" i="7"/>
  <c r="AQ27" i="7"/>
  <c r="AQ23" i="7"/>
  <c r="AQ26" i="7"/>
  <c r="AR24" i="7"/>
  <c r="AR27" i="7"/>
  <c r="AR23" i="7"/>
  <c r="AR26" i="7"/>
  <c r="AS26" i="7"/>
  <c r="AS24" i="7"/>
  <c r="AS27" i="7"/>
  <c r="AS23" i="7"/>
  <c r="AO23" i="7"/>
  <c r="AO26" i="7"/>
  <c r="AO24" i="7"/>
  <c r="AO27" i="7"/>
  <c r="AJ24" i="7"/>
  <c r="AJ23" i="7"/>
  <c r="AJ26" i="7"/>
  <c r="AJ27" i="7"/>
  <c r="AK24" i="7"/>
  <c r="AK23" i="7"/>
  <c r="AK27" i="7"/>
  <c r="AK26" i="7"/>
  <c r="AL27" i="7"/>
  <c r="AL23" i="7"/>
  <c r="C4" i="13" s="1"/>
  <c r="AL24" i="7"/>
  <c r="AL26" i="7"/>
  <c r="AG27" i="7"/>
  <c r="AG23" i="7"/>
  <c r="AG26" i="7"/>
  <c r="AG24" i="7"/>
  <c r="AI24" i="7"/>
  <c r="AI26" i="7"/>
  <c r="AI27" i="7"/>
  <c r="AI23" i="7"/>
  <c r="AB24" i="7"/>
  <c r="AB23" i="7"/>
  <c r="AB27" i="7"/>
  <c r="AB26" i="7"/>
  <c r="AC24" i="7"/>
  <c r="AC26" i="7"/>
  <c r="AC23" i="7"/>
  <c r="AC27" i="7"/>
  <c r="AA24" i="7"/>
  <c r="AA27" i="7"/>
  <c r="AA26" i="7"/>
  <c r="AA23" i="7"/>
  <c r="AD26" i="7"/>
  <c r="AD23" i="7"/>
  <c r="C5" i="13" s="1"/>
  <c r="AD24" i="7"/>
  <c r="AD27" i="7"/>
  <c r="Y23" i="7"/>
  <c r="Y24" i="7"/>
  <c r="Y27" i="7"/>
  <c r="Y26" i="7"/>
  <c r="S23" i="7"/>
  <c r="S27" i="7"/>
  <c r="S26" i="7"/>
  <c r="S24" i="7"/>
  <c r="T23" i="7"/>
  <c r="T27" i="7"/>
  <c r="T24" i="7"/>
  <c r="T26" i="7"/>
  <c r="V26" i="7"/>
  <c r="V24" i="7"/>
  <c r="V23" i="7"/>
  <c r="V27" i="7"/>
  <c r="U24" i="7"/>
  <c r="U23" i="7"/>
  <c r="U27" i="7"/>
  <c r="U26" i="7"/>
  <c r="Q24" i="7"/>
  <c r="Q23" i="7"/>
  <c r="Q26" i="7"/>
  <c r="Q27" i="7"/>
  <c r="L27" i="7"/>
  <c r="L26" i="7"/>
  <c r="M27" i="7"/>
  <c r="M26" i="7"/>
  <c r="N26" i="7"/>
  <c r="N27" i="7"/>
  <c r="J26" i="7"/>
  <c r="J27" i="7"/>
  <c r="L24" i="7"/>
  <c r="L23" i="7"/>
  <c r="M24" i="7"/>
  <c r="M23" i="7"/>
  <c r="N23" i="7"/>
  <c r="N24" i="7"/>
  <c r="J23" i="7"/>
  <c r="J24" i="7"/>
  <c r="D27" i="7"/>
  <c r="D23" i="7"/>
  <c r="D24" i="7"/>
  <c r="D26" i="7"/>
  <c r="E26" i="7"/>
  <c r="E27" i="7"/>
  <c r="E23" i="7"/>
  <c r="E24" i="7"/>
  <c r="F26" i="7"/>
  <c r="F27" i="7"/>
  <c r="F23" i="7"/>
  <c r="F24" i="7"/>
  <c r="G26" i="7"/>
  <c r="G27" i="7"/>
  <c r="G23" i="7"/>
  <c r="G24" i="7"/>
  <c r="B26" i="7"/>
  <c r="B27" i="7"/>
  <c r="B23" i="7"/>
  <c r="B24" i="7"/>
  <c r="I19" i="12" l="1"/>
  <c r="I20" i="12" s="1"/>
  <c r="I22" i="12" s="1"/>
  <c r="I23" i="12" s="1"/>
  <c r="I26" i="12" s="1"/>
  <c r="AA25" i="7"/>
  <c r="AB25" i="7"/>
  <c r="AK25" i="7"/>
  <c r="AR25" i="7"/>
  <c r="R25" i="7"/>
  <c r="C25" i="7"/>
  <c r="E25" i="7"/>
  <c r="S25" i="7"/>
  <c r="Z25" i="7"/>
  <c r="N25" i="7"/>
  <c r="V25" i="7"/>
  <c r="AS25" i="7"/>
  <c r="AH25" i="7"/>
  <c r="AP25" i="7"/>
  <c r="AJ25" i="7"/>
  <c r="AQ25" i="7"/>
  <c r="L25" i="7"/>
  <c r="U25" i="7"/>
  <c r="G25" i="7"/>
  <c r="F25" i="7"/>
  <c r="AC25" i="7"/>
  <c r="AI25" i="7"/>
  <c r="D25" i="7"/>
  <c r="M25" i="7"/>
  <c r="T25" i="7"/>
  <c r="Q25" i="7"/>
  <c r="B25" i="7"/>
  <c r="AG25" i="7"/>
  <c r="J25" i="7"/>
  <c r="AO25" i="7"/>
  <c r="Y25" i="7"/>
  <c r="AZ77" i="9"/>
  <c r="BB77" i="9"/>
  <c r="AF5" i="9"/>
  <c r="AG13" i="10" s="1"/>
  <c r="Y9" i="12" s="1"/>
  <c r="X11" i="12"/>
  <c r="AY31" i="9"/>
  <c r="C9" i="13"/>
  <c r="B21" i="13" s="1"/>
  <c r="AD25" i="7"/>
  <c r="B5" i="13"/>
  <c r="AL25" i="7"/>
  <c r="B4" i="13"/>
  <c r="X14" i="9"/>
  <c r="AY5" i="9"/>
  <c r="AZ13" i="10" s="1"/>
  <c r="AZ33" i="9"/>
  <c r="AZ15" i="10" s="1"/>
  <c r="BA33" i="9"/>
  <c r="BB33" i="9"/>
  <c r="BB15" i="10" s="1"/>
  <c r="BC33" i="9"/>
  <c r="BC15" i="10" s="1"/>
  <c r="AX33" i="9"/>
  <c r="AX15" i="10" s="1"/>
  <c r="AY33" i="9"/>
  <c r="AY15" i="10" s="1"/>
  <c r="BC31" i="9"/>
  <c r="AX31" i="9"/>
  <c r="AX11" i="10"/>
  <c r="AX12" i="10" s="1"/>
  <c r="AF30" i="9"/>
  <c r="AY11" i="10"/>
  <c r="AY12" i="10" s="1"/>
  <c r="AY14" i="10" s="1"/>
  <c r="AZ6" i="10"/>
  <c r="W30" i="9"/>
  <c r="W6" i="9"/>
  <c r="W25" i="9"/>
  <c r="Y8" i="10"/>
  <c r="Y12" i="9" s="1"/>
  <c r="X25" i="9"/>
  <c r="X30" i="9"/>
  <c r="Z4" i="10"/>
  <c r="Y6" i="10"/>
  <c r="AQ4" i="10"/>
  <c r="AP6" i="10"/>
  <c r="AG9" i="9"/>
  <c r="AG25" i="9"/>
  <c r="AG11" i="9"/>
  <c r="AG14" i="9"/>
  <c r="AG10" i="9"/>
  <c r="AG31" i="9"/>
  <c r="AG27" i="9"/>
  <c r="AG26" i="9"/>
  <c r="AG6" i="9"/>
  <c r="AG32" i="9"/>
  <c r="AE49" i="9"/>
  <c r="AG33" i="9"/>
  <c r="AG8" i="10"/>
  <c r="AG30" i="9" s="1"/>
  <c r="AO6" i="9"/>
  <c r="AO9" i="9"/>
  <c r="AO10" i="10"/>
  <c r="AO14" i="9"/>
  <c r="AO10" i="9"/>
  <c r="AO26" i="9"/>
  <c r="AO11" i="9"/>
  <c r="AO27" i="9"/>
  <c r="AO33" i="9"/>
  <c r="AO31" i="9"/>
  <c r="AO8" i="10"/>
  <c r="AO16" i="9"/>
  <c r="AO9" i="10"/>
  <c r="AM49" i="9"/>
  <c r="AO15" i="9"/>
  <c r="AF16" i="9"/>
  <c r="AF77" i="9" s="1"/>
  <c r="X10" i="12" s="1"/>
  <c r="AG16" i="9"/>
  <c r="Y10" i="10"/>
  <c r="Y9" i="10"/>
  <c r="X10" i="10"/>
  <c r="AG10" i="10"/>
  <c r="AF9" i="10"/>
  <c r="AF11" i="10" s="1"/>
  <c r="AF12" i="10" s="1"/>
  <c r="AH9" i="10"/>
  <c r="AG9" i="10"/>
  <c r="M5" i="9"/>
  <c r="N13" i="10" s="1"/>
  <c r="Y14" i="9"/>
  <c r="AF15" i="9"/>
  <c r="AG15" i="9"/>
  <c r="AH15" i="9"/>
  <c r="W9" i="10"/>
  <c r="AH6" i="10"/>
  <c r="W8" i="10"/>
  <c r="W12" i="9" s="1"/>
  <c r="X8" i="10"/>
  <c r="X12" i="9" s="1"/>
  <c r="U49" i="9"/>
  <c r="W5" i="9" s="1"/>
  <c r="V49" i="9"/>
  <c r="D8" i="10"/>
  <c r="D29" i="9" s="1"/>
  <c r="D33" i="9" s="1"/>
  <c r="O5" i="10"/>
  <c r="N6" i="10"/>
  <c r="M29" i="9"/>
  <c r="M13" i="9"/>
  <c r="M11" i="10"/>
  <c r="M12" i="10" s="1"/>
  <c r="M14" i="10" s="1"/>
  <c r="M16" i="10" s="1"/>
  <c r="Q4" i="10"/>
  <c r="E6" i="10"/>
  <c r="D49" i="9" s="1"/>
  <c r="E10" i="10"/>
  <c r="E13" i="9"/>
  <c r="D13" i="9"/>
  <c r="F4" i="10"/>
  <c r="E14" i="9"/>
  <c r="D13" i="10"/>
  <c r="C49" i="9"/>
  <c r="G5" i="10"/>
  <c r="BA15" i="10" l="1"/>
  <c r="BA78" i="9"/>
  <c r="AY77" i="9"/>
  <c r="AY78" i="9"/>
  <c r="AX77" i="9"/>
  <c r="AL10" i="12" s="1"/>
  <c r="AX78" i="9"/>
  <c r="AZ78" i="9"/>
  <c r="BB78" i="9"/>
  <c r="AX14" i="10"/>
  <c r="AP10" i="12"/>
  <c r="AQ10" i="12"/>
  <c r="AN10" i="12"/>
  <c r="AO10" i="12"/>
  <c r="AO5" i="9"/>
  <c r="AP13" i="10" s="1"/>
  <c r="AF9" i="12" s="1"/>
  <c r="AE11" i="12"/>
  <c r="AF14" i="10"/>
  <c r="X6" i="12" s="1"/>
  <c r="AG5" i="9"/>
  <c r="AH13" i="10" s="1"/>
  <c r="Z9" i="12" s="1"/>
  <c r="Y11" i="12"/>
  <c r="B9" i="13"/>
  <c r="B20" i="13" s="1"/>
  <c r="D20" i="13" s="1"/>
  <c r="F20" i="13" s="1"/>
  <c r="AX16" i="10"/>
  <c r="AX17" i="10" s="1"/>
  <c r="AL6" i="12"/>
  <c r="AL7" i="12" s="1"/>
  <c r="AL8" i="12" s="1"/>
  <c r="AL12" i="12" s="1"/>
  <c r="AL14" i="12" s="1"/>
  <c r="AZ5" i="9"/>
  <c r="BA13" i="10" s="1"/>
  <c r="AN9" i="12"/>
  <c r="AY16" i="10"/>
  <c r="AY17" i="10" s="1"/>
  <c r="AM6" i="12"/>
  <c r="X7" i="12"/>
  <c r="X8" i="12" s="1"/>
  <c r="X12" i="12" s="1"/>
  <c r="X14" i="12" s="1"/>
  <c r="C21" i="13"/>
  <c r="C22" i="13" s="1"/>
  <c r="E22" i="13" s="1"/>
  <c r="H22" i="13" s="1"/>
  <c r="D21" i="13"/>
  <c r="AX8" i="9"/>
  <c r="Y29" i="9"/>
  <c r="Y67" i="9" s="1"/>
  <c r="S10" i="12" s="1"/>
  <c r="Y11" i="10"/>
  <c r="Y12" i="10" s="1"/>
  <c r="AZ11" i="10"/>
  <c r="AZ12" i="10" s="1"/>
  <c r="AZ14" i="10" s="1"/>
  <c r="BA6" i="10"/>
  <c r="AO15" i="10"/>
  <c r="Z6" i="10"/>
  <c r="AA4" i="10"/>
  <c r="AA6" i="10" s="1"/>
  <c r="Y25" i="9"/>
  <c r="Y30" i="9"/>
  <c r="Y6" i="9"/>
  <c r="W49" i="9"/>
  <c r="AH11" i="9"/>
  <c r="AH9" i="9"/>
  <c r="AH10" i="9"/>
  <c r="AH27" i="9"/>
  <c r="AH6" i="9"/>
  <c r="AH14" i="9"/>
  <c r="AH25" i="9"/>
  <c r="AH26" i="9"/>
  <c r="AH31" i="9"/>
  <c r="AF49" i="9"/>
  <c r="AH33" i="9"/>
  <c r="AH32" i="9"/>
  <c r="AH8" i="10"/>
  <c r="AH11" i="10" s="1"/>
  <c r="AH12" i="10" s="1"/>
  <c r="AG13" i="9"/>
  <c r="AG77" i="9" s="1"/>
  <c r="Y10" i="12" s="1"/>
  <c r="AO13" i="9"/>
  <c r="AO30" i="9"/>
  <c r="AO71" i="9" s="1"/>
  <c r="AO11" i="10"/>
  <c r="AO12" i="10" s="1"/>
  <c r="AH16" i="9"/>
  <c r="AP33" i="9"/>
  <c r="AP11" i="9"/>
  <c r="AP31" i="9"/>
  <c r="AP8" i="10"/>
  <c r="AP10" i="10"/>
  <c r="AP14" i="9"/>
  <c r="AP16" i="9"/>
  <c r="AP9" i="10"/>
  <c r="AP9" i="9"/>
  <c r="AP25" i="9"/>
  <c r="AP6" i="9"/>
  <c r="AP10" i="9"/>
  <c r="AP27" i="9"/>
  <c r="AP15" i="9"/>
  <c r="AP26" i="9"/>
  <c r="AN49" i="9"/>
  <c r="AF11" i="12" s="1"/>
  <c r="AH10" i="10"/>
  <c r="AR4" i="10"/>
  <c r="AQ6" i="10"/>
  <c r="X29" i="9"/>
  <c r="X67" i="9" s="1"/>
  <c r="R10" i="12" s="1"/>
  <c r="AG11" i="10"/>
  <c r="AG12" i="10" s="1"/>
  <c r="AG14" i="10" s="1"/>
  <c r="Y6" i="12" s="1"/>
  <c r="Y7" i="12" s="1"/>
  <c r="Y8" i="12" s="1"/>
  <c r="AG15" i="10"/>
  <c r="AJ6" i="10"/>
  <c r="AI6" i="10"/>
  <c r="X11" i="10"/>
  <c r="X12" i="10" s="1"/>
  <c r="W11" i="10"/>
  <c r="W12" i="10" s="1"/>
  <c r="W29" i="9"/>
  <c r="W67" i="9" s="1"/>
  <c r="Q10" i="12" s="1"/>
  <c r="X13" i="10"/>
  <c r="D11" i="10"/>
  <c r="D12" i="10" s="1"/>
  <c r="D14" i="10" s="1"/>
  <c r="D16" i="10" s="1"/>
  <c r="D17" i="10" s="1"/>
  <c r="D18" i="10" s="1"/>
  <c r="E20" i="9" s="1"/>
  <c r="M18" i="10"/>
  <c r="M17" i="10"/>
  <c r="N14" i="9"/>
  <c r="N15" i="9"/>
  <c r="N12" i="9"/>
  <c r="N6" i="9"/>
  <c r="L47" i="9"/>
  <c r="N5" i="9" s="1"/>
  <c r="N8" i="10"/>
  <c r="P5" i="10"/>
  <c r="O6" i="10"/>
  <c r="R4" i="10"/>
  <c r="F6" i="10"/>
  <c r="F10" i="10"/>
  <c r="F13" i="9"/>
  <c r="E8" i="10"/>
  <c r="E29" i="9" s="1"/>
  <c r="D5" i="9"/>
  <c r="D16" i="9" s="1"/>
  <c r="G4" i="10"/>
  <c r="F14" i="9"/>
  <c r="H5" i="10"/>
  <c r="I20" i="13" l="1"/>
  <c r="C20" i="13"/>
  <c r="E20" i="13" s="1"/>
  <c r="H20" i="13" s="1"/>
  <c r="AM10" i="12"/>
  <c r="AX18" i="10"/>
  <c r="AO70" i="9"/>
  <c r="AE10" i="12" s="1"/>
  <c r="AO14" i="10"/>
  <c r="AE6" i="12" s="1"/>
  <c r="AE7" i="12" s="1"/>
  <c r="AE8" i="12" s="1"/>
  <c r="AE12" i="12" s="1"/>
  <c r="AE14" i="12" s="1"/>
  <c r="AH14" i="10"/>
  <c r="Z6" i="12" s="1"/>
  <c r="Z7" i="12" s="1"/>
  <c r="Z8" i="12" s="1"/>
  <c r="Y12" i="12"/>
  <c r="Y14" i="12" s="1"/>
  <c r="AH5" i="9"/>
  <c r="AI13" i="10" s="1"/>
  <c r="AA9" i="12" s="1"/>
  <c r="Z11" i="12"/>
  <c r="AM7" i="12"/>
  <c r="AM8" i="12" s="1"/>
  <c r="AM12" i="12" s="1"/>
  <c r="AM14" i="12" s="1"/>
  <c r="AZ16" i="10"/>
  <c r="AZ17" i="10" s="1"/>
  <c r="AN6" i="12"/>
  <c r="BA5" i="9"/>
  <c r="BB13" i="10" s="1"/>
  <c r="AO9" i="12"/>
  <c r="AY8" i="9"/>
  <c r="AY18" i="10"/>
  <c r="E21" i="13"/>
  <c r="H21" i="13" s="1"/>
  <c r="X5" i="9"/>
  <c r="Y13" i="10" s="1"/>
  <c r="R9" i="12"/>
  <c r="D22" i="13"/>
  <c r="F22" i="13" s="1"/>
  <c r="I22" i="13" s="1"/>
  <c r="F21" i="13"/>
  <c r="I21" i="13" s="1"/>
  <c r="AO16" i="10"/>
  <c r="AO8" i="9" s="1"/>
  <c r="BA11" i="10"/>
  <c r="BA12" i="10" s="1"/>
  <c r="BA14" i="10" s="1"/>
  <c r="BC6" i="10"/>
  <c r="BB6" i="10"/>
  <c r="E49" i="9"/>
  <c r="AA30" i="9"/>
  <c r="AA25" i="9"/>
  <c r="AA6" i="9"/>
  <c r="AA14" i="9"/>
  <c r="AA8" i="10"/>
  <c r="AA10" i="10"/>
  <c r="Y49" i="9"/>
  <c r="AA9" i="10"/>
  <c r="AP5" i="9"/>
  <c r="AQ13" i="10" s="1"/>
  <c r="AG9" i="12" s="1"/>
  <c r="Z30" i="9"/>
  <c r="Z25" i="9"/>
  <c r="Z6" i="9"/>
  <c r="Z10" i="10"/>
  <c r="Z14" i="9"/>
  <c r="Z9" i="10"/>
  <c r="Z8" i="10"/>
  <c r="X49" i="9"/>
  <c r="AP15" i="10"/>
  <c r="AJ14" i="9"/>
  <c r="AJ11" i="9"/>
  <c r="AJ9" i="9"/>
  <c r="AJ25" i="9"/>
  <c r="AJ26" i="9"/>
  <c r="AJ31" i="9"/>
  <c r="AJ10" i="9"/>
  <c r="AJ27" i="9"/>
  <c r="AJ6" i="9"/>
  <c r="AJ8" i="10"/>
  <c r="AJ33" i="9"/>
  <c r="AH49" i="9"/>
  <c r="AB11" i="12" s="1"/>
  <c r="AJ32" i="9"/>
  <c r="AJ16" i="9"/>
  <c r="AJ10" i="10"/>
  <c r="AJ15" i="9"/>
  <c r="AJ9" i="10"/>
  <c r="AH15" i="10"/>
  <c r="AH16" i="10" s="1"/>
  <c r="AH8" i="9" s="1"/>
  <c r="AQ27" i="9"/>
  <c r="AQ33" i="9"/>
  <c r="AQ11" i="9"/>
  <c r="AQ25" i="9"/>
  <c r="AQ31" i="9"/>
  <c r="AQ8" i="10"/>
  <c r="AQ16" i="9"/>
  <c r="AQ9" i="10"/>
  <c r="AQ6" i="9"/>
  <c r="AQ9" i="9"/>
  <c r="AQ10" i="10"/>
  <c r="AQ14" i="9"/>
  <c r="AQ10" i="9"/>
  <c r="AQ26" i="9"/>
  <c r="AO49" i="9"/>
  <c r="AG11" i="12" s="1"/>
  <c r="AQ15" i="9"/>
  <c r="AP13" i="9"/>
  <c r="AP70" i="9" s="1"/>
  <c r="AF10" i="12" s="1"/>
  <c r="AP30" i="9"/>
  <c r="AP71" i="9" s="1"/>
  <c r="AP11" i="10"/>
  <c r="AP12" i="10" s="1"/>
  <c r="AP14" i="10" s="1"/>
  <c r="AF6" i="12" s="1"/>
  <c r="AI11" i="9"/>
  <c r="AI9" i="9"/>
  <c r="AI6" i="9"/>
  <c r="AI26" i="9"/>
  <c r="AI25" i="9"/>
  <c r="AI10" i="9"/>
  <c r="AI31" i="9"/>
  <c r="AI14" i="9"/>
  <c r="AI27" i="9"/>
  <c r="AG49" i="9"/>
  <c r="AI8" i="10"/>
  <c r="AI33" i="9"/>
  <c r="AI32" i="9"/>
  <c r="AI10" i="10"/>
  <c r="AI15" i="9"/>
  <c r="AI16" i="9"/>
  <c r="AI9" i="10"/>
  <c r="AS4" i="10"/>
  <c r="AS6" i="10" s="1"/>
  <c r="AR6" i="10"/>
  <c r="AH13" i="9"/>
  <c r="AH30" i="9"/>
  <c r="AG16" i="10"/>
  <c r="X14" i="10"/>
  <c r="R6" i="12" s="1"/>
  <c r="R8" i="12" s="1"/>
  <c r="R12" i="12" s="1"/>
  <c r="R14" i="12" s="1"/>
  <c r="Y14" i="10"/>
  <c r="S6" i="12" s="1"/>
  <c r="S8" i="12" s="1"/>
  <c r="O13" i="10"/>
  <c r="F8" i="10"/>
  <c r="F29" i="9" s="1"/>
  <c r="O14" i="9"/>
  <c r="O15" i="9"/>
  <c r="O12" i="9"/>
  <c r="O6" i="9"/>
  <c r="M47" i="9"/>
  <c r="O8" i="10"/>
  <c r="Q5" i="10"/>
  <c r="P6" i="10"/>
  <c r="N11" i="10"/>
  <c r="N12" i="10" s="1"/>
  <c r="N14" i="10" s="1"/>
  <c r="N16" i="10" s="1"/>
  <c r="N17" i="10" s="1"/>
  <c r="N18" i="10" s="1"/>
  <c r="N13" i="9"/>
  <c r="N29" i="9"/>
  <c r="K53" i="9"/>
  <c r="M21" i="9" s="1"/>
  <c r="M22" i="9" s="1"/>
  <c r="M34" i="9" s="1"/>
  <c r="M16" i="9" s="1"/>
  <c r="E13" i="10"/>
  <c r="E11" i="10" s="1"/>
  <c r="E12" i="10" s="1"/>
  <c r="E14" i="10" s="1"/>
  <c r="E16" i="10" s="1"/>
  <c r="E17" i="10" s="1"/>
  <c r="E18" i="10" s="1"/>
  <c r="F20" i="9" s="1"/>
  <c r="G10" i="10"/>
  <c r="G13" i="9"/>
  <c r="E21" i="9"/>
  <c r="E33" i="9" s="1"/>
  <c r="H4" i="10"/>
  <c r="G14" i="9"/>
  <c r="G6" i="10"/>
  <c r="F24" i="13" l="1"/>
  <c r="I24" i="13" s="1"/>
  <c r="AV55" i="9"/>
  <c r="AX23" i="9" s="1"/>
  <c r="AO17" i="10"/>
  <c r="AO18" i="10" s="1"/>
  <c r="AH77" i="9"/>
  <c r="Z10" i="12" s="1"/>
  <c r="AI5" i="9"/>
  <c r="AA11" i="12"/>
  <c r="Z12" i="12"/>
  <c r="Z14" i="12" s="1"/>
  <c r="BB5" i="9"/>
  <c r="BC13" i="10" s="1"/>
  <c r="AP9" i="12"/>
  <c r="AZ8" i="9"/>
  <c r="AN7" i="12"/>
  <c r="AN8" i="12" s="1"/>
  <c r="AN12" i="12" s="1"/>
  <c r="AN14" i="12" s="1"/>
  <c r="BA16" i="10"/>
  <c r="BA17" i="10" s="1"/>
  <c r="AO6" i="12"/>
  <c r="AO7" i="12" s="1"/>
  <c r="AO8" i="12" s="1"/>
  <c r="AO12" i="12" s="1"/>
  <c r="AO14" i="12" s="1"/>
  <c r="AW55" i="9"/>
  <c r="AY23" i="9" s="1"/>
  <c r="AY24" i="9" s="1"/>
  <c r="AY35" i="9" s="1"/>
  <c r="AY17" i="9" s="1"/>
  <c r="AX24" i="9"/>
  <c r="AX35" i="9" s="1"/>
  <c r="AX17" i="9" s="1"/>
  <c r="AF7" i="12"/>
  <c r="AF8" i="12" s="1"/>
  <c r="AF12" i="12" s="1"/>
  <c r="AF14" i="12" s="1"/>
  <c r="Y5" i="9"/>
  <c r="Z13" i="10" s="1"/>
  <c r="T9" i="12" s="1"/>
  <c r="S9" i="12"/>
  <c r="S12" i="12" s="1"/>
  <c r="S14" i="12" s="1"/>
  <c r="AZ18" i="10"/>
  <c r="BA8" i="9"/>
  <c r="BA18" i="10"/>
  <c r="BC11" i="10"/>
  <c r="BC12" i="10" s="1"/>
  <c r="BB11" i="10"/>
  <c r="BB12" i="10" s="1"/>
  <c r="BB14" i="10" s="1"/>
  <c r="AA12" i="9"/>
  <c r="AA11" i="10"/>
  <c r="AA12" i="10" s="1"/>
  <c r="AA29" i="9"/>
  <c r="AP16" i="10"/>
  <c r="AP17" i="10" s="1"/>
  <c r="AP18" i="10" s="1"/>
  <c r="Z12" i="9"/>
  <c r="Z67" i="9" s="1"/>
  <c r="T10" i="12" s="1"/>
  <c r="Z11" i="10"/>
  <c r="Z12" i="10" s="1"/>
  <c r="Z29" i="9"/>
  <c r="AQ5" i="9"/>
  <c r="AR13" i="10" s="1"/>
  <c r="AH9" i="12" s="1"/>
  <c r="AS9" i="9"/>
  <c r="AS10" i="10"/>
  <c r="AS14" i="9"/>
  <c r="AS31" i="9"/>
  <c r="AS10" i="9"/>
  <c r="AS26" i="9"/>
  <c r="AS8" i="10"/>
  <c r="AS27" i="9"/>
  <c r="AS33" i="9"/>
  <c r="AS11" i="9"/>
  <c r="AS16" i="9"/>
  <c r="AS9" i="10"/>
  <c r="AS25" i="9"/>
  <c r="AS6" i="9"/>
  <c r="AS15" i="9"/>
  <c r="AQ49" i="9"/>
  <c r="AI11" i="12" s="1"/>
  <c r="AJ15" i="10"/>
  <c r="AI15" i="10"/>
  <c r="AH17" i="10"/>
  <c r="AH18" i="10" s="1"/>
  <c r="AF55" i="9" s="1"/>
  <c r="AJ13" i="9"/>
  <c r="AJ77" i="9" s="1"/>
  <c r="AJ30" i="9"/>
  <c r="AJ11" i="10"/>
  <c r="AJ12" i="10" s="1"/>
  <c r="AR10" i="9"/>
  <c r="AR26" i="9"/>
  <c r="AR16" i="9"/>
  <c r="AR27" i="9"/>
  <c r="AR33" i="9"/>
  <c r="AR11" i="9"/>
  <c r="AR9" i="10"/>
  <c r="AR31" i="9"/>
  <c r="AR8" i="10"/>
  <c r="AR25" i="9"/>
  <c r="AR6" i="9"/>
  <c r="AR9" i="9"/>
  <c r="AR10" i="10"/>
  <c r="AR14" i="9"/>
  <c r="AP49" i="9"/>
  <c r="AH11" i="12" s="1"/>
  <c r="AR15" i="9"/>
  <c r="AI30" i="9"/>
  <c r="AI13" i="9"/>
  <c r="AI77" i="9" s="1"/>
  <c r="AA10" i="12" s="1"/>
  <c r="AI11" i="10"/>
  <c r="AI12" i="10" s="1"/>
  <c r="AQ15" i="10"/>
  <c r="AQ11" i="10"/>
  <c r="AQ12" i="10" s="1"/>
  <c r="AQ14" i="10" s="1"/>
  <c r="AQ13" i="9"/>
  <c r="AQ30" i="9"/>
  <c r="AQ71" i="9" s="1"/>
  <c r="AG17" i="10"/>
  <c r="AG18" i="10" s="1"/>
  <c r="AE55" i="9" s="1"/>
  <c r="AG8" i="9"/>
  <c r="AJ13" i="10"/>
  <c r="AB9" i="12" s="1"/>
  <c r="O5" i="9"/>
  <c r="P13" i="10" s="1"/>
  <c r="L53" i="9"/>
  <c r="N21" i="9" s="1"/>
  <c r="N22" i="9" s="1"/>
  <c r="N34" i="9" s="1"/>
  <c r="N16" i="9" s="1"/>
  <c r="N17" i="9" s="1"/>
  <c r="P6" i="9"/>
  <c r="P14" i="9"/>
  <c r="P15" i="9"/>
  <c r="P12" i="9"/>
  <c r="N47" i="9"/>
  <c r="P8" i="10"/>
  <c r="R5" i="10"/>
  <c r="R6" i="10" s="1"/>
  <c r="Q6" i="10"/>
  <c r="O11" i="10"/>
  <c r="O12" i="10" s="1"/>
  <c r="O14" i="10" s="1"/>
  <c r="O16" i="10" s="1"/>
  <c r="O17" i="10" s="1"/>
  <c r="O18" i="10" s="1"/>
  <c r="O13" i="9"/>
  <c r="O29" i="9"/>
  <c r="E5" i="9"/>
  <c r="F13" i="10" s="1"/>
  <c r="F11" i="10" s="1"/>
  <c r="F12" i="10" s="1"/>
  <c r="F14" i="10" s="1"/>
  <c r="F16" i="10" s="1"/>
  <c r="H14" i="9"/>
  <c r="H10" i="10"/>
  <c r="H13" i="9"/>
  <c r="F21" i="9"/>
  <c r="F33" i="9" s="1"/>
  <c r="H6" i="10"/>
  <c r="G8" i="10"/>
  <c r="G29" i="9" s="1"/>
  <c r="F49" i="9"/>
  <c r="AQ70" i="9" l="1"/>
  <c r="AG10" i="12" s="1"/>
  <c r="AO22" i="9"/>
  <c r="AO23" i="9" s="1"/>
  <c r="AO34" i="9" s="1"/>
  <c r="AO17" i="9" s="1"/>
  <c r="AO18" i="9" s="1"/>
  <c r="AI14" i="10"/>
  <c r="AA6" i="12" s="1"/>
  <c r="AA7" i="12" s="1"/>
  <c r="AA8" i="12" s="1"/>
  <c r="AA12" i="12" s="1"/>
  <c r="AA14" i="12" s="1"/>
  <c r="AB10" i="12"/>
  <c r="AA67" i="9"/>
  <c r="U10" i="12" s="1"/>
  <c r="BB16" i="10"/>
  <c r="BB17" i="10" s="1"/>
  <c r="AP6" i="12"/>
  <c r="BC5" i="9"/>
  <c r="AQ9" i="12"/>
  <c r="AX55" i="9"/>
  <c r="AZ23" i="9" s="1"/>
  <c r="AZ24" i="9" s="1"/>
  <c r="AZ35" i="9" s="1"/>
  <c r="AZ17" i="9" s="1"/>
  <c r="AY55" i="9"/>
  <c r="AQ16" i="10"/>
  <c r="AQ17" i="10" s="1"/>
  <c r="AQ18" i="10" s="1"/>
  <c r="AG6" i="12"/>
  <c r="Z5" i="9"/>
  <c r="AA13" i="10" s="1"/>
  <c r="Z14" i="10"/>
  <c r="T6" i="12" s="1"/>
  <c r="T8" i="12" s="1"/>
  <c r="T12" i="12" s="1"/>
  <c r="T14" i="12" s="1"/>
  <c r="BC14" i="10"/>
  <c r="AA14" i="10"/>
  <c r="U6" i="12" s="1"/>
  <c r="U8" i="12" s="1"/>
  <c r="AJ14" i="10"/>
  <c r="AR15" i="10"/>
  <c r="AP8" i="9"/>
  <c r="AR5" i="9"/>
  <c r="AS13" i="10" s="1"/>
  <c r="AI9" i="12" s="1"/>
  <c r="AS15" i="10"/>
  <c r="AI16" i="10"/>
  <c r="AR11" i="10"/>
  <c r="AR12" i="10" s="1"/>
  <c r="AR14" i="10" s="1"/>
  <c r="AH6" i="12" s="1"/>
  <c r="AR30" i="9"/>
  <c r="AR71" i="9" s="1"/>
  <c r="AR13" i="9"/>
  <c r="AS13" i="9"/>
  <c r="AS30" i="9"/>
  <c r="AS71" i="9" s="1"/>
  <c r="AS11" i="10"/>
  <c r="AS12" i="10" s="1"/>
  <c r="AJ5" i="9"/>
  <c r="P5" i="9"/>
  <c r="Q13" i="10" s="1"/>
  <c r="Q6" i="9"/>
  <c r="Q14" i="9"/>
  <c r="Q15" i="9"/>
  <c r="Q12" i="9"/>
  <c r="Q8" i="10"/>
  <c r="O47" i="9"/>
  <c r="M53" i="9"/>
  <c r="O21" i="9" s="1"/>
  <c r="O22" i="9" s="1"/>
  <c r="O34" i="9" s="1"/>
  <c r="O16" i="9" s="1"/>
  <c r="O17" i="9" s="1"/>
  <c r="R6" i="9"/>
  <c r="R12" i="9"/>
  <c r="R14" i="9"/>
  <c r="R15" i="9"/>
  <c r="R8" i="10"/>
  <c r="P47" i="9"/>
  <c r="P11" i="10"/>
  <c r="P12" i="10" s="1"/>
  <c r="P14" i="10" s="1"/>
  <c r="P16" i="10" s="1"/>
  <c r="P17" i="10" s="1"/>
  <c r="P18" i="10" s="1"/>
  <c r="P13" i="9"/>
  <c r="P29" i="9"/>
  <c r="E16" i="9"/>
  <c r="H8" i="10"/>
  <c r="H29" i="9" s="1"/>
  <c r="G49" i="9"/>
  <c r="F17" i="10"/>
  <c r="F18" i="10" s="1"/>
  <c r="G20" i="9" s="1"/>
  <c r="F5" i="9"/>
  <c r="G13" i="10" s="1"/>
  <c r="G11" i="10" s="1"/>
  <c r="G12" i="10" s="1"/>
  <c r="G14" i="10" s="1"/>
  <c r="G16" i="10" s="1"/>
  <c r="BB8" i="9" l="1"/>
  <c r="AR70" i="9"/>
  <c r="AH10" i="12" s="1"/>
  <c r="AQ8" i="9"/>
  <c r="BA23" i="9"/>
  <c r="AS70" i="9"/>
  <c r="AI10" i="12" s="1"/>
  <c r="AP22" i="9"/>
  <c r="AP23" i="9" s="1"/>
  <c r="AP34" i="9" s="1"/>
  <c r="AP17" i="9" s="1"/>
  <c r="AP18" i="9" s="1"/>
  <c r="BC16" i="10"/>
  <c r="BC17" i="10" s="1"/>
  <c r="AQ6" i="12"/>
  <c r="AQ7" i="12" s="1"/>
  <c r="AQ8" i="12" s="1"/>
  <c r="AQ12" i="12" s="1"/>
  <c r="AL17" i="12" s="1"/>
  <c r="AL18" i="12" s="1"/>
  <c r="AP7" i="12"/>
  <c r="AP8" i="12" s="1"/>
  <c r="AP12" i="12" s="1"/>
  <c r="AP14" i="12" s="1"/>
  <c r="AG7" i="12"/>
  <c r="AG8" i="12" s="1"/>
  <c r="AG12" i="12" s="1"/>
  <c r="AG14" i="12" s="1"/>
  <c r="AH7" i="12"/>
  <c r="AH8" i="12" s="1"/>
  <c r="AH12" i="12" s="1"/>
  <c r="AH14" i="12" s="1"/>
  <c r="AJ16" i="10"/>
  <c r="AJ8" i="9" s="1"/>
  <c r="AB6" i="12"/>
  <c r="AA5" i="9"/>
  <c r="U9" i="12"/>
  <c r="U12" i="12" s="1"/>
  <c r="BB18" i="10"/>
  <c r="BA24" i="9"/>
  <c r="BA35" i="9" s="1"/>
  <c r="BA17" i="9" s="1"/>
  <c r="AR16" i="10"/>
  <c r="AR8" i="9" s="1"/>
  <c r="AI8" i="9"/>
  <c r="AI17" i="10"/>
  <c r="AI18" i="10" s="1"/>
  <c r="AG55" i="9" s="1"/>
  <c r="AS14" i="10"/>
  <c r="AS5" i="9"/>
  <c r="Q5" i="9"/>
  <c r="R13" i="10" s="1"/>
  <c r="R5" i="9" s="1"/>
  <c r="Q11" i="10"/>
  <c r="Q12" i="10" s="1"/>
  <c r="Q14" i="10" s="1"/>
  <c r="Q16" i="10" s="1"/>
  <c r="Q17" i="10" s="1"/>
  <c r="Q18" i="10" s="1"/>
  <c r="Q13" i="9"/>
  <c r="Q29" i="9"/>
  <c r="R11" i="10"/>
  <c r="R12" i="10" s="1"/>
  <c r="R29" i="9"/>
  <c r="R13" i="9"/>
  <c r="N53" i="9"/>
  <c r="P21" i="9" s="1"/>
  <c r="P22" i="9" s="1"/>
  <c r="P34" i="9" s="1"/>
  <c r="P16" i="9" s="1"/>
  <c r="P17" i="9" s="1"/>
  <c r="G21" i="9"/>
  <c r="G33" i="9" s="1"/>
  <c r="G17" i="10"/>
  <c r="G18" i="10" s="1"/>
  <c r="H20" i="9" s="1"/>
  <c r="H21" i="9" s="1"/>
  <c r="H33" i="9" s="1"/>
  <c r="F16" i="9"/>
  <c r="G5" i="9"/>
  <c r="BC8" i="9" l="1"/>
  <c r="AQ22" i="9"/>
  <c r="AQ23" i="9" s="1"/>
  <c r="AQ34" i="9" s="1"/>
  <c r="AQ17" i="9" s="1"/>
  <c r="AQ18" i="9" s="1"/>
  <c r="AJ17" i="10"/>
  <c r="AJ18" i="10" s="1"/>
  <c r="AH55" i="9" s="1"/>
  <c r="Q17" i="12"/>
  <c r="Q18" i="12" s="1"/>
  <c r="U14" i="12"/>
  <c r="AZ55" i="9"/>
  <c r="BB23" i="9" s="1"/>
  <c r="BB24" i="9" s="1"/>
  <c r="BB35" i="9" s="1"/>
  <c r="BB17" i="9" s="1"/>
  <c r="AQ14" i="12"/>
  <c r="AL19" i="12" s="1"/>
  <c r="AL20" i="12" s="1"/>
  <c r="AL22" i="12" s="1"/>
  <c r="AL23" i="12" s="1"/>
  <c r="AS16" i="10"/>
  <c r="AS17" i="10" s="1"/>
  <c r="AS18" i="10" s="1"/>
  <c r="AI6" i="12"/>
  <c r="AB7" i="12"/>
  <c r="AB8" i="12" s="1"/>
  <c r="AB12" i="12" s="1"/>
  <c r="AR17" i="10"/>
  <c r="AR18" i="10" s="1"/>
  <c r="BC18" i="10"/>
  <c r="R14" i="10"/>
  <c r="R16" i="10" s="1"/>
  <c r="R17" i="10" s="1"/>
  <c r="R18" i="10" s="1"/>
  <c r="P53" i="9" s="1"/>
  <c r="O53" i="9"/>
  <c r="Q21" i="9" s="1"/>
  <c r="Q22" i="9" s="1"/>
  <c r="Q34" i="9" s="1"/>
  <c r="Q16" i="9" s="1"/>
  <c r="Q17" i="9" s="1"/>
  <c r="H13" i="10"/>
  <c r="H11" i="10" s="1"/>
  <c r="H12" i="10" s="1"/>
  <c r="H14" i="10" s="1"/>
  <c r="H16" i="10" s="1"/>
  <c r="G16" i="9"/>
  <c r="AL26" i="12" l="1"/>
  <c r="AS8" i="9"/>
  <c r="AR22" i="9"/>
  <c r="AB14" i="12"/>
  <c r="X19" i="12" s="1"/>
  <c r="X17" i="12"/>
  <c r="X18" i="12" s="1"/>
  <c r="BA55" i="9"/>
  <c r="BC23" i="9"/>
  <c r="BC24" i="9" s="1"/>
  <c r="BC35" i="9" s="1"/>
  <c r="BC17" i="9" s="1"/>
  <c r="AI7" i="12"/>
  <c r="AI8" i="12" s="1"/>
  <c r="AI12" i="12" s="1"/>
  <c r="R21" i="9"/>
  <c r="R22" i="9" s="1"/>
  <c r="R34" i="9" s="1"/>
  <c r="R16" i="9" s="1"/>
  <c r="R17" i="9" s="1"/>
  <c r="H17" i="10"/>
  <c r="H18" i="10" s="1"/>
  <c r="H5" i="9"/>
  <c r="H16" i="9" s="1"/>
  <c r="B34" i="9"/>
  <c r="M17" i="9"/>
  <c r="AE17" i="12" l="1"/>
  <c r="AE18" i="12" s="1"/>
  <c r="AI14" i="12"/>
  <c r="AE19" i="12" s="1"/>
  <c r="AR23" i="9"/>
  <c r="AS22" i="9"/>
  <c r="AS23" i="9" s="1"/>
  <c r="AS34" i="9" s="1"/>
  <c r="AS17" i="9" s="1"/>
  <c r="AS18" i="9" s="1"/>
  <c r="X20" i="12"/>
  <c r="X22" i="12" s="1"/>
  <c r="X23" i="12" s="1"/>
  <c r="W14" i="10"/>
  <c r="Q6" i="12" s="1"/>
  <c r="Q8" i="12" s="1"/>
  <c r="Q12" i="12" s="1"/>
  <c r="Q14" i="12" s="1"/>
  <c r="Q19" i="12" s="1"/>
  <c r="Q20" i="12" s="1"/>
  <c r="Q22" i="12" s="1"/>
  <c r="Q23" i="12" s="1"/>
  <c r="X26" i="12" l="1"/>
  <c r="Q26" i="12"/>
  <c r="AE20" i="12"/>
  <c r="AE22" i="12" s="1"/>
  <c r="AE23" i="12" s="1"/>
  <c r="AR34" i="9"/>
  <c r="AR17" i="9" s="1"/>
  <c r="AR18" i="9" s="1"/>
  <c r="W15" i="10"/>
  <c r="W16" i="10" s="1"/>
  <c r="W18" i="10" s="1"/>
  <c r="AE26" i="12" l="1"/>
  <c r="X15" i="10"/>
  <c r="X16" i="10" s="1"/>
  <c r="X17" i="10" s="1"/>
  <c r="W17" i="10"/>
  <c r="U55" i="9"/>
  <c r="W21" i="9" s="1"/>
  <c r="X18" i="10" l="1"/>
  <c r="W22" i="9"/>
  <c r="W33" i="9" s="1"/>
  <c r="Y15" i="10"/>
  <c r="Y16" i="10" s="1"/>
  <c r="Y17" i="10" s="1"/>
  <c r="Y18" i="10" s="1"/>
  <c r="V55" i="9" l="1"/>
  <c r="X21" i="9" s="1"/>
  <c r="X22" i="9" s="1"/>
  <c r="X33" i="9" s="1"/>
  <c r="W55" i="9"/>
  <c r="AA15" i="10"/>
  <c r="AA16" i="10" s="1"/>
  <c r="Z15" i="10"/>
  <c r="Z16" i="10" s="1"/>
  <c r="Y21" i="9" l="1"/>
  <c r="Y22" i="9"/>
  <c r="Y33" i="9" s="1"/>
  <c r="AA17" i="10"/>
  <c r="AA18" i="10" s="1"/>
  <c r="Y55" i="9" s="1"/>
  <c r="Z17" i="10"/>
  <c r="Z18" i="10" s="1"/>
  <c r="X55" i="9" l="1"/>
  <c r="Z21" i="9" s="1"/>
  <c r="AA21" i="9" l="1"/>
  <c r="AA22" i="9" s="1"/>
  <c r="AA33" i="9" s="1"/>
  <c r="Z22" i="9"/>
  <c r="Z17" i="9"/>
  <c r="AA17" i="9"/>
  <c r="X17" i="9"/>
  <c r="X36" i="9" s="1"/>
  <c r="Y17" i="9"/>
  <c r="Y36" i="9" s="1"/>
  <c r="W17" i="9"/>
  <c r="W36" i="9" s="1"/>
  <c r="AA36" i="9" l="1"/>
  <c r="Z33" i="9"/>
  <c r="Z36" i="9"/>
  <c r="AF15" i="10" l="1"/>
  <c r="AF16" i="10" s="1"/>
  <c r="AF17" i="10" l="1"/>
  <c r="AF18" i="10" s="1"/>
  <c r="AF8" i="9"/>
  <c r="AD55" i="9" l="1"/>
  <c r="AF22" i="9" s="1"/>
  <c r="AF23" i="9" l="1"/>
  <c r="AG22" i="9"/>
  <c r="AF34" i="9" l="1"/>
  <c r="AF17" i="9" s="1"/>
  <c r="AF18" i="9" s="1"/>
  <c r="AG23" i="9"/>
  <c r="AG34" i="9" s="1"/>
  <c r="AG17" i="9" s="1"/>
  <c r="AG18" i="9" s="1"/>
  <c r="AH22" i="9"/>
  <c r="AH23" i="9" l="1"/>
  <c r="AH34" i="9" s="1"/>
  <c r="AH17" i="9" s="1"/>
  <c r="AH18" i="9" s="1"/>
  <c r="AI22" i="9"/>
  <c r="AJ22" i="9" l="1"/>
  <c r="AJ23" i="9" s="1"/>
  <c r="AJ34" i="9" s="1"/>
  <c r="AJ17" i="9" s="1"/>
  <c r="AJ18" i="9" s="1"/>
  <c r="AI23" i="9"/>
  <c r="AI34" i="9" l="1"/>
  <c r="AI17" i="9" s="1"/>
  <c r="AI18" i="9" s="1"/>
  <c r="AX19" i="9"/>
  <c r="AY19" i="9"/>
  <c r="AZ19" i="9"/>
  <c r="BA19" i="9"/>
  <c r="BC19" i="9"/>
  <c r="BB19"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4"/>
        </ext>
      </extLst>
    </bk>
    <bk>
      <extLst>
        <ext uri="{3e2802c4-a4d2-4d8b-9148-e3be6c30e623}">
          <xlrd:rvb i="25"/>
        </ext>
      </extLst>
    </bk>
  </futureMetadata>
  <cellMetadata count="1">
    <bk>
      <rc t="1" v="0"/>
    </bk>
  </cellMetadata>
  <valueMetadata count="14">
    <bk>
      <rc t="2" v="0"/>
    </bk>
    <bk>
      <rc t="2" v="1"/>
    </bk>
    <bk>
      <rc t="2" v="2"/>
    </bk>
    <bk>
      <rc t="2" v="3"/>
    </bk>
    <bk>
      <rc t="2" v="4"/>
    </bk>
    <bk>
      <rc t="2" v="5"/>
    </bk>
    <bk>
      <rc t="2" v="6"/>
    </bk>
    <bk>
      <rc t="2" v="7"/>
    </bk>
    <bk>
      <rc t="2" v="8"/>
    </bk>
    <bk>
      <rc t="2" v="9"/>
    </bk>
    <bk>
      <rc t="2" v="10"/>
    </bk>
    <bk>
      <rc t="2" v="11"/>
    </bk>
    <bk>
      <rc t="2" v="12"/>
    </bk>
    <bk>
      <rc t="2" v="13"/>
    </bk>
  </valueMetadata>
</metadata>
</file>

<file path=xl/sharedStrings.xml><?xml version="1.0" encoding="utf-8"?>
<sst xmlns="http://schemas.openxmlformats.org/spreadsheetml/2006/main" count="2428" uniqueCount="667">
  <si>
    <t>Company</t>
  </si>
  <si>
    <t>Particulars</t>
  </si>
  <si>
    <t>Official Name</t>
  </si>
  <si>
    <t>Ticker Symbol</t>
  </si>
  <si>
    <t>Year of Corporation</t>
  </si>
  <si>
    <t>Employees count</t>
  </si>
  <si>
    <t>Shares outstanding</t>
  </si>
  <si>
    <t>Share Price</t>
  </si>
  <si>
    <t>Market Cap</t>
  </si>
  <si>
    <t>Beta</t>
  </si>
  <si>
    <t>Change (%)</t>
  </si>
  <si>
    <t>Industry</t>
  </si>
  <si>
    <t>Assets</t>
  </si>
  <si>
    <t>Non-current Assets</t>
  </si>
  <si>
    <t>Property, plant and equipment</t>
  </si>
  <si>
    <t>Capital work in progress</t>
  </si>
  <si>
    <t>Right of use assets</t>
  </si>
  <si>
    <t>Investment Properties</t>
  </si>
  <si>
    <t>Goodwill</t>
  </si>
  <si>
    <t>Intangible assets</t>
  </si>
  <si>
    <t>Financial Assets</t>
  </si>
  <si>
    <t>Other non-current financial assets</t>
  </si>
  <si>
    <t>Investments</t>
  </si>
  <si>
    <t>Income tax assets (net)</t>
  </si>
  <si>
    <t>Deferred tax assets (net)</t>
  </si>
  <si>
    <t>Other non-current assets</t>
  </si>
  <si>
    <t>Total non-current Assets</t>
  </si>
  <si>
    <t>2020</t>
  </si>
  <si>
    <t>2021</t>
  </si>
  <si>
    <t>2022</t>
  </si>
  <si>
    <t>2023</t>
  </si>
  <si>
    <t>2024</t>
  </si>
  <si>
    <t>2025</t>
  </si>
  <si>
    <t>Current Assets</t>
  </si>
  <si>
    <t>Inventories</t>
  </si>
  <si>
    <t>Trade receivables</t>
  </si>
  <si>
    <t>Cash and cash equivalents</t>
  </si>
  <si>
    <t>Bank balances other cash &amp; cash equiv.</t>
  </si>
  <si>
    <t>Other current financial assets</t>
  </si>
  <si>
    <t>Other current assets</t>
  </si>
  <si>
    <t>Total current assets</t>
  </si>
  <si>
    <t>Equity and Liabilities</t>
  </si>
  <si>
    <t xml:space="preserve">Equity </t>
  </si>
  <si>
    <t>Equity Share capital</t>
  </si>
  <si>
    <t>Other equity</t>
  </si>
  <si>
    <t>Equity attributable to equity holders of the parent</t>
  </si>
  <si>
    <t>Non-controlling interest</t>
  </si>
  <si>
    <t>Total equity</t>
  </si>
  <si>
    <t>Liabilities</t>
  </si>
  <si>
    <t>Non-current liabilities</t>
  </si>
  <si>
    <t>Financial Liabilities</t>
  </si>
  <si>
    <t>Borrowings</t>
  </si>
  <si>
    <t>Lease Liability</t>
  </si>
  <si>
    <t>Other non-current financial liabilities</t>
  </si>
  <si>
    <t>Provisions</t>
  </si>
  <si>
    <t>Deferred tax liabilities (net)</t>
  </si>
  <si>
    <t>Total non-current liabilities</t>
  </si>
  <si>
    <t>Current Liabilities</t>
  </si>
  <si>
    <t>Trade payables due to micro and small enterprises</t>
  </si>
  <si>
    <t>TP other than micro and small enterprises</t>
  </si>
  <si>
    <t>Other current financial liabilities</t>
  </si>
  <si>
    <t>Current tax liabilities</t>
  </si>
  <si>
    <t>Total current liabilities</t>
  </si>
  <si>
    <t>Total equity and Liabilities</t>
  </si>
  <si>
    <t>Total Assets</t>
  </si>
  <si>
    <t>Other current liabilities</t>
  </si>
  <si>
    <t>Non-current assets</t>
  </si>
  <si>
    <t>Other intangible assets</t>
  </si>
  <si>
    <t>Goodwill on consideration</t>
  </si>
  <si>
    <t>Financial assets</t>
  </si>
  <si>
    <t>Loans</t>
  </si>
  <si>
    <t>Other financial assets</t>
  </si>
  <si>
    <t>Non-current tax assets (net)</t>
  </si>
  <si>
    <t>Total non-current assets</t>
  </si>
  <si>
    <t>Bank balances other than cash and cash equivalents</t>
  </si>
  <si>
    <t>Assets held for sale</t>
  </si>
  <si>
    <t>Total assets</t>
  </si>
  <si>
    <t>Equity share capital</t>
  </si>
  <si>
    <t>Other financial liabilities</t>
  </si>
  <si>
    <t>Non-current tax liabilities (net)</t>
  </si>
  <si>
    <t>Current liabilities</t>
  </si>
  <si>
    <t>TP total outstanding dues of micro and small enterprises</t>
  </si>
  <si>
    <t>TP total outstanding dues of creditors other than above</t>
  </si>
  <si>
    <t>Total equity and liabilities</t>
  </si>
  <si>
    <t>Lease liabilities</t>
  </si>
  <si>
    <t xml:space="preserve">Deferred tax liabilities </t>
  </si>
  <si>
    <t>Investment property</t>
  </si>
  <si>
    <t>Other tangible assets</t>
  </si>
  <si>
    <t>Intangible assets under development</t>
  </si>
  <si>
    <t>Investment accounted for using the equity method</t>
  </si>
  <si>
    <t>Others</t>
  </si>
  <si>
    <t>Biological assets other than bearer plants</t>
  </si>
  <si>
    <t>Other bank balances</t>
  </si>
  <si>
    <t>Attributale to the owners of the parent</t>
  </si>
  <si>
    <t>Other non-current liabilities</t>
  </si>
  <si>
    <t>TP outstanding dues of micro enterprises and small ent</t>
  </si>
  <si>
    <t>Total outstanding dues of creditors other than above</t>
  </si>
  <si>
    <t>Current tax liabilities (net)</t>
  </si>
  <si>
    <t>Loans receivables</t>
  </si>
  <si>
    <t>Balances other than above</t>
  </si>
  <si>
    <t>Others financial assets</t>
  </si>
  <si>
    <t>Attributable to the owners</t>
  </si>
  <si>
    <t>Non controlling interest</t>
  </si>
  <si>
    <t>Deferred tax liability (net)</t>
  </si>
  <si>
    <t>Gold on loan</t>
  </si>
  <si>
    <t>TP outstandings dues of micro and small ent</t>
  </si>
  <si>
    <t>Outstanding dues creditors other than above</t>
  </si>
  <si>
    <t>Goodwill on consolidation</t>
  </si>
  <si>
    <t>Loan considered good-unsecured</t>
  </si>
  <si>
    <t>Trade receivables considered good-unsecured</t>
  </si>
  <si>
    <t>Credit impaired</t>
  </si>
  <si>
    <t>Bank balances</t>
  </si>
  <si>
    <t>Loans receivables considered good- Secured</t>
  </si>
  <si>
    <t>Unsecured</t>
  </si>
  <si>
    <t>Current tax assets (net)</t>
  </si>
  <si>
    <t>Assets held under sale</t>
  </si>
  <si>
    <t>TP outstanding dues of micro and small ent</t>
  </si>
  <si>
    <t>TP outstanding dues of creditors other than above</t>
  </si>
  <si>
    <t>Total liabilities</t>
  </si>
  <si>
    <t>Lease Liabilities</t>
  </si>
  <si>
    <t>Investment in associate</t>
  </si>
  <si>
    <t>Other non current assets</t>
  </si>
  <si>
    <t>TP outstanding dues other than above</t>
  </si>
  <si>
    <t>Income</t>
  </si>
  <si>
    <t>Revenue from operations</t>
  </si>
  <si>
    <t>Other income</t>
  </si>
  <si>
    <t>Total income</t>
  </si>
  <si>
    <t>Expenses</t>
  </si>
  <si>
    <t>Purchase of stock-in-trade</t>
  </si>
  <si>
    <t>Changes in inventories of stock in trade</t>
  </si>
  <si>
    <t>Employee benefit expenses</t>
  </si>
  <si>
    <t>Finance costs</t>
  </si>
  <si>
    <t>Depreciation and amortisation</t>
  </si>
  <si>
    <t>Other expenses</t>
  </si>
  <si>
    <t>Total expenses</t>
  </si>
  <si>
    <t>Profit before tax</t>
  </si>
  <si>
    <t>Tax expense</t>
  </si>
  <si>
    <t>Current tax</t>
  </si>
  <si>
    <t>Deferred tax</t>
  </si>
  <si>
    <t>Adjustment of tax related to earlier yrs</t>
  </si>
  <si>
    <t>Total Tax expenses</t>
  </si>
  <si>
    <t>Net profit after tax</t>
  </si>
  <si>
    <t>Cost of materials consumed</t>
  </si>
  <si>
    <t>Purchases of stock-in-trade</t>
  </si>
  <si>
    <t>Changes in inventories of finished goods and WIP</t>
  </si>
  <si>
    <t>Depreciation and amortisation expense</t>
  </si>
  <si>
    <t>Profit before exceptional items and tax</t>
  </si>
  <si>
    <t>Exceptional items</t>
  </si>
  <si>
    <t>Profit before tax from continuing operations</t>
  </si>
  <si>
    <t>Tax expenses</t>
  </si>
  <si>
    <t>Deferred tax credit/charge</t>
  </si>
  <si>
    <t>Total tax expense</t>
  </si>
  <si>
    <t>Profit after tax from continuing operations</t>
  </si>
  <si>
    <t>Profit/Loss from discontinued operations before tax</t>
  </si>
  <si>
    <t>Tax expenses of discontinued operations</t>
  </si>
  <si>
    <t>Profit/Loss from discontinued operations after tax</t>
  </si>
  <si>
    <t>Profit for the year</t>
  </si>
  <si>
    <t>Income Statement</t>
  </si>
  <si>
    <t>Changes in inventories of finished goods, SIT and WIP</t>
  </si>
  <si>
    <t>Excise duty</t>
  </si>
  <si>
    <t>Employee benefits expense</t>
  </si>
  <si>
    <t>Share of profit/loss of associates and joint venture</t>
  </si>
  <si>
    <t>Profit for the year from continuing operations</t>
  </si>
  <si>
    <t>Profit before exceptional items and tax from dis cont opt</t>
  </si>
  <si>
    <t>Exceptional items of discontinued operations</t>
  </si>
  <si>
    <t>Tax expense of discontinued operations</t>
  </si>
  <si>
    <t>Profit for the year from discontinuing operations</t>
  </si>
  <si>
    <t>Cost of materials and components consumed</t>
  </si>
  <si>
    <t>Changes in inventories of finished goods, SIT, WIP</t>
  </si>
  <si>
    <t>Employee benefit expense</t>
  </si>
  <si>
    <t>Profit before share of profit/loss of an associate and JV</t>
  </si>
  <si>
    <t>Share of profit/loss of:</t>
  </si>
  <si>
    <t>Associate</t>
  </si>
  <si>
    <t>Joint venture</t>
  </si>
  <si>
    <t xml:space="preserve">Profit before tax </t>
  </si>
  <si>
    <t>Total tax</t>
  </si>
  <si>
    <t>Tax expense of earlier year</t>
  </si>
  <si>
    <t>Changes in inventories of stock-in-trade</t>
  </si>
  <si>
    <t>Finance cost</t>
  </si>
  <si>
    <t>Profit/Loss before tax</t>
  </si>
  <si>
    <t>Profit/Loss before exceptional items and tax</t>
  </si>
  <si>
    <t>Share in profit and loss of associates</t>
  </si>
  <si>
    <t>Profit/Loss before tax after exceptional items and tax</t>
  </si>
  <si>
    <t>Short/Excess provision for tax</t>
  </si>
  <si>
    <t>Profit/Loss for the year</t>
  </si>
  <si>
    <t>Cost of material consumed</t>
  </si>
  <si>
    <t>Profit before share of profit in associate, exceptional items and tax</t>
  </si>
  <si>
    <t>Share of profit in associate</t>
  </si>
  <si>
    <t>Profit before tax exceptional items and tax</t>
  </si>
  <si>
    <t>Adjustment of tax relating to earlier periods</t>
  </si>
  <si>
    <t>Deferred tax credit/expense</t>
  </si>
  <si>
    <t>Cash flow Statement</t>
  </si>
  <si>
    <t>Cash flow from operating activities</t>
  </si>
  <si>
    <t>Adjustments for:</t>
  </si>
  <si>
    <t>Depreciation and amortisation expenses</t>
  </si>
  <si>
    <t>Interest income</t>
  </si>
  <si>
    <t>Profit on sale of investment</t>
  </si>
  <si>
    <t>Expense on employee stock option scheme</t>
  </si>
  <si>
    <t>Rent income</t>
  </si>
  <si>
    <t>Gain/Loss on disposal of sale of PPE (net)</t>
  </si>
  <si>
    <t>Operating profit before working capital changes</t>
  </si>
  <si>
    <t>Increase/decrease in trade payables</t>
  </si>
  <si>
    <t>Increase/decrease in current provisions</t>
  </si>
  <si>
    <t>Decrease in other current financial liabilities</t>
  </si>
  <si>
    <t>Increase/decrease in other current liabilities</t>
  </si>
  <si>
    <t>Increase in non-current provisions</t>
  </si>
  <si>
    <t>Decrease in other non-current financial liabilities</t>
  </si>
  <si>
    <t>Increase/decrease in trade receivables</t>
  </si>
  <si>
    <t>Increase in inventories</t>
  </si>
  <si>
    <t>Decrease in current investments</t>
  </si>
  <si>
    <t>Increase/decrease in other non current financial assets</t>
  </si>
  <si>
    <t>Increase in bank balances other than cash and cash equiv</t>
  </si>
  <si>
    <t>Increase in other current assets</t>
  </si>
  <si>
    <t>Increase in other financial assets</t>
  </si>
  <si>
    <t>Direct taxes paid</t>
  </si>
  <si>
    <t>Net cash flow from operating activities</t>
  </si>
  <si>
    <t>Cash flow from investing activities</t>
  </si>
  <si>
    <t>Proceeds from disposal of PPE</t>
  </si>
  <si>
    <t>Realisation from FDs of IPO proceeds</t>
  </si>
  <si>
    <t>Realisation from FDs of QIP proceeds</t>
  </si>
  <si>
    <t>Interest received</t>
  </si>
  <si>
    <t>Gain on sale of investments</t>
  </si>
  <si>
    <t>Rent income received</t>
  </si>
  <si>
    <t>Total</t>
  </si>
  <si>
    <t>Purchase of PPE, intangible assets, investment property</t>
  </si>
  <si>
    <t>QIP proceeds deposited FDs</t>
  </si>
  <si>
    <t>Net cash flow from/used in investing activities</t>
  </si>
  <si>
    <t>Cash flow from financing activities</t>
  </si>
  <si>
    <t xml:space="preserve">Proceeds from issue of QIP </t>
  </si>
  <si>
    <t>Proceeds from exercise of share options</t>
  </si>
  <si>
    <t>Proceeds from long term borrowings</t>
  </si>
  <si>
    <t>Proceeds from short term borrowings</t>
  </si>
  <si>
    <t>Proceeds from commercial papers</t>
  </si>
  <si>
    <t>Proceeds of non convertible debentures</t>
  </si>
  <si>
    <t>Repayment of long term borrowings</t>
  </si>
  <si>
    <t>Repayment of short term borrowings</t>
  </si>
  <si>
    <t>Repayment of commercial papers</t>
  </si>
  <si>
    <t>Repayment of non convertible debentures</t>
  </si>
  <si>
    <t>Payment of lease liability</t>
  </si>
  <si>
    <t>Interest paid on lease liability</t>
  </si>
  <si>
    <t>Interest paid</t>
  </si>
  <si>
    <t>Cash flow from/used in financing activities</t>
  </si>
  <si>
    <t>Net increase/decrease in cash and cash equivalent</t>
  </si>
  <si>
    <t>Cash and cash equivalents at the beginning of the year</t>
  </si>
  <si>
    <t>Cash and cash equivalents at the end of year</t>
  </si>
  <si>
    <t>Increase in other non-current assets</t>
  </si>
  <si>
    <t>Purchase of non-current investments</t>
  </si>
  <si>
    <t>Proceeds from sale of current investments</t>
  </si>
  <si>
    <t>Purchase of current investments</t>
  </si>
  <si>
    <t>Profit/Loss on sale of PPE</t>
  </si>
  <si>
    <t>Contingent consideration true up for business combination</t>
  </si>
  <si>
    <t>Fair value gain on financial liability on acquisition</t>
  </si>
  <si>
    <t>Finance income</t>
  </si>
  <si>
    <t>Dividend income</t>
  </si>
  <si>
    <t>Other non operating income- fair value gain on investments</t>
  </si>
  <si>
    <t>Interest expense</t>
  </si>
  <si>
    <t>Movement in provision towards litigation</t>
  </si>
  <si>
    <t>Provision for expenses on employee stock option</t>
  </si>
  <si>
    <t>Profit on sale of brand rights</t>
  </si>
  <si>
    <t>Payment from retirement benefit scheme reserve</t>
  </si>
  <si>
    <t>Share of loss of joint venture</t>
  </si>
  <si>
    <t>Transaction cost from acquisition</t>
  </si>
  <si>
    <t>Inventory written off net of provision for inventory</t>
  </si>
  <si>
    <t>Bad debts/asset written off net of provision/write back</t>
  </si>
  <si>
    <t>Mark-to-market gain/loss on derivative financial instruments</t>
  </si>
  <si>
    <t>Increase/decrease in Non-current assets</t>
  </si>
  <si>
    <t>Increase/decrease in Current assets</t>
  </si>
  <si>
    <t>Increase/decrease in Inventories</t>
  </si>
  <si>
    <t>Increase/decrease in Non-current liabilities</t>
  </si>
  <si>
    <t>Increase/decrease in current liabilities</t>
  </si>
  <si>
    <t>Cash flows generated from operations</t>
  </si>
  <si>
    <t>Taxes paid, net of refunds</t>
  </si>
  <si>
    <t>Net cash flow generated/used in operating activities</t>
  </si>
  <si>
    <t>Cash flow from Investing activities</t>
  </si>
  <si>
    <t>Purchase of PPE</t>
  </si>
  <si>
    <t>Sale proceeds of PPE</t>
  </si>
  <si>
    <t>Purchase of intangible assets</t>
  </si>
  <si>
    <t>Sale proceeds of intangible assets</t>
  </si>
  <si>
    <t>Investments in subsidiary</t>
  </si>
  <si>
    <t>Transaction cost on acquisition</t>
  </si>
  <si>
    <t>Investment in joint venture</t>
  </si>
  <si>
    <t>Continegent consideration paid on business combination</t>
  </si>
  <si>
    <t>Sale proceeds of current investments</t>
  </si>
  <si>
    <t>Loans repaid/given to othes</t>
  </si>
  <si>
    <t xml:space="preserve">Investment in term deposits </t>
  </si>
  <si>
    <t>Redemption/maturity of term deposits</t>
  </si>
  <si>
    <t>Dividend received</t>
  </si>
  <si>
    <t>Net cash flow from/used in Investing activities</t>
  </si>
  <si>
    <t>Cash flow from Financing activities</t>
  </si>
  <si>
    <t>Dividend paid</t>
  </si>
  <si>
    <t>Amount taken for short term purpose</t>
  </si>
  <si>
    <t>Repayment of amount taken for short term purpose</t>
  </si>
  <si>
    <t>Borrowings repaid</t>
  </si>
  <si>
    <t>Principal payments of lease liabilities</t>
  </si>
  <si>
    <t>Interest paid on lease liabilities</t>
  </si>
  <si>
    <t>Interest paid other than on lease liabilities</t>
  </si>
  <si>
    <t>Employee stock options paid</t>
  </si>
  <si>
    <t>Net cash flows used in financing activities</t>
  </si>
  <si>
    <t>Net increase/decrease in cash and cash equivalents</t>
  </si>
  <si>
    <t>Cash required under business combination</t>
  </si>
  <si>
    <t>Cash and cash equivalents at the end of the year</t>
  </si>
  <si>
    <t>Government grants accrued (net)</t>
  </si>
  <si>
    <t>Dividend distribution tax paid</t>
  </si>
  <si>
    <t>Stamp duty payment on issue of equity shares</t>
  </si>
  <si>
    <t>Adjustemnts for:</t>
  </si>
  <si>
    <t>Share based payments to employees</t>
  </si>
  <si>
    <t>Loss on sale of PPE, lease termination -Net</t>
  </si>
  <si>
    <t>Doubtful and bad debts</t>
  </si>
  <si>
    <t>Doubtful and bad advances, loans and deposits</t>
  </si>
  <si>
    <t>Share of profit/loss of associates and JV</t>
  </si>
  <si>
    <t>Net gain/loss arising on fin instruments mandatorily measured at fair value</t>
  </si>
  <si>
    <t>Foreign currency translations and transactions -Net</t>
  </si>
  <si>
    <t>Impairment of investment in Joint ventures</t>
  </si>
  <si>
    <t>Trade receivables, advances and other assets</t>
  </si>
  <si>
    <t>Inventories and biological assets other than bearer plants</t>
  </si>
  <si>
    <t>Trade payables, other liabilities and provisions</t>
  </si>
  <si>
    <t>Income tax paid</t>
  </si>
  <si>
    <t>Cash generated from operations</t>
  </si>
  <si>
    <t>Net cash from/used in operating activities</t>
  </si>
  <si>
    <t xml:space="preserve">Purchase of PPE, intangibles and ROU </t>
  </si>
  <si>
    <t>Sale of PPE</t>
  </si>
  <si>
    <t>Sale/redemption of current investments</t>
  </si>
  <si>
    <t>Redemption proceeds of non-current investments</t>
  </si>
  <si>
    <t>Payment towards business combination</t>
  </si>
  <si>
    <t>Dividend from associates and joint ventures</t>
  </si>
  <si>
    <t>Dividend from others</t>
  </si>
  <si>
    <t>Investment in bank deposits</t>
  </si>
  <si>
    <t>Redemption/maturity of bank deposits</t>
  </si>
  <si>
    <t>Investment in deposit with housing finance companies</t>
  </si>
  <si>
    <t>Loans given</t>
  </si>
  <si>
    <t>Loans realised</t>
  </si>
  <si>
    <t>Net cash from/used in Investing activities</t>
  </si>
  <si>
    <t>Proceeds from issue of share capital</t>
  </si>
  <si>
    <t>Repayment of non-current borrowings</t>
  </si>
  <si>
    <t>Payment of lease liabilities</t>
  </si>
  <si>
    <t>Net increase/decrease in statutory restricted accounts balances</t>
  </si>
  <si>
    <t>Dividends paid</t>
  </si>
  <si>
    <t>Dividend distribution tax paid/refund received</t>
  </si>
  <si>
    <t>Net cash from/used in Financing activities</t>
  </si>
  <si>
    <t>Ne increase/decrease in cash and cash equivalents</t>
  </si>
  <si>
    <t>Opening cash and cash equivalents</t>
  </si>
  <si>
    <t>Cash and cash equivalents acquired on business combination</t>
  </si>
  <si>
    <t>Closing cash and cash equivalents</t>
  </si>
  <si>
    <t>Redemption/maturity of deposits with HFCs</t>
  </si>
  <si>
    <t>Gain realised on disinvestment of shares held in joint venture</t>
  </si>
  <si>
    <t>Gain recognised on fair valuation of net assets distributed pursuant</t>
  </si>
  <si>
    <t>Inventory write-offs/write downs (net of reversals)</t>
  </si>
  <si>
    <t>Proceeds from current borrowings</t>
  </si>
  <si>
    <t>Repayment of current borrowings</t>
  </si>
  <si>
    <t>Net unrealised exchange gain/loss</t>
  </si>
  <si>
    <t>Share of profit/loss of associate and JV</t>
  </si>
  <si>
    <t>Loss on sale/disposal/scrapping of PPE (net)</t>
  </si>
  <si>
    <t>Provision for doubtful TR (net) and bad TR WO</t>
  </si>
  <si>
    <t>Provision for asset write off of a subsidiary</t>
  </si>
  <si>
    <t xml:space="preserve">Gain on investments carried at fair value </t>
  </si>
  <si>
    <t>Gain on investment in joint venture</t>
  </si>
  <si>
    <t>Gain on pre-closure of lease contracts</t>
  </si>
  <si>
    <t>Rent waiver</t>
  </si>
  <si>
    <t>Increase/decrease in inventories</t>
  </si>
  <si>
    <t>Increase/decrease in financial assets loan rec</t>
  </si>
  <si>
    <t>increase/decrease in other financial assets</t>
  </si>
  <si>
    <t>increase/decrease in other assets</t>
  </si>
  <si>
    <t>increase/decrease in gold loan</t>
  </si>
  <si>
    <t>increase/decrease in trade payables</t>
  </si>
  <si>
    <t>increase/decrease in other financial liabilities</t>
  </si>
  <si>
    <t>increase/decrease in other liabilities</t>
  </si>
  <si>
    <t>increase/decrease in provisions</t>
  </si>
  <si>
    <t xml:space="preserve">Cash generated from operating activities </t>
  </si>
  <si>
    <t>Direct taxes</t>
  </si>
  <si>
    <t>Net cash generated from/used in operating activities</t>
  </si>
  <si>
    <t>Proceeds from sale of PPE</t>
  </si>
  <si>
    <t>Investment in non convertible debentures</t>
  </si>
  <si>
    <t>Inter-corporate deposits placed</t>
  </si>
  <si>
    <t>Proceeds from inter-corporate deposits</t>
  </si>
  <si>
    <t>Bank deposits placed/matured</t>
  </si>
  <si>
    <t>Proceeds from sale of investment in JV</t>
  </si>
  <si>
    <t>Purchase of investment in subsidiaries, JV and equity</t>
  </si>
  <si>
    <t>Purchase of mutual funds</t>
  </si>
  <si>
    <t>Loan given to Group's franchisees and vendors</t>
  </si>
  <si>
    <t>Proceeds from loan given to group's franchisees and vendors</t>
  </si>
  <si>
    <t>Lease payments received from sub lease</t>
  </si>
  <si>
    <t>Net cash from/used in investing activities</t>
  </si>
  <si>
    <t>Repayment/proceeds from long term borrowings</t>
  </si>
  <si>
    <t>Repayment/proceeds from borrowings</t>
  </si>
  <si>
    <t>Dividends paid including dividend distribution tax</t>
  </si>
  <si>
    <t>Payment of lease liabilities excluding interest paid</t>
  </si>
  <si>
    <t>Finance costs paid</t>
  </si>
  <si>
    <t>Net cash from/used financing activities</t>
  </si>
  <si>
    <t>Opening balance</t>
  </si>
  <si>
    <t>Unrealised exchange gain/loss</t>
  </si>
  <si>
    <t>Closing balance</t>
  </si>
  <si>
    <t>Acquisition of treasury shares</t>
  </si>
  <si>
    <t>Acquisition of non controlling interest</t>
  </si>
  <si>
    <t>Acquisition of ESOP right</t>
  </si>
  <si>
    <t>Share based payments</t>
  </si>
  <si>
    <t>Cash flow from Operating activities</t>
  </si>
  <si>
    <t>Depreciation</t>
  </si>
  <si>
    <t>Amortisation of leasehold land</t>
  </si>
  <si>
    <t>Impairment loss</t>
  </si>
  <si>
    <t>Provision for doubtful debts and BD written off</t>
  </si>
  <si>
    <t>Finance income and cost (net)</t>
  </si>
  <si>
    <t>Profit/Loss on fixed assets sold/discarded (net)</t>
  </si>
  <si>
    <t>Profit/loss on sale of investments</t>
  </si>
  <si>
    <t>Income from investments</t>
  </si>
  <si>
    <t>Unrealised foreign exchange loss/gain</t>
  </si>
  <si>
    <t>Excess provision no longer required written back</t>
  </si>
  <si>
    <t>Share in profit and loss of JV and associates</t>
  </si>
  <si>
    <t>Changes in the fair value of investments</t>
  </si>
  <si>
    <t>Amortised cost of non convertible debentures</t>
  </si>
  <si>
    <t>Amortisation of deferred lease (income)</t>
  </si>
  <si>
    <t>Remeasurement of defined benefit plan</t>
  </si>
  <si>
    <t>Expired gift vouchers and credit notes written back</t>
  </si>
  <si>
    <t>Gain/Loss on lease termination</t>
  </si>
  <si>
    <t>Profit/loss before taxes and exceptional items</t>
  </si>
  <si>
    <t>increase/decrease in inventories</t>
  </si>
  <si>
    <t>increase/decrease in trade receivables &amp; other current assets</t>
  </si>
  <si>
    <t>increase/decrease in loans and other non-current assets</t>
  </si>
  <si>
    <t>increase/decrease in trade payables &amp; other current liabilities</t>
  </si>
  <si>
    <t>increase/decrease in non current liabilities</t>
  </si>
  <si>
    <t>Net cash from/used in Operating activities</t>
  </si>
  <si>
    <t>Purchase of PPE and investment property</t>
  </si>
  <si>
    <t>Sale of PPE and investment property</t>
  </si>
  <si>
    <t>Purchase of investments</t>
  </si>
  <si>
    <t>Sale of investments</t>
  </si>
  <si>
    <t>Repayment of loans given</t>
  </si>
  <si>
    <t>Purchase of/ subscription to investments in subsidiaries, JV and associates</t>
  </si>
  <si>
    <t>Dividend from investments in subsidiaries, JV and associates</t>
  </si>
  <si>
    <t>Dividend from investments</t>
  </si>
  <si>
    <t>Redemption of securities</t>
  </si>
  <si>
    <t>Issue of securities (net)</t>
  </si>
  <si>
    <t>Short term borrowings taken</t>
  </si>
  <si>
    <t>Net increase/decrease in Cash and cash equivalents</t>
  </si>
  <si>
    <t>Opening balance of cash and cash equivalents</t>
  </si>
  <si>
    <t>Cash and cash equivalents taken over on acquisition</t>
  </si>
  <si>
    <t>Closing balance of cash and cash equivalents</t>
  </si>
  <si>
    <t>Effect of exchange fluctuation on translation reserve</t>
  </si>
  <si>
    <t>Profit before tax and share of profit in associate</t>
  </si>
  <si>
    <t>Depreciation on PPE</t>
  </si>
  <si>
    <t>Amortisation of intangible assets</t>
  </si>
  <si>
    <t>Interest expense at amortised cost</t>
  </si>
  <si>
    <t>Interest income at amortised cost</t>
  </si>
  <si>
    <t>Dividend income from current investment</t>
  </si>
  <si>
    <t>Gain on acquisition of control over existing associate</t>
  </si>
  <si>
    <t>Profit on sale of current investments</t>
  </si>
  <si>
    <t>Excess provisions written back</t>
  </si>
  <si>
    <t>Loss/gain on disposal of PPE</t>
  </si>
  <si>
    <t>Bad debts and advances written off</t>
  </si>
  <si>
    <t>Allowance for expected credit loss</t>
  </si>
  <si>
    <t>Unrealised foreign exchange fluctuation</t>
  </si>
  <si>
    <t>Working capital adjustments</t>
  </si>
  <si>
    <t>Increase in trade receivables</t>
  </si>
  <si>
    <t>decrease/increase in current and non-current financial assets and other current and non-current assets</t>
  </si>
  <si>
    <t>Decrease/increase in current financial liabilities and other current and non-current liab and provisions</t>
  </si>
  <si>
    <t>Total cash from operations</t>
  </si>
  <si>
    <t>Net cash flows from/used in operating activities</t>
  </si>
  <si>
    <t>Investing activities</t>
  </si>
  <si>
    <t>Purchase of PPE and intangible assets</t>
  </si>
  <si>
    <t>Proceeds from disposal of PPE and intangible assets</t>
  </si>
  <si>
    <t>Change in advance received for capital assets</t>
  </si>
  <si>
    <t>Acquisition under business combination</t>
  </si>
  <si>
    <t>Purchase of investment in associate</t>
  </si>
  <si>
    <t>Government grant related to assets received</t>
  </si>
  <si>
    <t>Increase/decrease in other bank balances</t>
  </si>
  <si>
    <t>Net cash flows from/used in investing activities</t>
  </si>
  <si>
    <t>Financing activities</t>
  </si>
  <si>
    <t>Proceeds from long-term borrowings</t>
  </si>
  <si>
    <t>Repayment of long-term borrowings</t>
  </si>
  <si>
    <t>Repayment of lease liabilities</t>
  </si>
  <si>
    <t>Repayment of deferred payment liabilities</t>
  </si>
  <si>
    <t>Proceeds from short term borrowings (net)</t>
  </si>
  <si>
    <t>Share issue expenses paid</t>
  </si>
  <si>
    <t>Net cash used in/flows from financing activities</t>
  </si>
  <si>
    <t>Net change in cash and cash equivalents</t>
  </si>
  <si>
    <t>Cash and cash equivalents at the beginning of year</t>
  </si>
  <si>
    <t>Unrealised exchange loss on translation of cash and cash equivalents in subsidiary</t>
  </si>
  <si>
    <t xml:space="preserve">Common Size Income Statement </t>
  </si>
  <si>
    <t>Revenue (Net Sales)</t>
  </si>
  <si>
    <t>Cost of Goods sold</t>
  </si>
  <si>
    <t>Gross Profit</t>
  </si>
  <si>
    <t>Other expenses (Office, administrative &amp; operating)</t>
  </si>
  <si>
    <t>Depreciation &amp; Amortisation expenses</t>
  </si>
  <si>
    <t>EBITDA (Operating Profit)</t>
  </si>
  <si>
    <t xml:space="preserve">EBIT </t>
  </si>
  <si>
    <t>Profit before tax (PBT)</t>
  </si>
  <si>
    <t>Profit after tax (PAT)</t>
  </si>
  <si>
    <t>Common Size Balance Sheet</t>
  </si>
  <si>
    <t>Property, plant and Equipment</t>
  </si>
  <si>
    <t>Rights of use assets</t>
  </si>
  <si>
    <t>Non-current investments</t>
  </si>
  <si>
    <t>Total non-current investments</t>
  </si>
  <si>
    <t>Cash and bank balances</t>
  </si>
  <si>
    <t>Equity &amp; Liabilities</t>
  </si>
  <si>
    <t>Long term borrowings</t>
  </si>
  <si>
    <t xml:space="preserve">Lease liabilities </t>
  </si>
  <si>
    <t>Short term borrowings</t>
  </si>
  <si>
    <t>Trade Payables</t>
  </si>
  <si>
    <t>Total Equity &amp; Liabilities</t>
  </si>
  <si>
    <t>Metrics</t>
  </si>
  <si>
    <t>Profitability</t>
  </si>
  <si>
    <t>Gross Profit margin</t>
  </si>
  <si>
    <t>EBITDA margin</t>
  </si>
  <si>
    <t>Net profit margin</t>
  </si>
  <si>
    <t xml:space="preserve">Return on equity </t>
  </si>
  <si>
    <t>Return on capital employed</t>
  </si>
  <si>
    <t>Efficiency</t>
  </si>
  <si>
    <t>Asset turnover ratio</t>
  </si>
  <si>
    <t>Inventory turnover ratio</t>
  </si>
  <si>
    <t>Inventory days</t>
  </si>
  <si>
    <t>Receivables days</t>
  </si>
  <si>
    <t>Payable days</t>
  </si>
  <si>
    <t>Cash conversion cycle</t>
  </si>
  <si>
    <t>Liquidity</t>
  </si>
  <si>
    <t>Current ratio</t>
  </si>
  <si>
    <t>Quick ratio</t>
  </si>
  <si>
    <t xml:space="preserve">Leverage </t>
  </si>
  <si>
    <t>Debt to equity</t>
  </si>
  <si>
    <t>Interest coverage ratio</t>
  </si>
  <si>
    <t>Valuation</t>
  </si>
  <si>
    <t>EV/EBITDA</t>
  </si>
  <si>
    <t>P/E ratio</t>
  </si>
  <si>
    <t>PEG ratio</t>
  </si>
  <si>
    <t>Price to sales</t>
  </si>
  <si>
    <t>Price to book</t>
  </si>
  <si>
    <t>COGS</t>
  </si>
  <si>
    <t>Earnings growth</t>
  </si>
  <si>
    <t>Market price</t>
  </si>
  <si>
    <t>Market cap</t>
  </si>
  <si>
    <t>EBITDA</t>
  </si>
  <si>
    <t>EBIT</t>
  </si>
  <si>
    <t>TP</t>
  </si>
  <si>
    <t>Component</t>
  </si>
  <si>
    <t>Return on Equity (ROE)</t>
  </si>
  <si>
    <t>Net Profit margin</t>
  </si>
  <si>
    <t xml:space="preserve">Asset turnover </t>
  </si>
  <si>
    <t>Equity multiplier</t>
  </si>
  <si>
    <t>2025 (Current)</t>
  </si>
  <si>
    <t>ASSETS</t>
  </si>
  <si>
    <t>Property, plant and Equipments (PPE)</t>
  </si>
  <si>
    <t>Intangible Assets</t>
  </si>
  <si>
    <t>EQUITY &amp; LIABILITIES</t>
  </si>
  <si>
    <t>Equity</t>
  </si>
  <si>
    <t>Share capital</t>
  </si>
  <si>
    <t>Other equity reserves</t>
  </si>
  <si>
    <t>Long-term borrowings</t>
  </si>
  <si>
    <t>Provisions &amp; other liabilities</t>
  </si>
  <si>
    <t>2026</t>
  </si>
  <si>
    <t>2027</t>
  </si>
  <si>
    <t>2028</t>
  </si>
  <si>
    <t>2029</t>
  </si>
  <si>
    <t>2030</t>
  </si>
  <si>
    <t>Other current-assets</t>
  </si>
  <si>
    <t>Deferred tax assets</t>
  </si>
  <si>
    <t>Deferrred tax liabilities</t>
  </si>
  <si>
    <t>Capex</t>
  </si>
  <si>
    <t>Working Notes</t>
  </si>
  <si>
    <t>Revenue</t>
  </si>
  <si>
    <t>Capex:Revenue</t>
  </si>
  <si>
    <t>Average</t>
  </si>
  <si>
    <t>PPE</t>
  </si>
  <si>
    <t>Depreciation:PPE</t>
  </si>
  <si>
    <t>Revenue from Operations</t>
  </si>
  <si>
    <t>CAGR</t>
  </si>
  <si>
    <t>Total revenue</t>
  </si>
  <si>
    <t>CapEx</t>
  </si>
  <si>
    <t>Notes</t>
  </si>
  <si>
    <t>Material consumed</t>
  </si>
  <si>
    <t>Material:Revenue</t>
  </si>
  <si>
    <t>Ratio</t>
  </si>
  <si>
    <t>PBT</t>
  </si>
  <si>
    <t>PAT</t>
  </si>
  <si>
    <t>Trade payables</t>
  </si>
  <si>
    <t>TP:COGS</t>
  </si>
  <si>
    <t>Balancing Liability (Balancing figure)</t>
  </si>
  <si>
    <t>2024 (Actual)</t>
  </si>
  <si>
    <t>Growth</t>
  </si>
  <si>
    <t>Working notes</t>
  </si>
  <si>
    <t>Growth/Average</t>
  </si>
  <si>
    <t>Payout ratio</t>
  </si>
  <si>
    <t>Forecast</t>
  </si>
  <si>
    <t>Cash and cash equivalents (Balancing)</t>
  </si>
  <si>
    <t>Employee Benefit expenses</t>
  </si>
  <si>
    <t>Inventory</t>
  </si>
  <si>
    <t>Borrowings (long term)</t>
  </si>
  <si>
    <t>Borrowings (short term)</t>
  </si>
  <si>
    <t>Weight</t>
  </si>
  <si>
    <t>Long term investments</t>
  </si>
  <si>
    <t>Short term investments</t>
  </si>
  <si>
    <t>None</t>
  </si>
  <si>
    <t>Cash and cash equivalents (Balance)</t>
  </si>
  <si>
    <t>Risk free rate</t>
  </si>
  <si>
    <t>Equity risk premium</t>
  </si>
  <si>
    <t>Cost of equity</t>
  </si>
  <si>
    <t>Cost of debt (pre tax)</t>
  </si>
  <si>
    <t>Tax rate</t>
  </si>
  <si>
    <t>After tax Cost of debt (Kd)</t>
  </si>
  <si>
    <t>Capital Structure</t>
  </si>
  <si>
    <t>Debt</t>
  </si>
  <si>
    <t>Weightage (Equity)</t>
  </si>
  <si>
    <t>Weightage (Debt)</t>
  </si>
  <si>
    <t>Logos</t>
  </si>
  <si>
    <t>D_Mart</t>
  </si>
  <si>
    <t>HUL</t>
  </si>
  <si>
    <t>ITC</t>
  </si>
  <si>
    <t>Titan</t>
  </si>
  <si>
    <t>Trent</t>
  </si>
  <si>
    <t>VBL</t>
  </si>
  <si>
    <t>Total capital</t>
  </si>
  <si>
    <t>WACC</t>
  </si>
  <si>
    <t>Tax</t>
  </si>
  <si>
    <t>Add: Depreciation</t>
  </si>
  <si>
    <t>Less: Change in Working capital</t>
  </si>
  <si>
    <t>Less: CapEx</t>
  </si>
  <si>
    <t>FCFF</t>
  </si>
  <si>
    <t>DCF Valuation</t>
  </si>
  <si>
    <t>Working capital</t>
  </si>
  <si>
    <t>Net Income</t>
  </si>
  <si>
    <t>Peer Multiple Tables</t>
  </si>
  <si>
    <t>P/E Ratio</t>
  </si>
  <si>
    <t>P/Sales</t>
  </si>
  <si>
    <t>Reliance Retail</t>
  </si>
  <si>
    <t>Net Debt</t>
  </si>
  <si>
    <t>Shares Outstanding</t>
  </si>
  <si>
    <t>Value</t>
  </si>
  <si>
    <t>Method</t>
  </si>
  <si>
    <t>P/E</t>
  </si>
  <si>
    <t>Multiples</t>
  </si>
  <si>
    <t>Implied Equity Value (Forward Valuation)</t>
  </si>
  <si>
    <t>Current Market Price</t>
  </si>
  <si>
    <t>V-Mart</t>
  </si>
  <si>
    <t>V2- Retail</t>
  </si>
  <si>
    <t>Upside/Downside</t>
  </si>
  <si>
    <t>Upside/Downside (2030)</t>
  </si>
  <si>
    <t>Upside/Downside (2025)</t>
  </si>
  <si>
    <t>Intrinsic value/share (2030)</t>
  </si>
  <si>
    <t>Intrinsic value/share (2025)</t>
  </si>
  <si>
    <t>Equity Value (Current)</t>
  </si>
  <si>
    <t>Equity value (2030)</t>
  </si>
  <si>
    <t>Discount Factor</t>
  </si>
  <si>
    <t>PV of FCFF</t>
  </si>
  <si>
    <t>Terminal Value</t>
  </si>
  <si>
    <t>Terminal Growth</t>
  </si>
  <si>
    <t>PV of TV</t>
  </si>
  <si>
    <t>Enterprise Value</t>
  </si>
  <si>
    <t>Equity Value</t>
  </si>
  <si>
    <t>Intrinsic Value/Share</t>
  </si>
  <si>
    <t>Capital Employed</t>
  </si>
  <si>
    <t>EPS</t>
  </si>
  <si>
    <t>ROA</t>
  </si>
  <si>
    <t>Revenue CAGR</t>
  </si>
  <si>
    <t>Dmart</t>
  </si>
  <si>
    <t>Capex Intensity</t>
  </si>
  <si>
    <t>GDP g</t>
  </si>
  <si>
    <t>Change</t>
  </si>
  <si>
    <t>Sensitivity</t>
  </si>
  <si>
    <t>Year</t>
  </si>
  <si>
    <t>Amount</t>
  </si>
  <si>
    <t>Incremental ROCE</t>
  </si>
  <si>
    <t>2020-25</t>
  </si>
  <si>
    <t>2020-24</t>
  </si>
  <si>
    <t>2026-30</t>
  </si>
  <si>
    <t>2025-30</t>
  </si>
  <si>
    <t>Avg Capex</t>
  </si>
  <si>
    <t>Capex CAGR</t>
  </si>
  <si>
    <r>
      <rPr>
        <b/>
        <sz val="11"/>
        <color theme="1"/>
        <rFont val="Aptos Narrow"/>
        <family val="2"/>
      </rPr>
      <t>∆</t>
    </r>
    <r>
      <rPr>
        <b/>
        <sz val="11"/>
        <color theme="1"/>
        <rFont val="Calibri"/>
        <family val="2"/>
      </rPr>
      <t xml:space="preserve"> IN EBIT</t>
    </r>
  </si>
  <si>
    <r>
      <rPr>
        <b/>
        <sz val="11"/>
        <color theme="1"/>
        <rFont val="Aptos Narrow"/>
        <family val="2"/>
      </rPr>
      <t>∆</t>
    </r>
    <r>
      <rPr>
        <b/>
        <sz val="11"/>
        <color theme="1"/>
        <rFont val="Calibri"/>
        <family val="2"/>
      </rPr>
      <t xml:space="preserve"> IN CE</t>
    </r>
  </si>
  <si>
    <t>Earnings CAGR</t>
  </si>
  <si>
    <t>D/CE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</si>
</sst>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4009]\ * #,##0.00_ ;_ [$₹-4009]\ * \-#,##0.00_ ;_ [$₹-4009]\ * &quot;-&quot;??_ ;_ @_ "/>
    <numFmt numFmtId="165" formatCode="_ [$₹-4009]\ * #,##0_ ;_ [$₹-4009]\ * \-#,##0_ ;_ [$₹-4009]\ * &quot;-&quot;_ ;_ @_ "/>
    <numFmt numFmtId="166" formatCode="0.0%"/>
    <numFmt numFmtId="167" formatCode="_ * #,##0.00000_ ;_ * \-#,##0.00000_ ;_ * &quot;-&quot;??_ ;_ @_ "/>
  </numFmts>
  <fonts count="1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22"/>
      <color theme="9" tint="-0.249977111117893"/>
      <name val="Calibri"/>
      <family val="2"/>
      <scheme val="minor"/>
    </font>
    <font>
      <b/>
      <sz val="20"/>
      <color theme="9" tint="-0.249977111117893"/>
      <name val="Calibri"/>
      <family val="2"/>
      <scheme val="minor"/>
    </font>
    <font>
      <sz val="8"/>
      <name val="Calibri"/>
      <family val="2"/>
      <scheme val="minor"/>
    </font>
    <font>
      <sz val="18"/>
      <color theme="9" tint="-0.249977111117893"/>
      <name val="Calibri"/>
      <family val="2"/>
      <scheme val="minor"/>
    </font>
    <font>
      <b/>
      <sz val="11"/>
      <color theme="9" tint="-0.499984740745262"/>
      <name val="Calibri"/>
      <family val="2"/>
      <scheme val="minor"/>
    </font>
    <font>
      <b/>
      <sz val="48"/>
      <color theme="9" tint="-0.249977111117893"/>
      <name val="Calibri"/>
      <family val="2"/>
      <scheme val="minor"/>
    </font>
    <font>
      <b/>
      <sz val="11"/>
      <color theme="1"/>
      <name val="Calibri"/>
      <family val="2"/>
    </font>
    <font>
      <b/>
      <sz val="11"/>
      <color theme="1"/>
      <name val="Aptos Narrow"/>
      <family val="2"/>
    </font>
  </fonts>
  <fills count="15">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5"/>
        <bgColor theme="5"/>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7"/>
        <bgColor theme="7"/>
      </patternFill>
    </fill>
    <fill>
      <patternFill patternType="solid">
        <fgColor theme="8" tint="0.79998168889431442"/>
        <bgColor indexed="64"/>
      </patternFill>
    </fill>
    <fill>
      <patternFill patternType="solid">
        <fgColor theme="8" tint="0.59999389629810485"/>
        <bgColor theme="8" tint="0.79998168889431442"/>
      </patternFill>
    </fill>
    <fill>
      <patternFill patternType="solid">
        <fgColor theme="8" tint="0.59999389629810485"/>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theme="0"/>
      </right>
      <top style="thin">
        <color theme="0"/>
      </top>
      <bottom style="thin">
        <color theme="0"/>
      </bottom>
      <diagonal/>
    </border>
    <border>
      <left style="medium">
        <color indexed="64"/>
      </left>
      <right/>
      <top/>
      <bottom/>
      <diagonal/>
    </border>
    <border>
      <left style="thin">
        <color theme="0"/>
      </left>
      <right style="medium">
        <color indexed="64"/>
      </right>
      <top style="thin">
        <color theme="0"/>
      </top>
      <bottom style="thin">
        <color theme="0"/>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style="thin">
        <color theme="0"/>
      </right>
      <top/>
      <bottom/>
      <diagonal/>
    </border>
    <border>
      <left style="medium">
        <color indexed="64"/>
      </left>
      <right style="thin">
        <color theme="0"/>
      </right>
      <top style="thin">
        <color theme="0"/>
      </top>
      <bottom/>
      <diagonal/>
    </border>
    <border>
      <left style="thin">
        <color theme="0"/>
      </left>
      <right style="medium">
        <color indexed="64"/>
      </right>
      <top style="thin">
        <color theme="0"/>
      </top>
      <bottom/>
      <diagonal/>
    </border>
    <border>
      <left style="medium">
        <color indexed="64"/>
      </left>
      <right style="thin">
        <color indexed="64"/>
      </right>
      <top style="thin">
        <color indexed="64"/>
      </top>
      <bottom style="thin">
        <color indexed="64"/>
      </bottom>
      <diagonal/>
    </border>
    <border>
      <left style="medium">
        <color indexed="64"/>
      </left>
      <right style="thin">
        <color theme="0"/>
      </right>
      <top/>
      <bottom/>
      <diagonal/>
    </border>
    <border>
      <left style="thin">
        <color theme="0"/>
      </left>
      <right style="medium">
        <color indexed="64"/>
      </right>
      <top/>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84">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1" fontId="0" fillId="0" borderId="1" xfId="0" applyNumberFormat="1" applyBorder="1" applyAlignment="1">
      <alignment horizontal="center" vertical="center"/>
    </xf>
    <xf numFmtId="3" fontId="0" fillId="0" borderId="1" xfId="0" applyNumberForma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164" fontId="0" fillId="0" borderId="1" xfId="1" applyNumberFormat="1" applyFont="1" applyBorder="1" applyAlignment="1">
      <alignment horizontal="center" vertical="center"/>
    </xf>
    <xf numFmtId="10" fontId="0" fillId="0" borderId="1" xfId="0" applyNumberFormat="1" applyBorder="1" applyAlignment="1">
      <alignment horizontal="center" vertical="center"/>
    </xf>
    <xf numFmtId="4" fontId="0" fillId="0" borderId="1" xfId="0" applyNumberForma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2" borderId="0" xfId="0" applyFont="1" applyFill="1" applyAlignment="1">
      <alignment vertical="center"/>
    </xf>
    <xf numFmtId="0" fontId="0" fillId="2" borderId="0" xfId="0" applyFill="1" applyAlignment="1">
      <alignment vertical="center"/>
    </xf>
    <xf numFmtId="43" fontId="0" fillId="0" borderId="0" xfId="1" applyFont="1" applyAlignment="1">
      <alignment vertical="center"/>
    </xf>
    <xf numFmtId="43" fontId="0" fillId="0" borderId="0" xfId="1" applyFont="1" applyBorder="1" applyAlignment="1">
      <alignment vertical="center"/>
    </xf>
    <xf numFmtId="43" fontId="3" fillId="2" borderId="0" xfId="1" applyFont="1" applyFill="1" applyBorder="1" applyAlignment="1">
      <alignment vertical="center"/>
    </xf>
    <xf numFmtId="0" fontId="3" fillId="0" borderId="0" xfId="0" applyFont="1" applyAlignment="1">
      <alignment vertical="center"/>
    </xf>
    <xf numFmtId="43" fontId="3" fillId="0" borderId="0" xfId="1" applyFont="1" applyAlignment="1">
      <alignment vertical="center"/>
    </xf>
    <xf numFmtId="43" fontId="3" fillId="0" borderId="0" xfId="1" applyFont="1" applyBorder="1" applyAlignment="1">
      <alignment vertical="center"/>
    </xf>
    <xf numFmtId="43" fontId="0" fillId="2" borderId="0" xfId="1" applyFont="1" applyFill="1" applyBorder="1" applyAlignment="1">
      <alignment vertical="center"/>
    </xf>
    <xf numFmtId="0" fontId="3" fillId="0" borderId="0" xfId="0" applyFont="1" applyAlignment="1">
      <alignment vertical="center" wrapText="1"/>
    </xf>
    <xf numFmtId="43" fontId="0" fillId="0" borderId="0" xfId="1" applyFont="1" applyFill="1" applyBorder="1" applyAlignment="1">
      <alignment vertical="center"/>
    </xf>
    <xf numFmtId="0" fontId="3" fillId="2" borderId="9" xfId="0" applyFont="1" applyFill="1" applyBorder="1" applyAlignment="1">
      <alignment vertical="center"/>
    </xf>
    <xf numFmtId="0" fontId="3" fillId="2" borderId="4" xfId="0" applyFont="1" applyFill="1" applyBorder="1" applyAlignment="1">
      <alignment horizontal="center" vertical="center"/>
    </xf>
    <xf numFmtId="0" fontId="0" fillId="2" borderId="4" xfId="0" applyFill="1" applyBorder="1" applyAlignment="1">
      <alignment horizontal="center" vertical="center"/>
    </xf>
    <xf numFmtId="43" fontId="0" fillId="0" borderId="1" xfId="1" applyFont="1" applyBorder="1" applyAlignment="1">
      <alignment horizontal="center" vertical="center"/>
    </xf>
    <xf numFmtId="43" fontId="3" fillId="0" borderId="1" xfId="1" applyFont="1" applyBorder="1" applyAlignment="1">
      <alignment horizontal="center" vertical="center"/>
    </xf>
    <xf numFmtId="0" fontId="0" fillId="0" borderId="3" xfId="0" applyBorder="1" applyAlignment="1">
      <alignment vertical="center"/>
    </xf>
    <xf numFmtId="0" fontId="3" fillId="0" borderId="3" xfId="0" applyFont="1" applyBorder="1" applyAlignment="1">
      <alignment vertical="center"/>
    </xf>
    <xf numFmtId="0" fontId="3" fillId="0" borderId="16" xfId="0" applyFont="1" applyBorder="1" applyAlignment="1">
      <alignment vertical="center"/>
    </xf>
    <xf numFmtId="0" fontId="0" fillId="2" borderId="5" xfId="0" applyFill="1" applyBorder="1" applyAlignment="1">
      <alignment horizontal="center" vertical="center"/>
    </xf>
    <xf numFmtId="43" fontId="3" fillId="0" borderId="1" xfId="1" applyFont="1" applyFill="1" applyBorder="1" applyAlignment="1">
      <alignment horizontal="center" vertical="center"/>
    </xf>
    <xf numFmtId="43" fontId="3" fillId="2" borderId="19" xfId="1" applyFont="1" applyFill="1" applyBorder="1" applyAlignment="1">
      <alignment horizontal="center" vertical="center"/>
    </xf>
    <xf numFmtId="43" fontId="3" fillId="2" borderId="0" xfId="1" applyFont="1" applyFill="1" applyBorder="1" applyAlignment="1">
      <alignment horizontal="center" vertical="center"/>
    </xf>
    <xf numFmtId="43" fontId="1" fillId="0" borderId="1" xfId="1" applyFont="1" applyBorder="1" applyAlignment="1">
      <alignment horizontal="center" vertical="center"/>
    </xf>
    <xf numFmtId="43" fontId="1" fillId="0" borderId="1" xfId="1"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0" fillId="2" borderId="11" xfId="0" applyFill="1" applyBorder="1" applyAlignment="1">
      <alignment horizontal="center" vertical="center"/>
    </xf>
    <xf numFmtId="0" fontId="3" fillId="2" borderId="20" xfId="0" applyFont="1" applyFill="1" applyBorder="1" applyAlignment="1">
      <alignment vertical="center"/>
    </xf>
    <xf numFmtId="0" fontId="0" fillId="2" borderId="21" xfId="0" applyFill="1" applyBorder="1" applyAlignment="1">
      <alignment horizontal="center" vertical="center"/>
    </xf>
    <xf numFmtId="0" fontId="0" fillId="0" borderId="22" xfId="0" applyBorder="1" applyAlignment="1">
      <alignment vertical="center"/>
    </xf>
    <xf numFmtId="43" fontId="0" fillId="0" borderId="13" xfId="1" applyFont="1" applyBorder="1" applyAlignment="1">
      <alignment horizontal="center" vertical="center"/>
    </xf>
    <xf numFmtId="43" fontId="1" fillId="0" borderId="13" xfId="1" applyFont="1" applyBorder="1" applyAlignment="1">
      <alignment horizontal="center" vertical="center"/>
    </xf>
    <xf numFmtId="0" fontId="3" fillId="0" borderId="22" xfId="0" applyFont="1" applyBorder="1" applyAlignment="1">
      <alignment vertical="center"/>
    </xf>
    <xf numFmtId="43" fontId="3" fillId="0" borderId="13" xfId="1" applyFont="1" applyBorder="1" applyAlignment="1">
      <alignment horizontal="center" vertical="center"/>
    </xf>
    <xf numFmtId="0" fontId="3" fillId="2" borderId="23" xfId="0" applyFont="1" applyFill="1" applyBorder="1" applyAlignment="1">
      <alignment vertical="center"/>
    </xf>
    <xf numFmtId="43" fontId="3" fillId="2" borderId="24" xfId="1" applyFont="1" applyFill="1" applyBorder="1" applyAlignment="1">
      <alignment horizontal="center" vertical="center"/>
    </xf>
    <xf numFmtId="0" fontId="3" fillId="2" borderId="10" xfId="0" applyFont="1" applyFill="1" applyBorder="1" applyAlignment="1">
      <alignment vertical="center"/>
    </xf>
    <xf numFmtId="43" fontId="3" fillId="2" borderId="12" xfId="1" applyFont="1" applyFill="1" applyBorder="1" applyAlignment="1">
      <alignment horizontal="center" vertical="center"/>
    </xf>
    <xf numFmtId="43" fontId="1" fillId="0" borderId="13" xfId="1" applyFont="1" applyFill="1" applyBorder="1" applyAlignment="1">
      <alignment horizontal="center" vertical="center"/>
    </xf>
    <xf numFmtId="43" fontId="3" fillId="0" borderId="13" xfId="1" applyFont="1" applyFill="1" applyBorder="1" applyAlignment="1">
      <alignment horizontal="center" vertical="center"/>
    </xf>
    <xf numFmtId="0" fontId="3" fillId="0" borderId="25" xfId="0" applyFont="1" applyBorder="1" applyAlignment="1">
      <alignment vertical="center"/>
    </xf>
    <xf numFmtId="43" fontId="3" fillId="0" borderId="14" xfId="1" applyFont="1" applyBorder="1" applyAlignment="1">
      <alignment horizontal="center" vertical="center"/>
    </xf>
    <xf numFmtId="43" fontId="3" fillId="0" borderId="15" xfId="1" applyFont="1" applyBorder="1" applyAlignment="1">
      <alignment horizontal="center" vertical="center"/>
    </xf>
    <xf numFmtId="0" fontId="0" fillId="0" borderId="1" xfId="0" applyBorder="1" applyAlignment="1">
      <alignment vertical="center"/>
    </xf>
    <xf numFmtId="0" fontId="3" fillId="2" borderId="0" xfId="0" applyFont="1" applyFill="1" applyAlignment="1">
      <alignment horizontal="center" vertical="center"/>
    </xf>
    <xf numFmtId="0" fontId="0" fillId="2" borderId="0" xfId="0" applyFill="1" applyAlignment="1">
      <alignment horizontal="center" vertical="center"/>
    </xf>
    <xf numFmtId="43" fontId="0" fillId="0" borderId="1" xfId="1" applyFont="1" applyBorder="1" applyAlignment="1">
      <alignment vertical="center"/>
    </xf>
    <xf numFmtId="43" fontId="3" fillId="0" borderId="1" xfId="1" applyFont="1" applyBorder="1" applyAlignment="1">
      <alignment vertical="center"/>
    </xf>
    <xf numFmtId="43" fontId="0" fillId="0" borderId="2" xfId="1" applyFont="1" applyBorder="1" applyAlignment="1">
      <alignment vertical="center"/>
    </xf>
    <xf numFmtId="43" fontId="3" fillId="0" borderId="2" xfId="1" applyFont="1" applyBorder="1" applyAlignment="1">
      <alignment vertical="center"/>
    </xf>
    <xf numFmtId="43" fontId="3" fillId="0" borderId="17" xfId="1" applyFont="1" applyBorder="1" applyAlignment="1">
      <alignment vertical="center"/>
    </xf>
    <xf numFmtId="43" fontId="3" fillId="0" borderId="18" xfId="1" applyFont="1" applyBorder="1" applyAlignment="1">
      <alignment vertical="center"/>
    </xf>
    <xf numFmtId="43" fontId="1" fillId="0" borderId="1" xfId="1" applyFont="1" applyBorder="1" applyAlignment="1">
      <alignment vertical="center"/>
    </xf>
    <xf numFmtId="43" fontId="1" fillId="0" borderId="2" xfId="1" applyFont="1" applyBorder="1" applyAlignment="1">
      <alignment vertical="center"/>
    </xf>
    <xf numFmtId="43" fontId="1" fillId="0" borderId="0" xfId="1" applyFont="1" applyAlignment="1">
      <alignment vertical="center"/>
    </xf>
    <xf numFmtId="0" fontId="3" fillId="0" borderId="0" xfId="0" applyFont="1" applyAlignment="1">
      <alignment horizontal="center" vertical="center"/>
    </xf>
    <xf numFmtId="43" fontId="3" fillId="2" borderId="0" xfId="1" applyFont="1" applyFill="1" applyAlignment="1">
      <alignment vertical="center"/>
    </xf>
    <xf numFmtId="0" fontId="3" fillId="0" borderId="1" xfId="0" applyFont="1" applyBorder="1" applyAlignment="1">
      <alignment vertical="center"/>
    </xf>
    <xf numFmtId="0" fontId="4" fillId="0" borderId="0" xfId="0" applyFont="1" applyAlignment="1">
      <alignment horizontal="center" vertical="center"/>
    </xf>
    <xf numFmtId="0" fontId="4" fillId="0" borderId="0" xfId="0" applyFont="1" applyAlignment="1">
      <alignment vertical="center"/>
    </xf>
    <xf numFmtId="49" fontId="3" fillId="0" borderId="0" xfId="1" applyNumberFormat="1" applyFont="1" applyBorder="1" applyAlignment="1">
      <alignment horizontal="center" vertical="center"/>
    </xf>
    <xf numFmtId="43" fontId="1" fillId="0" borderId="0" xfId="1" applyFont="1" applyBorder="1" applyAlignment="1">
      <alignment vertical="center"/>
    </xf>
    <xf numFmtId="0" fontId="3" fillId="3" borderId="0" xfId="0" applyFont="1" applyFill="1" applyAlignment="1">
      <alignment vertical="center"/>
    </xf>
    <xf numFmtId="0" fontId="3" fillId="3" borderId="0" xfId="0" applyFont="1" applyFill="1" applyAlignment="1">
      <alignment horizontal="center" vertical="center"/>
    </xf>
    <xf numFmtId="10" fontId="0" fillId="0" borderId="0" xfId="2" applyNumberFormat="1" applyFont="1" applyAlignment="1">
      <alignment horizontal="center" vertical="center"/>
    </xf>
    <xf numFmtId="9" fontId="3" fillId="0" borderId="0" xfId="2" applyFont="1" applyBorder="1" applyAlignment="1">
      <alignment horizontal="center" vertical="center"/>
    </xf>
    <xf numFmtId="10" fontId="0" fillId="0" borderId="0" xfId="2" applyNumberFormat="1" applyFont="1" applyBorder="1" applyAlignment="1">
      <alignment horizontal="center" vertical="center"/>
    </xf>
    <xf numFmtId="10" fontId="3" fillId="0" borderId="0" xfId="2" applyNumberFormat="1" applyFont="1" applyBorder="1" applyAlignment="1">
      <alignment horizontal="center" vertical="center"/>
    </xf>
    <xf numFmtId="0" fontId="0" fillId="2" borderId="26" xfId="0" applyFill="1" applyBorder="1" applyAlignment="1">
      <alignment horizontal="center" vertical="center"/>
    </xf>
    <xf numFmtId="0" fontId="5" fillId="2" borderId="2" xfId="0" applyFont="1" applyFill="1" applyBorder="1" applyAlignment="1">
      <alignment vertical="center" wrapText="1"/>
    </xf>
    <xf numFmtId="10" fontId="3" fillId="0" borderId="1" xfId="2" applyNumberFormat="1" applyFont="1" applyBorder="1" applyAlignment="1">
      <alignment horizontal="center" vertical="center"/>
    </xf>
    <xf numFmtId="10" fontId="0" fillId="0" borderId="1" xfId="2" applyNumberFormat="1" applyFont="1" applyBorder="1" applyAlignment="1">
      <alignment horizontal="center" vertical="center"/>
    </xf>
    <xf numFmtId="0" fontId="3" fillId="0" borderId="2" xfId="0" applyFont="1" applyBorder="1" applyAlignment="1">
      <alignment vertical="center"/>
    </xf>
    <xf numFmtId="0" fontId="3" fillId="0" borderId="26" xfId="0" applyFont="1" applyBorder="1" applyAlignment="1">
      <alignment horizontal="center" vertical="center"/>
    </xf>
    <xf numFmtId="0" fontId="3" fillId="0" borderId="3" xfId="0" applyFont="1" applyBorder="1" applyAlignment="1">
      <alignment horizontal="center" vertical="center"/>
    </xf>
    <xf numFmtId="0" fontId="5" fillId="2" borderId="0" xfId="0" applyFont="1" applyFill="1" applyAlignment="1">
      <alignment vertical="center" wrapText="1"/>
    </xf>
    <xf numFmtId="166" fontId="0" fillId="0" borderId="1" xfId="2" applyNumberFormat="1" applyFont="1" applyBorder="1" applyAlignment="1">
      <alignment horizontal="center" vertical="center"/>
    </xf>
    <xf numFmtId="166" fontId="3" fillId="0" borderId="1" xfId="2" applyNumberFormat="1" applyFont="1" applyBorder="1" applyAlignment="1">
      <alignment horizontal="center" vertical="center"/>
    </xf>
    <xf numFmtId="166" fontId="0" fillId="0" borderId="1" xfId="2" applyNumberFormat="1" applyFont="1" applyBorder="1" applyAlignment="1">
      <alignment vertical="center"/>
    </xf>
    <xf numFmtId="166" fontId="3" fillId="2" borderId="0" xfId="2" applyNumberFormat="1" applyFont="1" applyFill="1" applyBorder="1" applyAlignment="1">
      <alignment horizontal="center" vertical="center"/>
    </xf>
    <xf numFmtId="166" fontId="3" fillId="0" borderId="17" xfId="2" applyNumberFormat="1" applyFont="1" applyBorder="1" applyAlignment="1">
      <alignment horizontal="center" vertical="center"/>
    </xf>
    <xf numFmtId="0" fontId="2" fillId="4" borderId="18" xfId="0" applyFont="1" applyFill="1" applyBorder="1" applyAlignment="1">
      <alignment vertical="center"/>
    </xf>
    <xf numFmtId="0" fontId="2" fillId="4" borderId="28" xfId="0" applyFont="1" applyFill="1" applyBorder="1" applyAlignment="1">
      <alignment horizontal="center" vertical="center"/>
    </xf>
    <xf numFmtId="0" fontId="2" fillId="4" borderId="16" xfId="0" applyFont="1" applyFill="1" applyBorder="1" applyAlignment="1">
      <alignment horizontal="center" vertical="center"/>
    </xf>
    <xf numFmtId="0" fontId="0" fillId="6" borderId="1" xfId="0" applyFill="1" applyBorder="1" applyAlignment="1">
      <alignment vertical="center"/>
    </xf>
    <xf numFmtId="0" fontId="0" fillId="5" borderId="1" xfId="0" applyFill="1" applyBorder="1" applyAlignment="1">
      <alignment vertical="center"/>
    </xf>
    <xf numFmtId="0" fontId="0" fillId="0" borderId="16" xfId="0" applyBorder="1" applyAlignment="1">
      <alignment vertical="center"/>
    </xf>
    <xf numFmtId="0" fontId="3" fillId="5" borderId="29" xfId="0" applyFont="1" applyFill="1" applyBorder="1" applyAlignment="1">
      <alignment vertical="center"/>
    </xf>
    <xf numFmtId="0" fontId="3" fillId="5" borderId="0" xfId="0" applyFont="1" applyFill="1" applyAlignment="1">
      <alignment vertical="center"/>
    </xf>
    <xf numFmtId="0" fontId="3" fillId="5" borderId="27" xfId="0" applyFont="1" applyFill="1" applyBorder="1" applyAlignment="1">
      <alignment vertical="center"/>
    </xf>
    <xf numFmtId="0" fontId="3" fillId="6" borderId="29" xfId="0" applyFont="1" applyFill="1" applyBorder="1" applyAlignment="1">
      <alignment vertical="center"/>
    </xf>
    <xf numFmtId="0" fontId="3" fillId="6" borderId="0" xfId="0" applyFont="1" applyFill="1" applyAlignment="1">
      <alignment vertical="center"/>
    </xf>
    <xf numFmtId="0" fontId="3" fillId="6" borderId="27" xfId="0" applyFont="1" applyFill="1" applyBorder="1" applyAlignment="1">
      <alignment vertical="center"/>
    </xf>
    <xf numFmtId="10" fontId="0" fillId="0" borderId="1" xfId="0" applyNumberFormat="1" applyBorder="1" applyAlignment="1">
      <alignment vertical="center"/>
    </xf>
    <xf numFmtId="10" fontId="0" fillId="0" borderId="1" xfId="2" applyNumberFormat="1" applyFont="1" applyBorder="1" applyAlignment="1">
      <alignment vertical="center"/>
    </xf>
    <xf numFmtId="43" fontId="0" fillId="0" borderId="0" xfId="0" applyNumberFormat="1" applyAlignment="1">
      <alignment vertical="center"/>
    </xf>
    <xf numFmtId="43" fontId="0" fillId="0" borderId="17" xfId="1" applyFont="1" applyBorder="1" applyAlignment="1">
      <alignment vertical="center"/>
    </xf>
    <xf numFmtId="10" fontId="0" fillId="0" borderId="0" xfId="2" applyNumberFormat="1" applyFont="1" applyAlignment="1">
      <alignment vertical="center"/>
    </xf>
    <xf numFmtId="43" fontId="0" fillId="5" borderId="1" xfId="1" applyFont="1" applyFill="1" applyBorder="1" applyAlignment="1">
      <alignment vertical="center"/>
    </xf>
    <xf numFmtId="43" fontId="0" fillId="6" borderId="1" xfId="1" applyFont="1" applyFill="1" applyBorder="1" applyAlignment="1">
      <alignment vertical="center"/>
    </xf>
    <xf numFmtId="43" fontId="3" fillId="6" borderId="0" xfId="1" applyFont="1" applyFill="1" applyBorder="1" applyAlignment="1">
      <alignment vertical="center"/>
    </xf>
    <xf numFmtId="43" fontId="3" fillId="5" borderId="0" xfId="1" applyFont="1" applyFill="1" applyBorder="1" applyAlignment="1">
      <alignment vertical="center"/>
    </xf>
    <xf numFmtId="10" fontId="0" fillId="6" borderId="1" xfId="2" applyNumberFormat="1" applyFont="1" applyFill="1" applyBorder="1" applyAlignment="1">
      <alignment vertical="center"/>
    </xf>
    <xf numFmtId="10" fontId="0" fillId="5" borderId="1" xfId="2" applyNumberFormat="1" applyFont="1" applyFill="1" applyBorder="1" applyAlignment="1">
      <alignment vertical="center"/>
    </xf>
    <xf numFmtId="43" fontId="3" fillId="5" borderId="27" xfId="1" applyFont="1" applyFill="1" applyBorder="1" applyAlignment="1">
      <alignment vertical="center"/>
    </xf>
    <xf numFmtId="43" fontId="3" fillId="6" borderId="27" xfId="1" applyFont="1" applyFill="1" applyBorder="1" applyAlignment="1">
      <alignment vertical="center"/>
    </xf>
    <xf numFmtId="167" fontId="0" fillId="6" borderId="1" xfId="1" applyNumberFormat="1" applyFont="1" applyFill="1" applyBorder="1" applyAlignment="1">
      <alignment vertical="center"/>
    </xf>
    <xf numFmtId="43" fontId="0" fillId="0" borderId="1" xfId="0" applyNumberFormat="1" applyBorder="1" applyAlignment="1">
      <alignment vertical="center"/>
    </xf>
    <xf numFmtId="43" fontId="0" fillId="0" borderId="1" xfId="0" applyNumberFormat="1" applyBorder="1" applyAlignment="1">
      <alignment horizontal="center" vertical="center"/>
    </xf>
    <xf numFmtId="43" fontId="0" fillId="0" borderId="0" xfId="1" applyFont="1" applyAlignment="1">
      <alignment horizontal="center" vertical="center"/>
    </xf>
    <xf numFmtId="0" fontId="3" fillId="0" borderId="0" xfId="0" applyFont="1" applyAlignment="1">
      <alignment horizontal="center" vertical="center" wrapText="1"/>
    </xf>
    <xf numFmtId="43" fontId="0" fillId="0" borderId="2" xfId="1" applyFont="1" applyBorder="1" applyAlignment="1">
      <alignment horizontal="center" vertical="center"/>
    </xf>
    <xf numFmtId="43" fontId="3" fillId="0" borderId="2" xfId="1" applyFont="1" applyBorder="1" applyAlignment="1">
      <alignment horizontal="center" vertical="center"/>
    </xf>
    <xf numFmtId="43" fontId="3" fillId="0" borderId="17" xfId="1" applyFont="1" applyBorder="1" applyAlignment="1">
      <alignment horizontal="center" vertical="center"/>
    </xf>
    <xf numFmtId="0" fontId="3" fillId="2" borderId="2" xfId="0" applyFont="1" applyFill="1" applyBorder="1" applyAlignment="1">
      <alignment vertical="center"/>
    </xf>
    <xf numFmtId="0" fontId="3" fillId="2" borderId="26" xfId="0" applyFont="1" applyFill="1" applyBorder="1" applyAlignment="1">
      <alignment horizontal="center" vertical="center"/>
    </xf>
    <xf numFmtId="0" fontId="3" fillId="2" borderId="3" xfId="0" applyFont="1" applyFill="1" applyBorder="1" applyAlignment="1">
      <alignment horizontal="center" vertical="center"/>
    </xf>
    <xf numFmtId="43" fontId="3" fillId="2" borderId="26" xfId="1" applyFont="1" applyFill="1" applyBorder="1" applyAlignment="1">
      <alignment horizontal="center" vertical="center"/>
    </xf>
    <xf numFmtId="43" fontId="3" fillId="2" borderId="3" xfId="1" applyFont="1" applyFill="1" applyBorder="1" applyAlignment="1">
      <alignment horizontal="center" vertical="center"/>
    </xf>
    <xf numFmtId="9" fontId="0" fillId="0" borderId="0" xfId="2" applyFont="1" applyAlignment="1">
      <alignment horizontal="center" vertical="center"/>
    </xf>
    <xf numFmtId="166" fontId="0" fillId="0" borderId="0" xfId="2" applyNumberFormat="1" applyFont="1" applyAlignment="1">
      <alignment horizontal="center" vertical="center"/>
    </xf>
    <xf numFmtId="9" fontId="0" fillId="0" borderId="1" xfId="2" applyFont="1" applyBorder="1" applyAlignment="1">
      <alignment horizontal="center" vertical="center"/>
    </xf>
    <xf numFmtId="10" fontId="0" fillId="0" borderId="0" xfId="1" applyNumberFormat="1" applyFont="1" applyAlignment="1">
      <alignment vertical="center"/>
    </xf>
    <xf numFmtId="166" fontId="0" fillId="0" borderId="0" xfId="2" applyNumberFormat="1" applyFont="1" applyAlignment="1">
      <alignment vertical="center"/>
    </xf>
    <xf numFmtId="166" fontId="0" fillId="0" borderId="0" xfId="0" applyNumberFormat="1" applyAlignment="1">
      <alignment vertical="center"/>
    </xf>
    <xf numFmtId="166" fontId="3" fillId="2" borderId="26" xfId="2" applyNumberFormat="1" applyFont="1" applyFill="1" applyBorder="1" applyAlignment="1">
      <alignment horizontal="center" vertical="center"/>
    </xf>
    <xf numFmtId="43" fontId="3" fillId="0" borderId="1" xfId="0" applyNumberFormat="1" applyFont="1" applyBorder="1" applyAlignment="1">
      <alignment horizontal="center" vertical="center"/>
    </xf>
    <xf numFmtId="43" fontId="3" fillId="0" borderId="2" xfId="0" applyNumberFormat="1" applyFont="1" applyBorder="1" applyAlignment="1">
      <alignment horizontal="center" vertical="center"/>
    </xf>
    <xf numFmtId="0" fontId="3" fillId="0" borderId="2" xfId="0" applyFont="1" applyBorder="1" applyAlignment="1">
      <alignment vertical="center" wrapText="1"/>
    </xf>
    <xf numFmtId="0" fontId="3" fillId="0" borderId="26" xfId="0" applyFont="1" applyBorder="1" applyAlignment="1">
      <alignment horizontal="center" vertical="center" wrapText="1"/>
    </xf>
    <xf numFmtId="0" fontId="3" fillId="0" borderId="3" xfId="0" applyFont="1" applyBorder="1" applyAlignment="1">
      <alignment horizontal="center" vertical="center" wrapText="1"/>
    </xf>
    <xf numFmtId="10" fontId="0" fillId="0" borderId="1" xfId="1" applyNumberFormat="1" applyFont="1" applyBorder="1" applyAlignment="1">
      <alignment horizontal="center" vertical="center"/>
    </xf>
    <xf numFmtId="43" fontId="0" fillId="0" borderId="17" xfId="1" applyFont="1" applyBorder="1" applyAlignment="1">
      <alignment horizontal="center" vertical="center"/>
    </xf>
    <xf numFmtId="43" fontId="0" fillId="2" borderId="0" xfId="1" applyFont="1" applyFill="1" applyAlignment="1">
      <alignment horizontal="center" vertical="center"/>
    </xf>
    <xf numFmtId="43" fontId="0" fillId="2" borderId="0" xfId="1" applyFont="1" applyFill="1" applyBorder="1" applyAlignment="1">
      <alignment horizontal="center" vertical="center"/>
    </xf>
    <xf numFmtId="9" fontId="0" fillId="2" borderId="0" xfId="2" applyFont="1" applyFill="1" applyBorder="1" applyAlignment="1">
      <alignment horizontal="center" vertical="center"/>
    </xf>
    <xf numFmtId="9" fontId="0" fillId="0" borderId="17" xfId="2" applyFont="1" applyBorder="1" applyAlignment="1">
      <alignment horizontal="center" vertical="center"/>
    </xf>
    <xf numFmtId="43" fontId="0" fillId="2" borderId="3" xfId="1" applyFont="1" applyFill="1" applyBorder="1" applyAlignment="1">
      <alignment horizontal="center" vertical="center"/>
    </xf>
    <xf numFmtId="43" fontId="0" fillId="0" borderId="32" xfId="1" applyFont="1" applyBorder="1" applyAlignment="1">
      <alignment horizontal="center" vertical="center"/>
    </xf>
    <xf numFmtId="43" fontId="0" fillId="2" borderId="26" xfId="1" applyFont="1" applyFill="1" applyBorder="1" applyAlignment="1">
      <alignment horizontal="center" vertical="center"/>
    </xf>
    <xf numFmtId="0" fontId="0" fillId="0" borderId="31" xfId="0" applyBorder="1" applyAlignment="1">
      <alignment vertical="center"/>
    </xf>
    <xf numFmtId="0" fontId="3" fillId="2" borderId="18" xfId="0" applyFont="1" applyFill="1" applyBorder="1" applyAlignment="1">
      <alignment vertical="center"/>
    </xf>
    <xf numFmtId="43" fontId="0" fillId="2" borderId="28" xfId="1" applyFont="1" applyFill="1" applyBorder="1" applyAlignment="1">
      <alignment horizontal="center" vertical="center"/>
    </xf>
    <xf numFmtId="43" fontId="0" fillId="2" borderId="16" xfId="1" applyFont="1" applyFill="1" applyBorder="1" applyAlignment="1">
      <alignment horizontal="center" vertical="center"/>
    </xf>
    <xf numFmtId="0" fontId="0" fillId="0" borderId="17" xfId="0" applyBorder="1" applyAlignment="1">
      <alignment vertical="center"/>
    </xf>
    <xf numFmtId="166" fontId="0" fillId="0" borderId="32" xfId="1" applyNumberFormat="1" applyFont="1" applyBorder="1" applyAlignment="1">
      <alignment horizontal="center" vertical="center"/>
    </xf>
    <xf numFmtId="166" fontId="0" fillId="0" borderId="1" xfId="1" applyNumberFormat="1" applyFont="1" applyBorder="1" applyAlignment="1">
      <alignment horizontal="center" vertical="center"/>
    </xf>
    <xf numFmtId="166" fontId="0" fillId="0" borderId="1" xfId="0" applyNumberFormat="1" applyBorder="1" applyAlignment="1">
      <alignment horizontal="center" vertical="center"/>
    </xf>
    <xf numFmtId="0" fontId="3" fillId="2" borderId="29" xfId="0" applyFont="1" applyFill="1" applyBorder="1" applyAlignment="1">
      <alignment vertical="center"/>
    </xf>
    <xf numFmtId="43" fontId="0" fillId="2" borderId="27" xfId="1" applyFont="1" applyFill="1" applyBorder="1" applyAlignment="1">
      <alignment horizontal="center" vertical="center"/>
    </xf>
    <xf numFmtId="0" fontId="0" fillId="8" borderId="1" xfId="0" applyFill="1" applyBorder="1" applyAlignment="1">
      <alignment vertical="center"/>
    </xf>
    <xf numFmtId="43" fontId="0" fillId="8" borderId="1" xfId="1" applyFont="1" applyFill="1" applyBorder="1" applyAlignment="1">
      <alignment horizontal="center" vertical="center"/>
    </xf>
    <xf numFmtId="0" fontId="0" fillId="7" borderId="1" xfId="0" applyFill="1" applyBorder="1" applyAlignment="1">
      <alignment vertical="center"/>
    </xf>
    <xf numFmtId="43" fontId="0" fillId="7" borderId="1" xfId="1" applyFont="1" applyFill="1" applyBorder="1" applyAlignment="1">
      <alignment horizontal="center" vertical="center"/>
    </xf>
    <xf numFmtId="0" fontId="3" fillId="8" borderId="1" xfId="0" applyFont="1" applyFill="1" applyBorder="1" applyAlignment="1">
      <alignment vertical="center"/>
    </xf>
    <xf numFmtId="43" fontId="3" fillId="8" borderId="1" xfId="1" applyFont="1" applyFill="1" applyBorder="1" applyAlignment="1">
      <alignment horizontal="center" vertical="center"/>
    </xf>
    <xf numFmtId="0" fontId="3" fillId="7" borderId="1" xfId="0" applyFont="1" applyFill="1" applyBorder="1" applyAlignment="1">
      <alignment vertical="center"/>
    </xf>
    <xf numFmtId="43" fontId="3" fillId="7" borderId="1" xfId="1" applyFont="1" applyFill="1" applyBorder="1" applyAlignment="1">
      <alignment horizontal="center" vertical="center"/>
    </xf>
    <xf numFmtId="10" fontId="0" fillId="7" borderId="1" xfId="1" applyNumberFormat="1" applyFont="1" applyFill="1" applyBorder="1" applyAlignment="1">
      <alignment horizontal="center" vertical="center"/>
    </xf>
    <xf numFmtId="166" fontId="0" fillId="7" borderId="1" xfId="2" applyNumberFormat="1" applyFont="1" applyFill="1" applyBorder="1" applyAlignment="1">
      <alignment horizontal="center" vertical="center"/>
    </xf>
    <xf numFmtId="0" fontId="2" fillId="11" borderId="33" xfId="0" applyFont="1" applyFill="1" applyBorder="1" applyAlignment="1">
      <alignment vertical="center" wrapText="1"/>
    </xf>
    <xf numFmtId="0" fontId="2" fillId="11" borderId="30" xfId="0" applyFont="1" applyFill="1" applyBorder="1" applyAlignment="1">
      <alignment horizontal="center" vertical="center" wrapText="1"/>
    </xf>
    <xf numFmtId="0" fontId="2" fillId="11" borderId="31" xfId="0" applyFont="1" applyFill="1" applyBorder="1" applyAlignment="1">
      <alignment horizontal="center" vertical="center" wrapText="1"/>
    </xf>
    <xf numFmtId="166" fontId="0" fillId="8" borderId="1" xfId="2" applyNumberFormat="1" applyFont="1" applyFill="1" applyBorder="1" applyAlignment="1">
      <alignment horizontal="center" vertical="center"/>
    </xf>
    <xf numFmtId="0" fontId="3" fillId="2" borderId="27" xfId="0" applyFont="1" applyFill="1" applyBorder="1" applyAlignment="1">
      <alignment horizontal="center" vertical="center"/>
    </xf>
    <xf numFmtId="0" fontId="0" fillId="10" borderId="1" xfId="0" applyFill="1" applyBorder="1" applyAlignment="1">
      <alignment vertical="center"/>
    </xf>
    <xf numFmtId="43" fontId="0" fillId="10" borderId="1" xfId="1" applyFont="1" applyFill="1" applyBorder="1" applyAlignment="1">
      <alignment horizontal="center" vertical="center"/>
    </xf>
    <xf numFmtId="166" fontId="0" fillId="10" borderId="1" xfId="2" applyNumberFormat="1" applyFont="1" applyFill="1" applyBorder="1" applyAlignment="1">
      <alignment horizontal="center" vertical="center"/>
    </xf>
    <xf numFmtId="0" fontId="0" fillId="9" borderId="1" xfId="0" applyFill="1" applyBorder="1" applyAlignment="1">
      <alignment vertical="center"/>
    </xf>
    <xf numFmtId="43" fontId="0" fillId="9" borderId="1" xfId="1" applyFont="1" applyFill="1" applyBorder="1" applyAlignment="1">
      <alignment horizontal="center" vertical="center"/>
    </xf>
    <xf numFmtId="166" fontId="0" fillId="9" borderId="1" xfId="2" applyNumberFormat="1" applyFont="1" applyFill="1" applyBorder="1" applyAlignment="1">
      <alignment horizontal="center" vertical="center"/>
    </xf>
    <xf numFmtId="43" fontId="3" fillId="2" borderId="27" xfId="1" applyFont="1" applyFill="1" applyBorder="1" applyAlignment="1">
      <alignment horizontal="center" vertical="center"/>
    </xf>
    <xf numFmtId="0" fontId="3" fillId="9" borderId="1" xfId="0" applyFont="1" applyFill="1" applyBorder="1" applyAlignment="1">
      <alignment vertical="center"/>
    </xf>
    <xf numFmtId="43" fontId="3" fillId="9" borderId="1" xfId="1" applyFont="1" applyFill="1" applyBorder="1" applyAlignment="1">
      <alignment horizontal="center" vertical="center"/>
    </xf>
    <xf numFmtId="166" fontId="3" fillId="9" borderId="1" xfId="2" applyNumberFormat="1" applyFont="1" applyFill="1" applyBorder="1" applyAlignment="1">
      <alignment horizontal="center" vertical="center"/>
    </xf>
    <xf numFmtId="0" fontId="3" fillId="10" borderId="1" xfId="0" applyFont="1" applyFill="1" applyBorder="1" applyAlignment="1">
      <alignment vertical="center"/>
    </xf>
    <xf numFmtId="43" fontId="3" fillId="10" borderId="1" xfId="1" applyFont="1" applyFill="1" applyBorder="1" applyAlignment="1">
      <alignment horizontal="center" vertical="center"/>
    </xf>
    <xf numFmtId="166" fontId="3" fillId="10" borderId="1" xfId="2" applyNumberFormat="1" applyFont="1" applyFill="1" applyBorder="1" applyAlignment="1">
      <alignment horizontal="center" vertical="center"/>
    </xf>
    <xf numFmtId="0" fontId="3" fillId="0" borderId="1" xfId="0" applyFont="1" applyBorder="1" applyAlignment="1">
      <alignment horizontal="center" vertical="center"/>
    </xf>
    <xf numFmtId="49" fontId="3" fillId="0" borderId="1" xfId="1" applyNumberFormat="1" applyFont="1" applyBorder="1" applyAlignment="1">
      <alignment horizontal="center" vertical="center"/>
    </xf>
    <xf numFmtId="43" fontId="0" fillId="0" borderId="32" xfId="0" applyNumberFormat="1" applyBorder="1" applyAlignment="1">
      <alignment horizontal="center" vertical="center"/>
    </xf>
    <xf numFmtId="43" fontId="0" fillId="0" borderId="34" xfId="0" applyNumberFormat="1" applyBorder="1" applyAlignment="1">
      <alignment horizontal="center" vertical="center"/>
    </xf>
    <xf numFmtId="0" fontId="3" fillId="2" borderId="26" xfId="0" applyFont="1" applyFill="1" applyBorder="1" applyAlignment="1">
      <alignment vertical="center"/>
    </xf>
    <xf numFmtId="0" fontId="0" fillId="0" borderId="27" xfId="0" applyBorder="1" applyAlignment="1">
      <alignment vertical="center"/>
    </xf>
    <xf numFmtId="0" fontId="0" fillId="0" borderId="2" xfId="0" applyBorder="1" applyAlignment="1">
      <alignment horizontal="center" vertical="center"/>
    </xf>
    <xf numFmtId="166" fontId="3" fillId="0" borderId="2" xfId="2" applyNumberFormat="1" applyFont="1" applyBorder="1" applyAlignment="1">
      <alignment horizontal="center" vertical="center"/>
    </xf>
    <xf numFmtId="166" fontId="3" fillId="0" borderId="2" xfId="0" applyNumberFormat="1" applyFont="1" applyBorder="1" applyAlignment="1">
      <alignment horizontal="center" vertical="center"/>
    </xf>
    <xf numFmtId="0" fontId="0" fillId="0" borderId="29" xfId="0" applyBorder="1" applyAlignment="1">
      <alignment horizontal="center" vertical="center"/>
    </xf>
    <xf numFmtId="0" fontId="0" fillId="0" borderId="33" xfId="0" applyBorder="1" applyAlignment="1">
      <alignment horizontal="center" vertical="center"/>
    </xf>
    <xf numFmtId="0" fontId="3" fillId="0" borderId="31" xfId="0" applyFont="1" applyBorder="1" applyAlignment="1">
      <alignment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166" fontId="3" fillId="0" borderId="18" xfId="0" applyNumberFormat="1" applyFont="1" applyBorder="1" applyAlignment="1">
      <alignment horizontal="center" vertical="center"/>
    </xf>
    <xf numFmtId="166" fontId="3" fillId="0" borderId="18" xfId="2" applyNumberFormat="1" applyFont="1" applyBorder="1" applyAlignment="1">
      <alignment horizontal="center" vertical="center"/>
    </xf>
    <xf numFmtId="43" fontId="3" fillId="0" borderId="0" xfId="0" applyNumberFormat="1" applyFont="1" applyAlignment="1">
      <alignment vertical="center"/>
    </xf>
    <xf numFmtId="43" fontId="0" fillId="12" borderId="0" xfId="0" applyNumberFormat="1" applyFill="1" applyAlignment="1">
      <alignment vertical="center"/>
    </xf>
    <xf numFmtId="0" fontId="3" fillId="2" borderId="33" xfId="0" applyFont="1" applyFill="1" applyBorder="1" applyAlignment="1">
      <alignment vertical="center"/>
    </xf>
    <xf numFmtId="0" fontId="3" fillId="2" borderId="30" xfId="0" applyFont="1" applyFill="1" applyBorder="1" applyAlignment="1">
      <alignment horizontal="center" vertical="center"/>
    </xf>
    <xf numFmtId="0" fontId="3" fillId="2" borderId="31" xfId="0" applyFont="1" applyFill="1" applyBorder="1" applyAlignment="1">
      <alignment horizontal="center" vertical="center"/>
    </xf>
    <xf numFmtId="0" fontId="0" fillId="0" borderId="17" xfId="0" applyBorder="1" applyAlignment="1">
      <alignment horizontal="center" vertical="center"/>
    </xf>
    <xf numFmtId="166" fontId="0" fillId="2" borderId="0" xfId="2" applyNumberFormat="1" applyFont="1" applyFill="1" applyBorder="1" applyAlignment="1">
      <alignment horizontal="center" vertical="center"/>
    </xf>
    <xf numFmtId="166" fontId="0" fillId="2" borderId="26" xfId="2" applyNumberFormat="1" applyFont="1" applyFill="1" applyBorder="1" applyAlignment="1">
      <alignment horizontal="center" vertical="center"/>
    </xf>
    <xf numFmtId="166" fontId="3" fillId="0" borderId="1" xfId="2" applyNumberFormat="1" applyFont="1" applyBorder="1" applyAlignment="1">
      <alignment vertical="center"/>
    </xf>
    <xf numFmtId="43" fontId="0" fillId="0" borderId="17" xfId="0" applyNumberFormat="1" applyBorder="1" applyAlignment="1">
      <alignment horizontal="center" vertical="center"/>
    </xf>
    <xf numFmtId="43" fontId="0" fillId="0" borderId="0" xfId="0" applyNumberFormat="1" applyAlignment="1">
      <alignment horizontal="center" vertical="center"/>
    </xf>
    <xf numFmtId="0" fontId="3" fillId="0" borderId="30" xfId="0" applyFont="1" applyBorder="1" applyAlignment="1">
      <alignment vertical="center" wrapText="1"/>
    </xf>
    <xf numFmtId="0" fontId="3" fillId="0" borderId="30" xfId="0" applyFont="1" applyBorder="1" applyAlignment="1">
      <alignment horizontal="center" vertical="center" wrapText="1"/>
    </xf>
    <xf numFmtId="0" fontId="0" fillId="13" borderId="1" xfId="0" applyFill="1" applyBorder="1" applyAlignment="1">
      <alignment vertical="center"/>
    </xf>
    <xf numFmtId="43" fontId="0" fillId="14" borderId="1" xfId="1" applyFont="1" applyFill="1" applyBorder="1" applyAlignment="1">
      <alignment horizontal="center" vertical="center"/>
    </xf>
    <xf numFmtId="166" fontId="0" fillId="14" borderId="1" xfId="2" applyNumberFormat="1" applyFont="1" applyFill="1" applyBorder="1" applyAlignment="1">
      <alignment horizontal="center" vertical="center"/>
    </xf>
    <xf numFmtId="9" fontId="3" fillId="0" borderId="17" xfId="2" applyFont="1" applyBorder="1" applyAlignment="1">
      <alignment horizontal="center" vertical="center"/>
    </xf>
    <xf numFmtId="43" fontId="0" fillId="0" borderId="0" xfId="1" applyFont="1" applyBorder="1" applyAlignment="1">
      <alignment horizontal="center" vertical="center"/>
    </xf>
    <xf numFmtId="43" fontId="3" fillId="0" borderId="0" xfId="1" applyFont="1" applyBorder="1" applyAlignment="1">
      <alignment horizontal="center" vertical="center"/>
    </xf>
    <xf numFmtId="9" fontId="0" fillId="0" borderId="0" xfId="2" applyFont="1" applyBorder="1" applyAlignment="1">
      <alignment horizontal="center" vertical="center"/>
    </xf>
    <xf numFmtId="9" fontId="3" fillId="2" borderId="0" xfId="2" applyFont="1" applyFill="1" applyBorder="1" applyAlignment="1">
      <alignment horizontal="center" vertical="center"/>
    </xf>
    <xf numFmtId="9" fontId="0" fillId="0" borderId="0" xfId="2" applyFont="1" applyFill="1" applyBorder="1" applyAlignment="1">
      <alignment horizontal="center" vertical="center"/>
    </xf>
    <xf numFmtId="9" fontId="0" fillId="0" borderId="1" xfId="1" applyNumberFormat="1" applyFont="1" applyBorder="1" applyAlignment="1">
      <alignment horizontal="center" vertical="center"/>
    </xf>
    <xf numFmtId="9" fontId="3" fillId="0" borderId="0" xfId="2" applyFont="1" applyAlignment="1">
      <alignment horizontal="center" vertical="center"/>
    </xf>
    <xf numFmtId="0" fontId="3" fillId="0" borderId="27" xfId="0" applyFont="1" applyBorder="1" applyAlignment="1">
      <alignment vertical="center"/>
    </xf>
    <xf numFmtId="43" fontId="3" fillId="0" borderId="34" xfId="1" applyFont="1" applyBorder="1" applyAlignment="1">
      <alignment horizontal="center" vertical="center"/>
    </xf>
    <xf numFmtId="0" fontId="0" fillId="2" borderId="2" xfId="0" applyFill="1" applyBorder="1" applyAlignment="1">
      <alignment vertical="center"/>
    </xf>
    <xf numFmtId="0" fontId="0" fillId="0" borderId="32" xfId="0" applyBorder="1" applyAlignment="1">
      <alignment vertical="center"/>
    </xf>
    <xf numFmtId="9" fontId="0" fillId="0" borderId="32" xfId="2" applyFont="1" applyBorder="1" applyAlignment="1">
      <alignment horizontal="center" vertical="center"/>
    </xf>
    <xf numFmtId="9" fontId="0" fillId="2" borderId="26" xfId="2" applyFont="1" applyFill="1" applyBorder="1" applyAlignment="1">
      <alignment horizontal="center" vertical="center"/>
    </xf>
    <xf numFmtId="0" fontId="3" fillId="0" borderId="29" xfId="0" applyFont="1" applyBorder="1" applyAlignment="1">
      <alignment vertical="center"/>
    </xf>
    <xf numFmtId="0" fontId="3" fillId="0" borderId="27" xfId="0" applyFont="1" applyBorder="1" applyAlignment="1">
      <alignment horizontal="center" vertical="center"/>
    </xf>
    <xf numFmtId="0" fontId="0" fillId="0" borderId="29" xfId="0" applyBorder="1" applyAlignment="1">
      <alignment vertical="center"/>
    </xf>
    <xf numFmtId="166" fontId="0" fillId="0" borderId="0" xfId="2" applyNumberFormat="1" applyFont="1" applyBorder="1" applyAlignment="1">
      <alignment horizontal="center" vertical="center"/>
    </xf>
    <xf numFmtId="166" fontId="0" fillId="0" borderId="27" xfId="2" applyNumberFormat="1" applyFont="1" applyBorder="1" applyAlignment="1">
      <alignment horizontal="center" vertical="center"/>
    </xf>
    <xf numFmtId="43" fontId="0" fillId="0" borderId="27" xfId="1" applyFont="1" applyBorder="1" applyAlignment="1">
      <alignment horizontal="center" vertical="center"/>
    </xf>
    <xf numFmtId="166" fontId="0" fillId="0" borderId="30" xfId="2" applyNumberFormat="1" applyFont="1" applyBorder="1" applyAlignment="1">
      <alignment horizontal="center" vertical="center"/>
    </xf>
    <xf numFmtId="166" fontId="0" fillId="0" borderId="31" xfId="2" applyNumberFormat="1" applyFont="1" applyBorder="1" applyAlignment="1">
      <alignment horizontal="center" vertical="center"/>
    </xf>
    <xf numFmtId="0" fontId="3" fillId="0" borderId="1" xfId="0" applyFont="1" applyBorder="1" applyAlignment="1">
      <alignment vertical="center" wrapText="1"/>
    </xf>
    <xf numFmtId="49" fontId="3" fillId="0" borderId="1" xfId="1" applyNumberFormat="1" applyFont="1" applyBorder="1" applyAlignment="1">
      <alignment horizontal="center" vertical="center" wrapText="1"/>
    </xf>
    <xf numFmtId="43" fontId="3" fillId="0" borderId="1" xfId="0" applyNumberFormat="1" applyFont="1" applyBorder="1" applyAlignment="1">
      <alignment vertical="center"/>
    </xf>
    <xf numFmtId="166" fontId="3" fillId="0" borderId="1" xfId="2" applyNumberFormat="1" applyFont="1" applyBorder="1" applyAlignment="1">
      <alignment horizontal="right" vertical="center"/>
    </xf>
    <xf numFmtId="0" fontId="3" fillId="0" borderId="1" xfId="0" applyFont="1" applyBorder="1" applyAlignment="1">
      <alignment horizontal="right" vertical="center"/>
    </xf>
    <xf numFmtId="0" fontId="0" fillId="0" borderId="1" xfId="0" applyBorder="1" applyAlignment="1">
      <alignment vertical="center" wrapText="1"/>
    </xf>
    <xf numFmtId="49" fontId="3" fillId="0" borderId="1" xfId="0" applyNumberFormat="1" applyFont="1" applyBorder="1" applyAlignment="1">
      <alignment horizontal="center" vertical="center"/>
    </xf>
    <xf numFmtId="9" fontId="0" fillId="0" borderId="1" xfId="2" applyFont="1" applyBorder="1" applyAlignment="1">
      <alignment vertical="center"/>
    </xf>
    <xf numFmtId="0" fontId="9" fillId="2" borderId="0" xfId="0" applyFont="1" applyFill="1" applyAlignment="1">
      <alignment vertical="center"/>
    </xf>
    <xf numFmtId="0" fontId="8" fillId="0" borderId="1" xfId="0" applyFont="1" applyBorder="1" applyAlignment="1">
      <alignment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8" fillId="0" borderId="1" xfId="0" applyFont="1" applyBorder="1" applyAlignment="1">
      <alignment horizontal="center" vertical="center"/>
    </xf>
    <xf numFmtId="43" fontId="0" fillId="0" borderId="1" xfId="0" applyNumberFormat="1" applyBorder="1" applyAlignment="1">
      <alignment horizontal="center" vertical="center" wrapText="1"/>
    </xf>
    <xf numFmtId="43" fontId="3" fillId="0" borderId="0" xfId="1" applyFont="1" applyAlignment="1">
      <alignment horizontal="center" vertical="center"/>
    </xf>
    <xf numFmtId="166" fontId="3" fillId="0" borderId="0" xfId="2" applyNumberFormat="1" applyFont="1" applyAlignment="1">
      <alignment horizontal="center" vertical="center"/>
    </xf>
    <xf numFmtId="49" fontId="0" fillId="0" borderId="0" xfId="1" applyNumberFormat="1" applyFont="1" applyAlignment="1">
      <alignment horizontal="center" vertical="center"/>
    </xf>
    <xf numFmtId="49" fontId="0" fillId="0" borderId="0" xfId="0" applyNumberFormat="1" applyAlignment="1">
      <alignment horizontal="center" vertical="center"/>
    </xf>
    <xf numFmtId="49" fontId="0" fillId="0" borderId="1" xfId="1" applyNumberFormat="1" applyFont="1" applyBorder="1" applyAlignment="1">
      <alignment horizontal="center" vertical="center"/>
    </xf>
    <xf numFmtId="2" fontId="3" fillId="0" borderId="1" xfId="1" applyNumberFormat="1" applyFont="1" applyBorder="1" applyAlignment="1">
      <alignment horizontal="center" vertical="center"/>
    </xf>
    <xf numFmtId="0" fontId="10" fillId="0" borderId="1" xfId="0" applyFont="1" applyBorder="1" applyAlignment="1">
      <alignment vertical="center"/>
    </xf>
    <xf numFmtId="10" fontId="3" fillId="0" borderId="1" xfId="0" applyNumberFormat="1" applyFont="1" applyBorder="1" applyAlignment="1">
      <alignment horizontal="center" vertical="center"/>
    </xf>
    <xf numFmtId="10" fontId="3" fillId="0" borderId="1" xfId="2" applyNumberFormat="1" applyFont="1" applyBorder="1" applyAlignment="1">
      <alignment vertical="center"/>
    </xf>
    <xf numFmtId="10" fontId="3" fillId="0" borderId="0" xfId="2" applyNumberFormat="1" applyFont="1" applyAlignment="1">
      <alignment horizontal="center" vertical="center"/>
    </xf>
    <xf numFmtId="0" fontId="3" fillId="0" borderId="33" xfId="0" applyFont="1" applyBorder="1" applyAlignment="1">
      <alignment vertical="center"/>
    </xf>
    <xf numFmtId="166" fontId="3" fillId="0" borderId="30" xfId="2" applyNumberFormat="1" applyFont="1" applyBorder="1" applyAlignment="1">
      <alignment horizontal="center" vertical="center"/>
    </xf>
    <xf numFmtId="166" fontId="3" fillId="0" borderId="31" xfId="2" applyNumberFormat="1" applyFont="1" applyBorder="1" applyAlignment="1">
      <alignment horizontal="center" vertical="center"/>
    </xf>
    <xf numFmtId="0" fontId="3" fillId="0" borderId="1" xfId="0" applyFont="1" applyBorder="1" applyAlignment="1">
      <alignment horizontal="left" vertical="center"/>
    </xf>
    <xf numFmtId="0" fontId="0" fillId="0" borderId="0" xfId="0" applyAlignment="1">
      <alignment horizontal="center" vertical="center"/>
    </xf>
    <xf numFmtId="0" fontId="0" fillId="0" borderId="26" xfId="0" applyBorder="1" applyAlignment="1">
      <alignment horizontal="center" vertical="center"/>
    </xf>
    <xf numFmtId="0" fontId="0" fillId="0" borderId="3" xfId="0" applyBorder="1" applyAlignment="1">
      <alignment horizontal="center" vertical="center"/>
    </xf>
    <xf numFmtId="0" fontId="0" fillId="0" borderId="30" xfId="0" applyBorder="1" applyAlignment="1">
      <alignment horizontal="center" vertical="center"/>
    </xf>
  </cellXfs>
  <cellStyles count="3">
    <cellStyle name="Comma" xfId="1" builtinId="3"/>
    <cellStyle name="Normal" xfId="0" builtinId="0"/>
    <cellStyle name="Percent" xfId="2" builtinId="5"/>
  </cellStyles>
  <dxfs count="512">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bottom style="thin">
          <color indexed="64"/>
        </bottom>
      </border>
    </dxf>
    <dxf>
      <font>
        <b/>
      </font>
      <alignment horizontal="center" vertical="center" textRotation="0" wrapText="1"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font>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font>
      <alignment horizontal="center" vertical="center" textRotation="0" wrapText="1" indent="0" justifyLastLine="0" shrinkToFit="0" readingOrder="0"/>
      <border diagonalUp="0" diagonalDown="0">
        <left/>
        <right/>
        <top/>
        <bottom/>
        <vertical/>
        <horizontal/>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7"/>
          <bgColor theme="7"/>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bottom style="thin">
          <color indexed="64"/>
        </bottom>
      </border>
    </dxf>
    <dxf>
      <font>
        <b/>
      </font>
      <alignment horizontal="center" vertical="center" textRotation="0" wrapText="1" indent="0" justifyLastLine="0" shrinkToFit="0" readingOrder="0"/>
      <border diagonalUp="0" diagonalDown="0">
        <left/>
        <right/>
        <top/>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bottom style="thin">
          <color indexed="64"/>
        </bottom>
      </border>
    </dxf>
    <dxf>
      <font>
        <b/>
      </font>
      <alignment horizontal="center" vertical="center" textRotation="0" wrapText="1" indent="0" justifyLastLine="0" shrinkToFit="0" readingOrder="0"/>
      <border diagonalUp="0" diagonalDown="0">
        <left/>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font>
      <alignment horizontal="center" vertical="center" textRotation="0" wrapText="1" indent="0" justifyLastLine="0" shrinkToFit="0" readingOrder="0"/>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bottom style="thin">
          <color indexed="64"/>
        </bottom>
      </border>
    </dxf>
    <dxf>
      <font>
        <b/>
      </font>
      <alignment horizontal="center" vertical="center" textRotation="0" wrapText="1" indent="0" justifyLastLine="0" shrinkToFit="0" readingOrder="0"/>
      <border diagonalUp="0" diagonalDown="0">
        <left/>
        <right/>
        <top/>
        <bottom/>
        <vertical/>
        <horizontal/>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bottom style="thin">
          <color indexed="64"/>
        </bottom>
      </border>
    </dxf>
    <dxf>
      <font>
        <b/>
      </font>
      <alignment horizontal="center" vertical="center" textRotation="0" wrapText="1" indent="0" justifyLastLine="0" shrinkToFit="0" readingOrder="0"/>
      <border diagonalUp="0" diagonalDown="0">
        <left/>
        <right/>
        <top/>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border>
        <bottom style="thin">
          <color indexed="64"/>
        </bottom>
      </border>
    </dxf>
    <dxf>
      <font>
        <b/>
      </font>
      <alignment horizontal="general" vertical="center"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font>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249977111117893"/>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bottom style="thin">
          <color indexed="64"/>
        </bottom>
      </border>
    </dxf>
    <dxf>
      <font>
        <b/>
      </font>
      <alignment horizontal="center" vertical="center" textRotation="0" wrapText="0" indent="0" justifyLastLine="0" shrinkToFit="0" readingOrder="0"/>
      <border diagonalUp="0" diagonalDown="0">
        <left/>
        <right/>
        <top/>
        <bottom/>
        <vertical/>
        <horizontal/>
      </border>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ichStyles" Target="richData/richStyles.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15240</xdr:rowOff>
    </xdr:from>
    <xdr:to>
      <xdr:col>5</xdr:col>
      <xdr:colOff>640080</xdr:colOff>
      <xdr:row>0</xdr:row>
      <xdr:rowOff>525780</xdr:rowOff>
    </xdr:to>
    <xdr:sp macro="" textlink="">
      <xdr:nvSpPr>
        <xdr:cNvPr id="2" name="TextBox 1">
          <a:extLst>
            <a:ext uri="{FF2B5EF4-FFF2-40B4-BE49-F238E27FC236}">
              <a16:creationId xmlns:a16="http://schemas.microsoft.com/office/drawing/2014/main" id="{56C40C81-ACC8-5239-8AD3-314D2880CB4E}"/>
            </a:ext>
          </a:extLst>
        </xdr:cNvPr>
        <xdr:cNvSpPr txBox="1"/>
      </xdr:nvSpPr>
      <xdr:spPr>
        <a:xfrm>
          <a:off x="76200" y="15240"/>
          <a:ext cx="5730240" cy="510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accent6">
                  <a:lumMod val="75000"/>
                </a:schemeClr>
              </a:solidFill>
            </a:rPr>
            <a:t>Consolidated Balance Sheet </a:t>
          </a:r>
        </a:p>
      </xdr:txBody>
    </xdr:sp>
    <xdr:clientData/>
  </xdr:twoCellAnchor>
  <xdr:twoCellAnchor>
    <xdr:from>
      <xdr:col>8</xdr:col>
      <xdr:colOff>0</xdr:colOff>
      <xdr:row>0</xdr:row>
      <xdr:rowOff>0</xdr:rowOff>
    </xdr:from>
    <xdr:to>
      <xdr:col>13</xdr:col>
      <xdr:colOff>7620</xdr:colOff>
      <xdr:row>0</xdr:row>
      <xdr:rowOff>510540</xdr:rowOff>
    </xdr:to>
    <xdr:sp macro="" textlink="">
      <xdr:nvSpPr>
        <xdr:cNvPr id="6" name="TextBox 5">
          <a:extLst>
            <a:ext uri="{FF2B5EF4-FFF2-40B4-BE49-F238E27FC236}">
              <a16:creationId xmlns:a16="http://schemas.microsoft.com/office/drawing/2014/main" id="{B4CC286F-E837-4C64-AB42-60B2720F515E}"/>
            </a:ext>
          </a:extLst>
        </xdr:cNvPr>
        <xdr:cNvSpPr txBox="1"/>
      </xdr:nvSpPr>
      <xdr:spPr>
        <a:xfrm>
          <a:off x="7132320" y="0"/>
          <a:ext cx="5989320" cy="510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accent6">
                  <a:lumMod val="75000"/>
                </a:schemeClr>
              </a:solidFill>
            </a:rPr>
            <a:t>Consolidated Balance Sheet </a:t>
          </a:r>
        </a:p>
      </xdr:txBody>
    </xdr:sp>
    <xdr:clientData/>
  </xdr:twoCellAnchor>
  <xdr:twoCellAnchor>
    <xdr:from>
      <xdr:col>15</xdr:col>
      <xdr:colOff>45720</xdr:colOff>
      <xdr:row>0</xdr:row>
      <xdr:rowOff>0</xdr:rowOff>
    </xdr:from>
    <xdr:to>
      <xdr:col>20</xdr:col>
      <xdr:colOff>900545</xdr:colOff>
      <xdr:row>0</xdr:row>
      <xdr:rowOff>510540</xdr:rowOff>
    </xdr:to>
    <xdr:sp macro="" textlink="">
      <xdr:nvSpPr>
        <xdr:cNvPr id="7" name="TextBox 6">
          <a:extLst>
            <a:ext uri="{FF2B5EF4-FFF2-40B4-BE49-F238E27FC236}">
              <a16:creationId xmlns:a16="http://schemas.microsoft.com/office/drawing/2014/main" id="{AA96EC61-E183-4799-A2B4-3304880C8F5E}"/>
            </a:ext>
          </a:extLst>
        </xdr:cNvPr>
        <xdr:cNvSpPr txBox="1"/>
      </xdr:nvSpPr>
      <xdr:spPr>
        <a:xfrm>
          <a:off x="18095114" y="0"/>
          <a:ext cx="8028401" cy="510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accent6">
                  <a:lumMod val="75000"/>
                </a:schemeClr>
              </a:solidFill>
            </a:rPr>
            <a:t>Consolidated Balance Sheet </a:t>
          </a:r>
        </a:p>
      </xdr:txBody>
    </xdr:sp>
    <xdr:clientData/>
  </xdr:twoCellAnchor>
  <xdr:twoCellAnchor>
    <xdr:from>
      <xdr:col>23</xdr:col>
      <xdr:colOff>0</xdr:colOff>
      <xdr:row>0</xdr:row>
      <xdr:rowOff>0</xdr:rowOff>
    </xdr:from>
    <xdr:to>
      <xdr:col>28</xdr:col>
      <xdr:colOff>600363</xdr:colOff>
      <xdr:row>0</xdr:row>
      <xdr:rowOff>510540</xdr:rowOff>
    </xdr:to>
    <xdr:sp macro="" textlink="">
      <xdr:nvSpPr>
        <xdr:cNvPr id="9" name="TextBox 8">
          <a:extLst>
            <a:ext uri="{FF2B5EF4-FFF2-40B4-BE49-F238E27FC236}">
              <a16:creationId xmlns:a16="http://schemas.microsoft.com/office/drawing/2014/main" id="{E700E742-4E16-4F85-9303-CD4FE36B733F}"/>
            </a:ext>
          </a:extLst>
        </xdr:cNvPr>
        <xdr:cNvSpPr txBox="1"/>
      </xdr:nvSpPr>
      <xdr:spPr>
        <a:xfrm>
          <a:off x="22536727" y="0"/>
          <a:ext cx="5611091" cy="510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accent6">
                  <a:lumMod val="75000"/>
                </a:schemeClr>
              </a:solidFill>
            </a:rPr>
            <a:t>Consolidated Balance Sheet </a:t>
          </a:r>
        </a:p>
      </xdr:txBody>
    </xdr:sp>
    <xdr:clientData/>
  </xdr:twoCellAnchor>
  <xdr:twoCellAnchor>
    <xdr:from>
      <xdr:col>31</xdr:col>
      <xdr:colOff>0</xdr:colOff>
      <xdr:row>0</xdr:row>
      <xdr:rowOff>0</xdr:rowOff>
    </xdr:from>
    <xdr:to>
      <xdr:col>37</xdr:col>
      <xdr:colOff>23091</xdr:colOff>
      <xdr:row>0</xdr:row>
      <xdr:rowOff>510540</xdr:rowOff>
    </xdr:to>
    <xdr:sp macro="" textlink="">
      <xdr:nvSpPr>
        <xdr:cNvPr id="10" name="TextBox 9">
          <a:extLst>
            <a:ext uri="{FF2B5EF4-FFF2-40B4-BE49-F238E27FC236}">
              <a16:creationId xmlns:a16="http://schemas.microsoft.com/office/drawing/2014/main" id="{5A447B63-9AA9-4CEF-A01C-3B830EE5775D}"/>
            </a:ext>
          </a:extLst>
        </xdr:cNvPr>
        <xdr:cNvSpPr txBox="1"/>
      </xdr:nvSpPr>
      <xdr:spPr>
        <a:xfrm>
          <a:off x="29848848" y="0"/>
          <a:ext cx="6403879" cy="510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accent6">
                  <a:lumMod val="75000"/>
                </a:schemeClr>
              </a:solidFill>
            </a:rPr>
            <a:t>Consolidated Balance Sheet </a:t>
          </a:r>
        </a:p>
      </xdr:txBody>
    </xdr:sp>
    <xdr:clientData/>
  </xdr:twoCellAnchor>
  <xdr:twoCellAnchor>
    <xdr:from>
      <xdr:col>39</xdr:col>
      <xdr:colOff>1</xdr:colOff>
      <xdr:row>0</xdr:row>
      <xdr:rowOff>0</xdr:rowOff>
    </xdr:from>
    <xdr:to>
      <xdr:col>44</xdr:col>
      <xdr:colOff>23092</xdr:colOff>
      <xdr:row>0</xdr:row>
      <xdr:rowOff>510540</xdr:rowOff>
    </xdr:to>
    <xdr:sp macro="" textlink="">
      <xdr:nvSpPr>
        <xdr:cNvPr id="11" name="TextBox 10">
          <a:extLst>
            <a:ext uri="{FF2B5EF4-FFF2-40B4-BE49-F238E27FC236}">
              <a16:creationId xmlns:a16="http://schemas.microsoft.com/office/drawing/2014/main" id="{0EF4D78E-E58F-455F-8875-7C69C963D4B9}"/>
            </a:ext>
          </a:extLst>
        </xdr:cNvPr>
        <xdr:cNvSpPr txBox="1"/>
      </xdr:nvSpPr>
      <xdr:spPr>
        <a:xfrm>
          <a:off x="37522728" y="0"/>
          <a:ext cx="4979940" cy="510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accent6">
                  <a:lumMod val="75000"/>
                </a:schemeClr>
              </a:solidFill>
            </a:rPr>
            <a:t>Consolidated Balance Sheet </a:t>
          </a:r>
        </a:p>
      </xdr:txBody>
    </xdr:sp>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6">
  <rv s="0">
    <v>0</v>
    <v>5</v>
  </rv>
  <rv s="0">
    <v>1</v>
    <v>5</v>
  </rv>
  <rv s="0">
    <v>2</v>
    <v>5</v>
  </rv>
  <rv s="0">
    <v>3</v>
    <v>5</v>
  </rv>
  <rv s="0">
    <v>4</v>
    <v>5</v>
  </rv>
  <rv s="0">
    <v>5</v>
    <v>5</v>
  </rv>
  <rv s="1">
    <v>https://www.bing.com/financeapi/forcetrigger?t=ahhktc&amp;q=XNSE%3aDMART&amp;form=skydnc</v>
    <v>Learn more on Bing</v>
  </rv>
  <rv s="2">
    <v>en-IN</v>
    <v>ahhktc</v>
    <v>268435456</v>
    <v>1</v>
    <v>Powered by Refinitiv</v>
    <v>0</v>
    <v>AVENUE SUPERMARTS LIMITED (XNSE:DMART)</v>
    <v>2</v>
    <v>3</v>
    <v>Finance</v>
    <v>4</v>
    <v>4949.5</v>
    <v>3340</v>
    <v>1.4373</v>
    <v>8</v>
    <v>1.9950000000000002E-3</v>
    <v>INR</v>
    <v>Avenue Supermarts Limited is an India-based company, which is engaged in the business of organized retail and operating supermarkets under the DMart brand name. DMart is a supermarket chain that offers customers a range of products with a focus on the foods, non-foods fast-moving consumer goods (FMCG) and general merchandise and apparel product categories. Its stores stock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groceries, and staples. DMart operates approximately 424 stores and has a presence across Maharashtra, Gujarat, Andhra Pradesh, Madhya Pradesh, Karnataka, Telangana, and Chhattisgarh.</v>
    <v>16959</v>
    <v>National Stock Exchange of India</v>
    <v>XNSE</v>
    <v>XNSE</v>
    <v>B-72/72A, Wagle Industrial Estate, Road No. 33, Kamgar Hospital Road, THANE, MAHARASHTRA, 400604 IN</v>
    <v>4067</v>
    <v>Food &amp; Drug Retailing</v>
    <v>Stock</v>
    <v>45971.582870370374</v>
    <v>6</v>
    <v>4011</v>
    <v>2610090000000</v>
    <v>AVENUE SUPERMARTS LIMITED</v>
    <v>AVENUE SUPERMARTS LIMITED</v>
    <v>4011</v>
    <v>95.51</v>
    <v>4011</v>
    <v>4019</v>
    <v>650733100</v>
    <v>DMART</v>
    <v>AVENUE SUPERMARTS LIMITED (XNSE:DMART)</v>
    <v>290454</v>
    <v>389240</v>
    <v>2000</v>
  </rv>
  <rv s="3">
    <v>7</v>
  </rv>
  <rv s="1">
    <v>https://www.bing.com/financeapi/forcetrigger?t=ahie2w&amp;q=XNSE%3aITC&amp;form=skydnc</v>
    <v>Learn more on Bing</v>
  </rv>
  <rv s="2">
    <v>en-IN</v>
    <v>ahie2w</v>
    <v>268435456</v>
    <v>1</v>
    <v>Powered by Refinitiv</v>
    <v>0</v>
    <v>ITC LIMITED (XNSE:ITC)</v>
    <v>2</v>
    <v>3</v>
    <v>Finance</v>
    <v>4</v>
    <v>471.5</v>
    <v>390.15</v>
    <v>0.77669999999999995</v>
    <v>1.5</v>
    <v>3.7119999999999996E-3</v>
    <v>INR</v>
    <v>ITC Limited is an India-based diversified conglomerate company. The Company’s segments include Fast Moving Consumer Goods (FMCG), Paperboards, Paper and Packaging, and Agri Business. The FMCG segment comprises products, such as cigarettes, cigars, education and stationery supplies, personal care items, safety matches, agarbattis, and branded packaged foods, which include staples and meals, snacks, dairy and beverages, biscuits and cakes, chocolates, coffee, and confectionery. The Paperboards, Paper and Packaging segment includes specialty paper and flexible packaging. The Agri Business segment involves trading of agricultural commodities such as wheat, rice, spices, coffee, soya, and leaf tobacco. Its FMCG brands include Aashirvaad, Sunfeast, Yippee!, Bingo!, B Natural, 24 Mantra Organic, ITC Master Chef, Fabelle, Sunbean, Fiama, Vivel, Savlon, Classmate, Paperkraft, Mangaldeep, and others. Its personal care brands feature EDW Essenza, Dermafique, Fiama, Vivel, Engage, and others.</v>
    <v>22041</v>
    <v>National Stock Exchange of India</v>
    <v>XNSE</v>
    <v>XNSE</v>
    <v>Virginia House, 37 Jawaharlal Nehru Road, KOLKATA, WEST BENGAL, 700071 IN</v>
    <v>407.1</v>
    <v>Food &amp; Tobacco</v>
    <v>Stock</v>
    <v>45971.582881944443</v>
    <v>9</v>
    <v>403.65</v>
    <v>5061873000000</v>
    <v>ITC LIMITED</v>
    <v>ITC LIMITED</v>
    <v>404.05</v>
    <v>25.07</v>
    <v>404.05</v>
    <v>405.55</v>
    <v>12527840000</v>
    <v>ITC</v>
    <v>ITC LIMITED (XNSE:ITC)</v>
    <v>6650003</v>
    <v>12293970</v>
    <v>1910</v>
  </rv>
  <rv s="3">
    <v>10</v>
  </rv>
  <rv s="1">
    <v>https://www.bing.com/financeapi/forcetrigger?t=ahkeu2&amp;q=XNSE%3aTRENT&amp;form=skydnc</v>
    <v>Learn more on Bing</v>
  </rv>
  <rv s="2">
    <v>en-IN</v>
    <v>ahkeu2</v>
    <v>268435456</v>
    <v>1</v>
    <v>Powered by Refinitiv</v>
    <v>0</v>
    <v>TRENT LIMITED (XNSE:TRENT)</v>
    <v>2</v>
    <v>3</v>
    <v>Finance</v>
    <v>4</v>
    <v>7493.05</v>
    <v>4262.6000000000004</v>
    <v>1.4651000000000001</v>
    <v>-343.6</v>
    <v>-7.4255000000000002E-2</v>
    <v>INR</v>
    <v>Trent Limited is part of the Tata Group and operates a portfolio of retail concepts. Its brands are divided into two groups, namely Fashion and Lifestyle and Food and Grocery. The Company’s primary customer propositions include Westside, which operates a chain of fashion retail stores that offers a broad range of products ranging from apparel, footwear, accessories to cosmetics and perfumes to home accessories and gift offers, among others; Zudio, which offers several product categories, including apparel for men, women and kids, footwear and others; and Trent Hypermarket, which operates in the food, grocery and daily needs segment under the Star banner. It operates cash and carry stores under the Booker Wholesale banner that focuses on categories and assortments relevant to small businesses, which include products in categories including staples, processed foods, confectionery, personal care, home care, among others. Its other brands include Utsa and SAMOH.</v>
    <v>27887</v>
    <v>National Stock Exchange of India</v>
    <v>XNSE</v>
    <v>XNSE</v>
    <v>Trent House, G-Block, Plot No C-60, Besides Citi Bank,, Bandra Kurla Complex, Bandra (East), MUMBAI, MAHARASHTRA, 400051 IN</v>
    <v>4579.8999999999996</v>
    <v>Diversified Retail</v>
    <v>Stock</v>
    <v>45971.582905092589</v>
    <v>12</v>
    <v>4262.6000000000004</v>
    <v>1644947000000</v>
    <v>TRENT LIMITED</v>
    <v>TRENT LIMITED</v>
    <v>4568</v>
    <v>93.879400000000004</v>
    <v>4627.3</v>
    <v>4283.7</v>
    <v>355487500</v>
    <v>TRENT</v>
    <v>TRENT LIMITED (XNSE:TRENT)</v>
    <v>6807962</v>
    <v>448900</v>
    <v>1952</v>
  </rv>
  <rv s="3">
    <v>13</v>
  </rv>
  <rv s="1">
    <v>https://www.bing.com/financeapi/forcetrigger?t=ahkjqh&amp;q=XNSE%3aVBL&amp;form=skydnc</v>
    <v>Learn more on Bing</v>
  </rv>
  <rv s="2">
    <v>en-IN</v>
    <v>ahkjqh</v>
    <v>268435456</v>
    <v>1</v>
    <v>Powered by Refinitiv</v>
    <v>0</v>
    <v>VARUN BEVERAGES LIMITED (XNSE:VBL)</v>
    <v>2</v>
    <v>3</v>
    <v>Finance</v>
    <v>4</v>
    <v>663.6</v>
    <v>419.55</v>
    <v>0.92610000000000003</v>
    <v>-6.95</v>
    <v>-1.4780999999999999E-2</v>
    <v>INR</v>
    <v>Varun Beverages Limited is an India-based company, which is a franchisee of PepsiCo. It produces and distributes a range of carbonated soft drinks (CSDs), as well as non-carbonated beverages (NCBs), including packaged drinking water sold under trademarks owned by PepsiCo. PepsiCo CSD brands produced and sold by the Company include Pepsi, Pepsi Black, Mountain Dew, Sting, Seven-Up, Mirinda Orange, Seven-Up Nimbooz Masala Soda and Evervess. PepsiCo NCB brands produced and sold by it include Tropicana Slice, Tropicana Juices (100% and Delight), Seven-Up Nimbooz, Gatorade as well as packaged drinking water under the brand Aquafina. It is also engaged in co-manufacturing of Kurkure puffcorn in India. It has approximately 36 manufacturing plants in India and over 12 manufacturing plants in international geographies. Its subsidiaries include Varun Beverages (Nepal) Private Limited, The Beverage Company Proprietary Limited, and Varun Beverages Lanka (Private) Limited, and others.</v>
    <v>11041</v>
    <v>National Stock Exchange of India</v>
    <v>XNSE</v>
    <v>XNSE</v>
    <v>Plot No. 31, Institutional Area, Sector - 44, GURGAON, HARYANA, 122002 IN</v>
    <v>471.5</v>
    <v>Beverages</v>
    <v>Stock</v>
    <v>45971.582905092589</v>
    <v>15</v>
    <v>461.9</v>
    <v>1590211000000</v>
    <v>VARUN BEVERAGES LIMITED</v>
    <v>VARUN BEVERAGES LIMITED</v>
    <v>470.2</v>
    <v>52.710299999999997</v>
    <v>470.2</v>
    <v>463.25</v>
    <v>3381989000</v>
    <v>VBL</v>
    <v>VARUN BEVERAGES LIMITED (XNSE:VBL)</v>
    <v>4863609</v>
    <v>10602660</v>
    <v>1995</v>
  </rv>
  <rv s="3">
    <v>16</v>
  </rv>
  <rv s="1">
    <v>https://www.bing.com/financeapi/forcetrigger?t=ahkdxm&amp;q=XNSE%3aTITAN&amp;form=skydnc</v>
    <v>Learn more on Bing</v>
  </rv>
  <rv s="2">
    <v>en-IN</v>
    <v>ahkdxm</v>
    <v>268435456</v>
    <v>1</v>
    <v>Powered by Refinitiv</v>
    <v>0</v>
    <v>TITAN COMPANY LIMITED (XNSE:TITAN)</v>
    <v>2</v>
    <v>3</v>
    <v>Finance</v>
    <v>4</v>
    <v>3837.7</v>
    <v>2925</v>
    <v>1.3028</v>
    <v>33.700000000000003</v>
    <v>8.9409999999999993E-3</v>
    <v>INR</v>
    <v>Titan Company Limited is an India-based lifestyle company. The Company is primarily involved in the manufacturing and sale of Watches, Jewelry, Eyewear and other accessories and products. The Company's segments include Watches and Wearables, Jewelry, Eyewear and Others. The Watches and Wearables segment includes brands, such as Titan, Titan Clock, Fastrack, Sonata, Zoop, Octane, Xylys, Helios, Titan Raga, Fastrack Smart, Nebula and SF. The Jewelry segment includes brands, such as Tanishq, Mia, Zoya and CaratLane. The Eyewear segment includes the Titan EyePlus and Fastrack Eyecare. The Others segment includes Aerospace &amp; Defence, Automation Solutions, Fragrances, Accessories and Indian dress wear. Its new business includes brands, such as Skinn and Taneira. The Company's subsidiaries include Titan Engineering &amp; Automation Limited, Titan Commodity Trading Limited, TCL North America Inc., TEAL USA Inc., and Titan Watch Company Limited Hongkong, among others.</v>
    <v>9191</v>
    <v>National Stock Exchange of India</v>
    <v>XNSE</v>
    <v>XNSE</v>
    <v>Integrity, #193, Veerasandra, Electronic City P.O.,, Off Hosur Main Road, BANGALORE, KARNATAKA, 560100 IN</v>
    <v>3815</v>
    <v>Textiles &amp; Apparel</v>
    <v>Stock</v>
    <v>45971.582905092589</v>
    <v>18</v>
    <v>3769.3</v>
    <v>3343540000000</v>
    <v>TITAN COMPANY LIMITED</v>
    <v>TITAN COMPANY LIMITED</v>
    <v>3788</v>
    <v>80.97</v>
    <v>3769.3</v>
    <v>3803</v>
    <v>887045300</v>
    <v>TITAN</v>
    <v>TITAN COMPANY LIMITED (XNSE:TITAN)</v>
    <v>599567</v>
    <v>1043730</v>
    <v>1984</v>
  </rv>
  <rv s="3">
    <v>19</v>
  </rv>
  <rv s="1">
    <v>https://www.bing.com/financeapi/forcetrigger?t=ahi62w&amp;q=XNSE%3aHINDUNILVR&amp;form=skydnc</v>
    <v>Learn more on Bing</v>
  </rv>
  <rv s="2">
    <v>en-IN</v>
    <v>ahi62w</v>
    <v>268435456</v>
    <v>1</v>
    <v>Powered by Refinitiv</v>
    <v>0</v>
    <v>HINDUSTAN UNILEVER LIMITED (XNSE:HINDUNILVR)</v>
    <v>2</v>
    <v>3</v>
    <v>Finance</v>
    <v>4</v>
    <v>2750</v>
    <v>2136</v>
    <v>0.8014</v>
    <v>-5.2</v>
    <v>-2.1540000000000001E-3</v>
    <v>INR</v>
    <v>Hindustan Unilever Limited is an India-based fast-moving consumer goods company. The Company's segments include Home Care, Beauty &amp; Wellbeing, Personal Care, Foods, and Others (includes Exports, Consignment, etc). Its product categories include skin cleansing, hair care, skin care and color cosmetics, oral care, deodorant and male toiletries, fabric care, household care, nutrition drinks, foods, ice cream, and beverages. The Company has over 50 brands, including Acne - Squad, Active Wheel 2 in 1, Axe, Boost, Breeze, Brooke Bond 3 Roses, Brooke Bond Red Label, Brooke Bond Taaza, Clinic Plus, Closeup, Comfort, Cornetto, Dermalogica, Domex, Dove, Elle 18, Find Your Happy Place, Glow &amp; Handsome, Glow &amp; Lovely, Hamam, Horlicks, Horlicks Diabetes Plus, Lipton, and Minimalist. Lux is a global brand which offers beauty soaps, shower gels, bath additives, shampoos and others. ELLE 18 brand’s range of cosmetics includes eyeliner, kajal, lipstick, nail polish, compact and foundation.</v>
    <v>18802</v>
    <v>National Stock Exchange of India</v>
    <v>XNSE</v>
    <v>XNSE</v>
    <v>Unilever House,, B D Sawant Marg, Chakala,, Andheri (E), MUMBAI, MAHARASHTRA, 400099 IN</v>
    <v>2429.3000000000002</v>
    <v>Personal &amp; Household Products &amp; Services</v>
    <v>Stock</v>
    <v>45971.582881944443</v>
    <v>21</v>
    <v>2404</v>
    <v>5671914000000</v>
    <v>HINDUSTAN UNILEVER LIMITED</v>
    <v>HINDUSTAN UNILEVER LIMITED</v>
    <v>2405</v>
    <v>51.981000000000002</v>
    <v>2414</v>
    <v>2408.8000000000002</v>
    <v>2349591000</v>
    <v>HINDUNILVR</v>
    <v>HINDUSTAN UNILEVER LIMITED (XNSE:HINDUNILVR)</v>
    <v>780558</v>
    <v>1644920</v>
    <v>1933</v>
  </rv>
  <rv s="3">
    <v>22</v>
  </rv>
  <rv s="0">
    <v>6</v>
    <v>5</v>
  </rv>
  <rv s="0">
    <v>7</v>
    <v>5</v>
  </rv>
</rvData>
</file>

<file path=xl/richData/rdrichvaluestructure.xml><?xml version="1.0" encoding="utf-8"?>
<rvStructures xmlns="http://schemas.microsoft.com/office/spreadsheetml/2017/richdata" count="4">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3F2A00-0AFF-43B2-903F-ED6CEF5AECCA}" name="Dmart" displayName="Dmart" ref="A2:G56" totalsRowShown="0" headerRowDxfId="511" dataDxfId="510" tableBorderDxfId="509" dataCellStyle="Comma">
  <autoFilter ref="A2:G56" xr:uid="{2A3F2A00-0AFF-43B2-903F-ED6CEF5AECC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DC00F49-1789-42F0-8BF0-5020E8508913}" name="Particulars" dataDxfId="508"/>
    <tableColumn id="2" xr3:uid="{6E32EA09-B2EE-4CD9-8763-07652D7EF35A}" name="2020" dataDxfId="507" dataCellStyle="Comma"/>
    <tableColumn id="3" xr3:uid="{EC4B2798-4882-4202-B78E-ED4C4BD121E9}" name="2021" dataDxfId="506" dataCellStyle="Comma"/>
    <tableColumn id="4" xr3:uid="{04846CA3-A006-412E-96C6-8B5E05C35FFF}" name="2022" dataDxfId="505" dataCellStyle="Comma"/>
    <tableColumn id="5" xr3:uid="{D20EF350-8283-46D7-AC92-32D017822C49}" name="2023" dataDxfId="504" dataCellStyle="Comma"/>
    <tableColumn id="6" xr3:uid="{F2F1A006-A730-4998-8FC3-43DFA9EDDD5D}" name="2024" dataDxfId="503" dataCellStyle="Comma"/>
    <tableColumn id="7" xr3:uid="{6694FF2B-AE4C-4994-9170-696967EE2202}" name="2025" dataDxfId="502" dataCellStyle="Comm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46637C-A2BF-4108-8BB7-D6741C0BEBDE}" name="HUL" displayName="HUL" ref="I2:N53" totalsRowShown="0" headerRowDxfId="501" dataDxfId="500" tableBorderDxfId="499" dataCellStyle="Comma">
  <autoFilter ref="I2:N53" xr:uid="{8846637C-A2BF-4108-8BB7-D6741C0BEBDE}">
    <filterColumn colId="0" hiddenButton="1"/>
    <filterColumn colId="1" hiddenButton="1"/>
    <filterColumn colId="2" hiddenButton="1"/>
    <filterColumn colId="3" hiddenButton="1"/>
    <filterColumn colId="4" hiddenButton="1"/>
    <filterColumn colId="5" hiddenButton="1"/>
  </autoFilter>
  <tableColumns count="6">
    <tableColumn id="1" xr3:uid="{08E18706-1ACF-45E3-A7C3-0CDC894C923D}" name="Particulars" dataDxfId="498"/>
    <tableColumn id="2" xr3:uid="{784B21B0-36E9-4E4F-8F5F-C9E39025E7E6}" name="2020" dataDxfId="497" dataCellStyle="Comma"/>
    <tableColumn id="3" xr3:uid="{271AE145-1FCB-4A73-8753-373E26AD1E7A}" name="2021" dataDxfId="496" dataCellStyle="Comma"/>
    <tableColumn id="4" xr3:uid="{1EB9BB86-F3DC-4B0F-AB5B-8B5EBD700A98}" name="2022" dataDxfId="495" dataCellStyle="Comma"/>
    <tableColumn id="5" xr3:uid="{F2ACB002-7635-4FF5-A5B2-E7BECE2984D9}" name="2023" dataDxfId="494" dataCellStyle="Comma"/>
    <tableColumn id="6" xr3:uid="{B744FAA1-B513-4641-AAAD-E801EF5B4D8B}" name="2024" dataDxfId="493" dataCellStyle="Comma"/>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6C9BDF-9526-4078-ABE2-301680CAC69D}" name="ITC" displayName="ITC" ref="P2:V61" totalsRowShown="0" headerRowDxfId="492" dataDxfId="491" tableBorderDxfId="490" dataCellStyle="Comma">
  <autoFilter ref="P2:V61" xr:uid="{5E6C9BDF-9526-4078-ABE2-301680CAC69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5CCCBFD-BE5E-4EA1-8CB3-B3E4A152836B}" name="Particulars" dataDxfId="489"/>
    <tableColumn id="2" xr3:uid="{4FA80DB5-6824-4F02-9C84-D66879B4263F}" name="2020" dataDxfId="488" dataCellStyle="Comma"/>
    <tableColumn id="3" xr3:uid="{D7C8F660-A0DD-4BE7-8ACD-750193CF7EE6}" name="2021" dataDxfId="487" dataCellStyle="Comma"/>
    <tableColumn id="4" xr3:uid="{A9DECF41-689E-484D-BB02-F882194465DE}" name="2022" dataDxfId="486" dataCellStyle="Comma"/>
    <tableColumn id="5" xr3:uid="{F89A8938-B0E1-4166-8B99-8040C6EEA98E}" name="2023" dataDxfId="485" dataCellStyle="Comma"/>
    <tableColumn id="6" xr3:uid="{747DF24C-DB4F-4633-99BC-E9F25BA1CF08}" name="2024" dataDxfId="484" dataCellStyle="Comma"/>
    <tableColumn id="7" xr3:uid="{ECE6DF63-E754-417C-9586-B701BF6D2668}" name="2025" dataDxfId="483" dataCellStyle="Comma"/>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097307-FDCD-4243-A3BA-B187C730A1F8}" name="Titan" displayName="Titan" ref="X2:AD59" totalsRowShown="0" headerRowDxfId="482" dataDxfId="481" tableBorderDxfId="480" dataCellStyle="Comma">
  <autoFilter ref="X2:AD59" xr:uid="{F1097307-FDCD-4243-A3BA-B187C730A1F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DCE9A3C-CDFF-4778-A0CF-B4FB9EBFEC57}" name="Particulars" dataDxfId="479"/>
    <tableColumn id="2" xr3:uid="{81EA4F94-AF7A-4C4E-B12E-379145AF67EE}" name="2020" dataDxfId="478" dataCellStyle="Comma"/>
    <tableColumn id="3" xr3:uid="{2BC546BB-1917-4AB3-AA6C-D9A1D7BA8021}" name="2021" dataDxfId="477" dataCellStyle="Comma"/>
    <tableColumn id="4" xr3:uid="{A960F939-D53B-470B-8F22-17B4F1D96E61}" name="2022" dataDxfId="476" dataCellStyle="Comma"/>
    <tableColumn id="5" xr3:uid="{F1865299-1319-476F-92B1-F61D3597CAD0}" name="2023" dataDxfId="475" dataCellStyle="Comma"/>
    <tableColumn id="6" xr3:uid="{EAFF9322-7EAC-4CA0-8224-C3E2DFDB8D4D}" name="2024" dataDxfId="474" dataCellStyle="Comma"/>
    <tableColumn id="7" xr3:uid="{469E7BFF-794E-4BFD-8E60-809FBAAD74B3}" name="2025" dataDxfId="473" dataCellStyle="Comma"/>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9A70B34-DC29-48C5-9924-3441DF9F3044}" name="Trent_BS" displayName="Trent_BS" ref="AF2:AL60" totalsRowShown="0" headerRowDxfId="472" dataDxfId="471" tableBorderDxfId="470" dataCellStyle="Comma">
  <autoFilter ref="AF2:AL60" xr:uid="{29A70B34-DC29-48C5-9924-3441DF9F304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2C96B87-6750-4227-BF03-93BA8CFBA580}" name="Particulars" dataDxfId="469"/>
    <tableColumn id="2" xr3:uid="{C98BD7A6-BFC9-4A22-B2D6-4C97F5D301C5}" name="2020" dataDxfId="468" dataCellStyle="Comma"/>
    <tableColumn id="3" xr3:uid="{9A39DD38-68E1-459D-BC34-B4D848034317}" name="2021" dataDxfId="467" dataCellStyle="Comma"/>
    <tableColumn id="4" xr3:uid="{4FB60C5F-BD7E-4F5E-BCA8-AD52D876D795}" name="2022" dataDxfId="466" dataCellStyle="Comma"/>
    <tableColumn id="5" xr3:uid="{C59B029E-F555-4906-8591-1A3A4AE32DE0}" name="2023" dataDxfId="465" dataCellStyle="Comma"/>
    <tableColumn id="6" xr3:uid="{9DDDAF73-C8A1-4959-BE2F-CA0D2CAF00A7}" name="2024" dataDxfId="464" dataCellStyle="Comma"/>
    <tableColumn id="7" xr3:uid="{965AAEB7-D8E6-40EF-9CAE-B40DFE382796}" name="2025" dataDxfId="463" dataCellStyle="Comma"/>
  </tableColumns>
  <tableStyleInfo name="TableStyleDark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FDA23DA-2FEF-4A81-954C-1F62AB22800A}" name="Table9" displayName="Table9" ref="AN2:AS55" totalsRowShown="0" headerRowDxfId="462" dataDxfId="461" tableBorderDxfId="460" dataCellStyle="Comma">
  <autoFilter ref="AN2:AS55" xr:uid="{6FDA23DA-2FEF-4A81-954C-1F62AB22800A}">
    <filterColumn colId="0" hiddenButton="1"/>
    <filterColumn colId="1" hiddenButton="1"/>
    <filterColumn colId="2" hiddenButton="1"/>
    <filterColumn colId="3" hiddenButton="1"/>
    <filterColumn colId="4" hiddenButton="1"/>
    <filterColumn colId="5" hiddenButton="1"/>
  </autoFilter>
  <tableColumns count="6">
    <tableColumn id="1" xr3:uid="{1B8BDD99-FC7E-47F7-AFA4-0AF4D9EA6DD7}" name="Particulars" dataDxfId="459"/>
    <tableColumn id="2" xr3:uid="{DCB699F7-FFD8-4D6E-BB26-6800F39A4B7F}" name="2020" dataDxfId="458" dataCellStyle="Comma"/>
    <tableColumn id="3" xr3:uid="{76644E76-E496-4F11-AE6F-6B6C02AC4CBC}" name="2021" dataDxfId="457" dataCellStyle="Comma"/>
    <tableColumn id="4" xr3:uid="{1B9FEB19-C320-49D0-932E-0CAC97D303D2}" name="2022" dataDxfId="456" dataCellStyle="Comma"/>
    <tableColumn id="5" xr3:uid="{96B23701-E93B-47CD-A32F-07F8E85D4433}" name="2023" dataDxfId="455" dataCellStyle="Comma"/>
    <tableColumn id="6" xr3:uid="{9803126B-9885-4EA6-889D-A8820D0F0B86}" name="2024" dataDxfId="454" dataCellStyle="Comma"/>
  </tableColumns>
  <tableStyleInfo name="TableStyleDark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FAE58C4-2A01-487F-AA98-5474F0CE75D0}" name="Dmart_CBS" displayName="Dmart_CBS" ref="A2:G28" totalsRowShown="0" headerRowDxfId="453" dataDxfId="452" tableBorderDxfId="451">
  <autoFilter ref="A2:G28" xr:uid="{AFAE58C4-2A01-487F-AA98-5474F0CE75D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C3B10FF-8365-4F8C-9387-3CE6156EE3CC}" name="Particulars" dataDxfId="450"/>
    <tableColumn id="2" xr3:uid="{810E6B94-F533-4A7F-BE53-01C4624F0E43}" name="2020" dataDxfId="449"/>
    <tableColumn id="3" xr3:uid="{BD5D9149-B8EA-415B-A7C6-D7E0DC40FDC5}" name="2021" dataDxfId="448"/>
    <tableColumn id="4" xr3:uid="{540C529A-9E35-4A62-9D53-530A3C00325C}" name="2022" dataDxfId="447"/>
    <tableColumn id="5" xr3:uid="{F76EE84C-F740-41C1-8B8C-6EF13B64876D}" name="2023" dataDxfId="446"/>
    <tableColumn id="6" xr3:uid="{A81EB19E-630C-4B42-857B-80D3BDBEC1AF}" name="2024" dataDxfId="445"/>
    <tableColumn id="7" xr3:uid="{97A64DB4-9B15-4481-9A3F-0F2B763D125C}" name="2025" dataDxfId="444"/>
  </tableColumns>
  <tableStyleInfo name="TableStyleDark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05D80A4-1F7E-4DD6-9B51-92B2D22BB6F3}" name="HUL_CBS" displayName="HUL_CBS" ref="I2:N28" totalsRowShown="0" headerRowDxfId="443" dataDxfId="442" tableBorderDxfId="441">
  <autoFilter ref="I2:N28" xr:uid="{205D80A4-1F7E-4DD6-9B51-92B2D22BB6F3}">
    <filterColumn colId="0" hiddenButton="1"/>
    <filterColumn colId="1" hiddenButton="1"/>
    <filterColumn colId="2" hiddenButton="1"/>
    <filterColumn colId="3" hiddenButton="1"/>
    <filterColumn colId="4" hiddenButton="1"/>
    <filterColumn colId="5" hiddenButton="1"/>
  </autoFilter>
  <tableColumns count="6">
    <tableColumn id="1" xr3:uid="{AD0F3DD0-1C75-4BB1-9804-CC230FC8D658}" name="Particulars" dataDxfId="440"/>
    <tableColumn id="2" xr3:uid="{708058C3-1DAA-4185-BEBF-632D5A0A9451}" name="2020" dataDxfId="439"/>
    <tableColumn id="3" xr3:uid="{4E4FF7C5-5497-43E5-A274-6B34BF90C268}" name="2021" dataDxfId="438"/>
    <tableColumn id="4" xr3:uid="{1E57FDCC-3259-41F8-BEF3-AAA7F7F05440}" name="2022" dataDxfId="437"/>
    <tableColumn id="5" xr3:uid="{60257879-0F4D-41FE-80E6-BEA3B1BE0D1D}" name="2023" dataDxfId="436"/>
    <tableColumn id="6" xr3:uid="{80F0D1B6-986B-402B-BC3B-63F2A171F51B}" name="2024" dataDxfId="435"/>
  </tableColumns>
  <tableStyleInfo name="TableStyleDark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8D2A883-A0A4-4008-B85A-4B3E30D7378C}" name="ITC_CBS" displayName="ITC_CBS" ref="P2:V28" totalsRowShown="0" headerRowDxfId="434" dataDxfId="433" tableBorderDxfId="432">
  <autoFilter ref="P2:V28" xr:uid="{F8D2A883-A0A4-4008-B85A-4B3E30D737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52FE668-E1F8-4207-B0B7-3C11E9D4CCE3}" name="Particulars" dataDxfId="431"/>
    <tableColumn id="2" xr3:uid="{B723FEAA-CF50-47DF-8830-D6BB76B61CD3}" name="2020" dataDxfId="430"/>
    <tableColumn id="3" xr3:uid="{C6A33628-936C-49BC-8041-D7120BE4DD58}" name="2021" dataDxfId="429"/>
    <tableColumn id="4" xr3:uid="{DA95B7C5-08EE-4777-A415-DF1AA154673A}" name="2022" dataDxfId="428"/>
    <tableColumn id="5" xr3:uid="{BE4308FE-0366-4D6B-A45F-DF760B24E55D}" name="2023" dataDxfId="427"/>
    <tableColumn id="6" xr3:uid="{3E475B14-938B-4C7E-ACCF-081AA984EB29}" name="2024" dataDxfId="426"/>
    <tableColumn id="7" xr3:uid="{39EE0567-9A79-47ED-89ED-0DA6A0352229}" name="2025" dataDxfId="425"/>
  </tableColumns>
  <tableStyleInfo name="TableStyleDark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8A0C9FC-B57F-4F07-A2C8-9195072B2E9E}" name="Titan_CBS" displayName="Titan_CBS" ref="X2:AD28" totalsRowShown="0" headerRowDxfId="424" dataDxfId="423" tableBorderDxfId="422">
  <autoFilter ref="X2:AD28" xr:uid="{C8A0C9FC-B57F-4F07-A2C8-9195072B2E9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E5409B2-72B6-4FBF-96F5-345ADEFBCBCF}" name="Particulars" dataDxfId="421"/>
    <tableColumn id="2" xr3:uid="{4E7CE9F1-A971-4DF8-B447-EACF98D44A4A}" name="2020" dataDxfId="420"/>
    <tableColumn id="3" xr3:uid="{E3C4F2E3-BA16-48C4-920C-24D7F0C82D68}" name="2021" dataDxfId="419"/>
    <tableColumn id="4" xr3:uid="{9A439268-C9E6-4E74-BC8A-2DB3B45FC9A9}" name="2022" dataDxfId="418"/>
    <tableColumn id="5" xr3:uid="{6436CDD6-BBC5-4FAF-95B4-3167C6A247D1}" name="2023" dataDxfId="417"/>
    <tableColumn id="6" xr3:uid="{3171BB8B-AC15-45BB-88B8-16492065A1FD}" name="2024" dataDxfId="416"/>
    <tableColumn id="7" xr3:uid="{ADE46BF3-CB4B-4C01-A2A0-2AE9D1BDA871}" name="2025" dataDxfId="415"/>
  </tableColumns>
  <tableStyleInfo name="TableStyleDark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DD1AE49-D51B-4A4C-8392-202F4A931458}" name="Trent_CBS" displayName="Trent_CBS" ref="AF2:AL28" totalsRowShown="0" headerRowDxfId="414" dataDxfId="413" tableBorderDxfId="412">
  <autoFilter ref="AF2:AL28" xr:uid="{4DD1AE49-D51B-4A4C-8392-202F4A9314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8925166-EA02-4774-83AF-A9789017EE57}" name="Particulars" dataDxfId="411"/>
    <tableColumn id="2" xr3:uid="{FF87BCC0-D7B5-4BCF-A19E-2AAD44B68E3C}" name="2020" dataDxfId="410"/>
    <tableColumn id="3" xr3:uid="{508C4702-CD1E-4CF6-8C64-A6C49CA2E5B2}" name="2021" dataDxfId="409"/>
    <tableColumn id="4" xr3:uid="{3EC86197-60E8-4722-8900-87D3022F2781}" name="2022" dataDxfId="408"/>
    <tableColumn id="5" xr3:uid="{62B3FE6A-908F-42C1-9775-E1AB40F95DDA}" name="2023" dataDxfId="407"/>
    <tableColumn id="6" xr3:uid="{3D2FC071-5B0A-423C-8432-B69B503C6A5F}" name="2024" dataDxfId="406"/>
    <tableColumn id="7" xr3:uid="{9509AEAD-C218-42ED-A618-A68929D977B8}" name="2025" dataDxfId="405"/>
  </tableColumns>
  <tableStyleInfo name="TableStyleMedium2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4765F69-6F10-40E8-A0C0-96985DAA3ED9}" name="VBL_CBS" displayName="VBL_CBS" ref="AN2:AS28" totalsRowShown="0" headerRowDxfId="404" dataDxfId="403" tableBorderDxfId="402">
  <autoFilter ref="AN2:AS28" xr:uid="{A4765F69-6F10-40E8-A0C0-96985DAA3ED9}">
    <filterColumn colId="0" hiddenButton="1"/>
    <filterColumn colId="1" hiddenButton="1"/>
    <filterColumn colId="2" hiddenButton="1"/>
    <filterColumn colId="3" hiddenButton="1"/>
    <filterColumn colId="4" hiddenButton="1"/>
    <filterColumn colId="5" hiddenButton="1"/>
  </autoFilter>
  <tableColumns count="6">
    <tableColumn id="1" xr3:uid="{5FE08746-78EB-4CA5-89C8-B192828DE0B8}" name="Particulars" dataDxfId="401"/>
    <tableColumn id="2" xr3:uid="{C6BF5DA5-D7BF-48EC-A387-D21F22180336}" name="2020" dataDxfId="400"/>
    <tableColumn id="3" xr3:uid="{8A651612-37C0-4C84-B7E6-0EA810C5A8FF}" name="2021" dataDxfId="399"/>
    <tableColumn id="4" xr3:uid="{21CB4717-3145-4513-B54E-9DB19352D089}" name="2022" dataDxfId="398"/>
    <tableColumn id="5" xr3:uid="{930A0BBD-CE50-408F-AD1C-6D62F9468B77}" name="2023" dataDxfId="397"/>
    <tableColumn id="6" xr3:uid="{5DB3EEF3-F341-409D-9059-DE4DD251B438}" name="2024" dataDxfId="396"/>
  </tableColumns>
  <tableStyleInfo name="TableStyleMedium1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F8CDE4F-C150-4209-81A1-17D46A599C59}" name="Dmart_IS" displayName="Dmart_IS" ref="A2:G21" totalsRowShown="0" headerRowDxfId="395" dataDxfId="394" tableBorderDxfId="393" dataCellStyle="Comma">
  <autoFilter ref="A2:G21" xr:uid="{4F8CDE4F-C150-4209-81A1-17D46A599C5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A3F2113-CC48-4AC0-9D26-B99EEC94DF6D}" name="Particulars" dataDxfId="392"/>
    <tableColumn id="2" xr3:uid="{C79D348B-25D5-4EE1-A5C9-DAA03DD25C15}" name="2020" dataDxfId="391" dataCellStyle="Comma"/>
    <tableColumn id="3" xr3:uid="{788F63D5-35B5-4564-B6C4-D2C96F62B380}" name="2021" dataDxfId="390" dataCellStyle="Comma"/>
    <tableColumn id="4" xr3:uid="{51DF3D55-2477-4C7D-ADC1-583DAC69A634}" name="2022" dataDxfId="389" dataCellStyle="Comma"/>
    <tableColumn id="5" xr3:uid="{FE76A11C-6401-4AE4-9615-9B1483869831}" name="2023" dataDxfId="388" dataCellStyle="Comma"/>
    <tableColumn id="6" xr3:uid="{A3727F66-BDF3-416C-93D2-50092AA1B311}" name="2024" dataDxfId="387" dataCellStyle="Comma"/>
    <tableColumn id="7" xr3:uid="{269DE0F6-1EE4-4F28-91A9-551969CE70E1}" name="2025" dataDxfId="386" dataCellStyle="Comma"/>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00A572-E65E-4569-A084-9E061F3B5F83}" name="HUL_IS" displayName="HUL_IS" ref="I2:N27" totalsRowShown="0" headerRowDxfId="385" dataDxfId="384" tableBorderDxfId="383" dataCellStyle="Comma">
  <autoFilter ref="I2:N27" xr:uid="{1100A572-E65E-4569-A084-9E061F3B5F83}">
    <filterColumn colId="0" hiddenButton="1"/>
    <filterColumn colId="1" hiddenButton="1"/>
    <filterColumn colId="2" hiddenButton="1"/>
    <filterColumn colId="3" hiddenButton="1"/>
    <filterColumn colId="4" hiddenButton="1"/>
    <filterColumn colId="5" hiddenButton="1"/>
  </autoFilter>
  <tableColumns count="6">
    <tableColumn id="1" xr3:uid="{E0582F8C-848A-4805-B833-16B05D401EDC}" name="Particulars" dataDxfId="382"/>
    <tableColumn id="2" xr3:uid="{0BAB901A-51D2-4C8A-AAAD-2AA13418D46A}" name="2020" dataDxfId="381" dataCellStyle="Comma"/>
    <tableColumn id="3" xr3:uid="{DCD43D69-6FDE-495C-A537-CAC85635DC34}" name="2021" dataDxfId="380" dataCellStyle="Comma"/>
    <tableColumn id="4" xr3:uid="{1AF2C849-C502-48E7-A43E-F1071F8DB284}" name="2022" dataDxfId="379" dataCellStyle="Comma"/>
    <tableColumn id="5" xr3:uid="{D9BAED01-88AD-4BBF-B630-A8D29B0E9274}" name="2023" dataDxfId="378" dataCellStyle="Comma"/>
    <tableColumn id="6" xr3:uid="{157062E7-0B7C-451A-8DF6-64B73592C8F9}" name="2024" dataDxfId="377" dataCellStyle="Comma"/>
  </tableColumns>
  <tableStyleInfo name="TableStyleDark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A2CE8E-D10F-4006-A6CE-ADEF9DA9AA8D}" name="ITC_IS" displayName="ITC_IS" ref="P2:V30" totalsRowShown="0" headerRowDxfId="376" tableBorderDxfId="375">
  <autoFilter ref="P2:V30" xr:uid="{F1A2CE8E-D10F-4006-A6CE-ADEF9DA9AA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0612FD-B344-4C3C-8F75-CB0242BA87C9}" name="Particulars"/>
    <tableColumn id="2" xr3:uid="{6E05CF87-289D-41FD-A178-798EA544AC6B}" name="2020"/>
    <tableColumn id="3" xr3:uid="{F9E64496-2A55-4F8D-80F4-8DC27904DB3F}" name="2021"/>
    <tableColumn id="4" xr3:uid="{7AD956A0-BAA6-4603-9AA7-EAE70A04EF00}" name="2022"/>
    <tableColumn id="5" xr3:uid="{57149231-09C2-4AFE-BDAB-2137BE848776}" name="2023"/>
    <tableColumn id="6" xr3:uid="{5C6CD82F-B668-434A-B54C-E7C69047D117}" name="2024"/>
    <tableColumn id="7" xr3:uid="{D3E8F4FD-1322-459F-97B3-A78BB7496E40}" name="2025"/>
  </tableColumns>
  <tableStyleInfo name="TableStyleDark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0442D9-67C8-4A2C-86BC-1F78D362D97C}" name="Titan_IS" displayName="Titan_IS" ref="X2:AD28" totalsRowShown="0" headerRowDxfId="374" tableBorderDxfId="373">
  <autoFilter ref="X2:AD28" xr:uid="{250442D9-67C8-4A2C-86BC-1F78D362D97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B51A685-EB2F-4035-A368-F7C6394E4BE2}" name="Particulars"/>
    <tableColumn id="2" xr3:uid="{730BC0EC-5D34-4E67-9B6B-8269D0054842}" name="2020"/>
    <tableColumn id="3" xr3:uid="{9F5ACA6A-EE30-412B-8777-48D58AAAA28E}" name="2021"/>
    <tableColumn id="4" xr3:uid="{93A42DB8-502F-4940-BE3F-6F63C44ED51D}" name="2022"/>
    <tableColumn id="5" xr3:uid="{2FD214F2-E9BC-46AC-B519-2B48BDF24EC8}" name="2023"/>
    <tableColumn id="6" xr3:uid="{12277030-FFD7-4DA9-8167-4CABB8B81E8D}" name="2024"/>
    <tableColumn id="7" xr3:uid="{1B81B5AC-5391-4390-8F07-B0359EF8E32F}" name="2025"/>
  </tableColumns>
  <tableStyleInfo name="TableStyleMedium1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256C42D-CFF2-4CE2-92F5-B02F2B3CBD0B}" name="Trent_IS" displayName="Trent_IS" ref="AF2:AL25" totalsRowShown="0" headerRowDxfId="372" dataDxfId="371" dataCellStyle="Comma">
  <autoFilter ref="AF2:AL25" xr:uid="{0256C42D-CFF2-4CE2-92F5-B02F2B3CBD0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0DF967-2FDC-4457-ADA1-DB600DE98278}" name="Particulars" dataDxfId="370"/>
    <tableColumn id="2" xr3:uid="{492F042F-74C9-41BF-A1D8-9D41A18C3C46}" name="2020" dataDxfId="369" dataCellStyle="Comma"/>
    <tableColumn id="3" xr3:uid="{73BF6D1A-24C3-44BA-9BDB-496AD483A1A5}" name="2021" dataDxfId="368" dataCellStyle="Comma"/>
    <tableColumn id="4" xr3:uid="{18E3E0DA-B8A3-4921-AF7D-C1B84E229B0C}" name="2022" dataDxfId="367" dataCellStyle="Comma"/>
    <tableColumn id="5" xr3:uid="{E331FB7B-36F1-4440-BD85-29609136CCD0}" name="2023" dataDxfId="366" dataCellStyle="Comma"/>
    <tableColumn id="6" xr3:uid="{15461FA5-6F2B-4FF3-86EB-0A7A6C523C46}" name="2024" dataDxfId="365" dataCellStyle="Comma"/>
    <tableColumn id="7" xr3:uid="{8B04CEDF-43B9-436D-AA0D-D6BC8C8F1F33}" name="2025" dataDxfId="364" dataCellStyle="Comma"/>
  </tableColumns>
  <tableStyleInfo name="TableStyleLight1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886A32B-7676-4142-A2C5-C243564EB96C}" name="VBL_IS" displayName="VBL_IS" ref="AN2:AS27" totalsRowShown="0" headerRowDxfId="363" dataDxfId="362" dataCellStyle="Comma">
  <autoFilter ref="AN2:AS27" xr:uid="{1886A32B-7676-4142-A2C5-C243564EB96C}">
    <filterColumn colId="0" hiddenButton="1"/>
    <filterColumn colId="1" hiddenButton="1"/>
    <filterColumn colId="2" hiddenButton="1"/>
    <filterColumn colId="3" hiddenButton="1"/>
    <filterColumn colId="4" hiddenButton="1"/>
    <filterColumn colId="5" hiddenButton="1"/>
  </autoFilter>
  <tableColumns count="6">
    <tableColumn id="1" xr3:uid="{A18D6868-FB7A-486E-904A-03A04F5E2B7A}" name="Particulars" dataDxfId="361"/>
    <tableColumn id="2" xr3:uid="{676AF9C0-7B53-45BD-8C95-299037719A42}" name="2020" dataDxfId="360" dataCellStyle="Comma"/>
    <tableColumn id="3" xr3:uid="{8651B1A3-96DB-4771-B7A1-F2D7EC82F455}" name="2021" dataDxfId="359" dataCellStyle="Comma"/>
    <tableColumn id="4" xr3:uid="{DCE295C8-DC9D-4FDA-B8DA-ECB036441FC8}" name="2022" dataDxfId="358" dataCellStyle="Comma"/>
    <tableColumn id="5" xr3:uid="{B7FF43FF-84F6-43AD-A73D-B434B322D630}" name="2023" dataDxfId="357" dataCellStyle="Comma"/>
    <tableColumn id="6" xr3:uid="{5AC9CA9A-4AF2-49D6-9827-D0C34A38267B}" name="2024" dataDxfId="356" dataCellStyle="Comma"/>
  </tableColumns>
  <tableStyleInfo name="TableStyleMedium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D87AD7F-BB3C-4A13-B3DD-5774B9F174EF}" name="Dmart_CIS" displayName="Dmart_CIS" ref="A2:G15" totalsRowShown="0" headerRowDxfId="355" dataDxfId="354" tableBorderDxfId="353" dataCellStyle="Percent">
  <autoFilter ref="A2:G15" xr:uid="{ED87AD7F-BB3C-4A13-B3DD-5774B9F174E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B16D138-96D8-422B-9A7E-9DAEDECA35EE}" name="Particulars" dataDxfId="352"/>
    <tableColumn id="2" xr3:uid="{FE16C202-E0C8-4AAD-96B0-101A09B42563}" name="2020" dataDxfId="351" dataCellStyle="Percent"/>
    <tableColumn id="3" xr3:uid="{70DD722C-E0D9-4FDE-8B15-2EE375C91785}" name="2021" dataDxfId="350" dataCellStyle="Percent"/>
    <tableColumn id="4" xr3:uid="{BE6F82B9-330E-484A-B3A1-039D9FAEF371}" name="2022" dataDxfId="349" dataCellStyle="Percent"/>
    <tableColumn id="5" xr3:uid="{51E237E7-A32D-4697-BAAE-A349A90414ED}" name="2023" dataDxfId="348" dataCellStyle="Percent"/>
    <tableColumn id="6" xr3:uid="{22106F8E-951A-4243-8028-EF6B60144A91}" name="2024" dataDxfId="347" dataCellStyle="Percent"/>
    <tableColumn id="7" xr3:uid="{A2F490BC-2E24-4E53-A709-6336C59DE0BB}" name="2025" dataDxfId="346" dataCellStyle="Percent"/>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6AAABA3-C0FD-4FFC-AAA4-9123F42FAC3F}" name="HUL_CIS" displayName="HUL_CIS" ref="I2:N15" totalsRowShown="0" headerRowDxfId="345" dataDxfId="344" tableBorderDxfId="343">
  <autoFilter ref="I2:N15" xr:uid="{C6AAABA3-C0FD-4FFC-AAA4-9123F42FAC3F}">
    <filterColumn colId="0" hiddenButton="1"/>
    <filterColumn colId="1" hiddenButton="1"/>
    <filterColumn colId="2" hiddenButton="1"/>
    <filterColumn colId="3" hiddenButton="1"/>
    <filterColumn colId="4" hiddenButton="1"/>
    <filterColumn colId="5" hiddenButton="1"/>
  </autoFilter>
  <tableColumns count="6">
    <tableColumn id="1" xr3:uid="{F7FEEC9E-9A8D-4BE0-8DB3-48C8F86B13CE}" name="Particulars" dataDxfId="342">
      <calculatedColumnFormula>A3</calculatedColumnFormula>
    </tableColumn>
    <tableColumn id="2" xr3:uid="{A733CB82-CA89-4DC6-86E7-3EFEE3265183}" name="2020" dataDxfId="341" dataCellStyle="Percent"/>
    <tableColumn id="3" xr3:uid="{7EBFF9AF-661C-483C-BCD7-9C5BAD1E2E1A}" name="2021" dataDxfId="340" dataCellStyle="Percent"/>
    <tableColumn id="4" xr3:uid="{244AA659-F445-4771-9121-8089012E0C26}" name="2022" dataDxfId="339" dataCellStyle="Percent"/>
    <tableColumn id="5" xr3:uid="{A8E6CB19-0A8D-4AD4-ADE9-7ADDE534CE44}" name="2023" dataDxfId="338" dataCellStyle="Percent"/>
    <tableColumn id="6" xr3:uid="{D4D1C9EC-8934-42BD-86D7-E61AAA60EB85}" name="2024" dataDxfId="337" dataCellStyle="Percent"/>
  </tableColumns>
  <tableStyleInfo name="TableStyleMedium1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EE4BC78-B332-4CBD-AE9B-69D30F626730}" name="ITC_CIS" displayName="ITC_CIS" ref="P2:V15" totalsRowShown="0" headerRowDxfId="336" dataDxfId="334" headerRowBorderDxfId="335" dataCellStyle="Percent">
  <autoFilter ref="P2:V15" xr:uid="{DEE4BC78-B332-4CBD-AE9B-69D30F62673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1A6B1C-CC52-4E78-9BED-CD5BE22E6146}" name="Particulars" dataDxfId="333">
      <calculatedColumnFormula>I3</calculatedColumnFormula>
    </tableColumn>
    <tableColumn id="2" xr3:uid="{8FB17B36-E1F9-414B-86D1-029D9961BCE1}" name="2020" dataDxfId="332" dataCellStyle="Percent"/>
    <tableColumn id="3" xr3:uid="{B1B16438-F7D5-4DFA-956D-FB8D9874570E}" name="2021" dataDxfId="331" dataCellStyle="Percent"/>
    <tableColumn id="4" xr3:uid="{0C1A0C54-1053-4EC5-B5B2-CD77C3DAFF5B}" name="2022" dataDxfId="330" dataCellStyle="Percent"/>
    <tableColumn id="5" xr3:uid="{F004BBFC-EA71-4AFC-B227-C9308CEC37AA}" name="2023" dataDxfId="329" dataCellStyle="Percent"/>
    <tableColumn id="6" xr3:uid="{42329AE2-5E75-48B2-98F0-3AC2DC5AF6AD}" name="2024" dataDxfId="328" dataCellStyle="Percent"/>
    <tableColumn id="7" xr3:uid="{15603F45-E560-4E47-9208-FDCC6625A64B}" name="2025" dataDxfId="327" dataCellStyle="Percent"/>
  </tableColumns>
  <tableStyleInfo name="TableStyleDark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E98E99E-F5E9-4673-A25E-45B9DCABFCCB}" name="Titan_CIS" displayName="Titan_CIS" ref="X2:AD15" totalsRowShown="0" headerRowDxfId="326" dataDxfId="325" dataCellStyle="Percent">
  <autoFilter ref="X2:AD15" xr:uid="{8E98E99E-F5E9-4673-A25E-45B9DCABFCC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0E1F70E-2B06-41A6-B4A6-4AE5361B30C1}" name="Particulars" dataDxfId="324">
      <calculatedColumnFormula>P3</calculatedColumnFormula>
    </tableColumn>
    <tableColumn id="2" xr3:uid="{F22763E4-84D0-4AE1-9F49-62D8153DC69B}" name="2020" dataDxfId="323" dataCellStyle="Percent"/>
    <tableColumn id="3" xr3:uid="{C8028834-A24D-4F2E-8A35-4E9AF896CCC2}" name="2021" dataDxfId="322" dataCellStyle="Percent"/>
    <tableColumn id="4" xr3:uid="{49017BAE-2F85-44EA-9F8D-CC23856B6FAA}" name="2022" dataDxfId="321" dataCellStyle="Percent"/>
    <tableColumn id="5" xr3:uid="{203E8136-7566-4E1A-92D2-C6F973064EC0}" name="2023" dataDxfId="320" dataCellStyle="Percent"/>
    <tableColumn id="6" xr3:uid="{80F10595-1C84-4B30-B7C4-EEC1795E105A}" name="2024" dataDxfId="319" dataCellStyle="Percent"/>
    <tableColumn id="7" xr3:uid="{F6F8AC77-37F7-42DC-9FD3-709B914E9C4A}" name="2025" dataDxfId="318" dataCellStyle="Percent"/>
  </tableColumns>
  <tableStyleInfo name="TableStyleDark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C55B140-E144-442C-A7DE-C6A796D85F38}" name="Trent_CIS" displayName="Trent_CIS" ref="AF2:AL15" totalsRowShown="0" headerRowDxfId="317" dataDxfId="316" tableBorderDxfId="315">
  <autoFilter ref="AF2:AL15" xr:uid="{4C55B140-E144-442C-A7DE-C6A796D85F3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AB12C11-694F-4A03-A866-E2BAAC92D8DB}" name="Particulars" dataDxfId="314"/>
    <tableColumn id="2" xr3:uid="{C1491859-4FDB-49E6-8958-949C53BF5F1C}" name="2020" dataDxfId="313" dataCellStyle="Percent"/>
    <tableColumn id="3" xr3:uid="{C26957AA-B35F-4A21-9ECB-659C130B87D9}" name="2021" dataDxfId="312" dataCellStyle="Percent"/>
    <tableColumn id="4" xr3:uid="{2EC6B9F9-92E5-4B46-BDED-EC5D66BAAAE2}" name="2022" dataDxfId="311" dataCellStyle="Percent"/>
    <tableColumn id="5" xr3:uid="{DA8FE856-90F4-4CDD-A713-C317EA359641}" name="2023" dataDxfId="310" dataCellStyle="Percent"/>
    <tableColumn id="6" xr3:uid="{1D8B0D5C-207C-4D51-9642-E7D816A4C8C7}" name="2024" dataDxfId="309" dataCellStyle="Percent"/>
    <tableColumn id="7" xr3:uid="{6CFF0914-8442-4E34-AB4D-94F672B4F620}" name="2025" dataDxfId="308" dataCellStyle="Percent"/>
  </tableColumns>
  <tableStyleInfo name="TableStyleDark10"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C2CF6A1-774F-4494-B0EB-80826AFD3355}" name="VBL_CIS" displayName="VBL_CIS" ref="AN2:AS15" totalsRowShown="0" headerRowDxfId="307" dataDxfId="306">
  <autoFilter ref="AN2:AS15" xr:uid="{3C2CF6A1-774F-4494-B0EB-80826AFD3355}">
    <filterColumn colId="0" hiddenButton="1"/>
    <filterColumn colId="1" hiddenButton="1"/>
    <filterColumn colId="2" hiddenButton="1"/>
    <filterColumn colId="3" hiddenButton="1"/>
    <filterColumn colId="4" hiddenButton="1"/>
    <filterColumn colId="5" hiddenButton="1"/>
  </autoFilter>
  <tableColumns count="6">
    <tableColumn id="1" xr3:uid="{EC30810A-F683-4351-B6EB-965EE325EF12}" name="Particulars" dataDxfId="305"/>
    <tableColumn id="2" xr3:uid="{E19596D2-DABB-4689-A1F3-0DC89FF83521}" name="2020" dataDxfId="304" dataCellStyle="Percent"/>
    <tableColumn id="3" xr3:uid="{E4CCAAE8-CACF-4A4A-9DD8-2093A73734AE}" name="2021" dataDxfId="303" dataCellStyle="Percent"/>
    <tableColumn id="4" xr3:uid="{C2BEE9F9-63DD-4914-B5C5-5451E400F7C1}" name="2022" dataDxfId="302" dataCellStyle="Percent"/>
    <tableColumn id="5" xr3:uid="{B2ECEDF4-891A-4F09-91EF-5EB7ED19FC74}" name="2023" dataDxfId="301" dataCellStyle="Percent"/>
    <tableColumn id="6" xr3:uid="{134A0C70-1D3C-46D9-BC1C-41B28DF09B93}" name="2024" dataDxfId="300" dataCellStyle="Percent"/>
  </tableColumns>
  <tableStyleInfo name="TableStyleMedium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FB9BD81-7273-4D91-9331-9D6283397AAF}" name="Dmat_CS" displayName="Dmat_CS" ref="A2:G62" totalsRowShown="0" headerRowDxfId="299" dataDxfId="298" tableBorderDxfId="297" headerRowCellStyle="Comma" dataCellStyle="Comma">
  <autoFilter ref="A2:G62" xr:uid="{6FB9BD81-7273-4D91-9331-9D6283397AA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1F13743-88A8-48B7-BE54-1D4256336BB2}" name="Cash flow from operating activities" dataDxfId="296"/>
    <tableColumn id="2" xr3:uid="{44493F46-97BB-42BE-BE1A-790B88F843B4}" name="2020" dataDxfId="295" dataCellStyle="Comma"/>
    <tableColumn id="3" xr3:uid="{1BA83E95-FD69-4CD7-911C-1DAA94538F42}" name="2021" dataDxfId="294" dataCellStyle="Comma"/>
    <tableColumn id="4" xr3:uid="{B2EEC0A4-143D-4A3A-B20E-DA4EEB7FA8D9}" name="2022" dataDxfId="293" dataCellStyle="Comma"/>
    <tableColumn id="5" xr3:uid="{B638FB8B-F9A3-4A5C-84FD-D07FA53DDAB9}" name="2023" dataDxfId="292" dataCellStyle="Comma"/>
    <tableColumn id="6" xr3:uid="{E478B0CC-E6AE-47FB-AF49-C89559FE0805}" name="2024" dataDxfId="291" dataCellStyle="Comma"/>
    <tableColumn id="7" xr3:uid="{68DCDF57-0361-4864-9940-54C3097E50C9}" name="2025" dataDxfId="290" dataCellStyle="Comma"/>
  </tableColumns>
  <tableStyleInfo name="TableStyleMedium13"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9DB7FFB-E3FD-48F5-B674-2AC193F80B1D}" name="HUL_CS" displayName="HUL_CS" ref="I2:N66" totalsRowShown="0" headerRowDxfId="289" dataDxfId="288" tableBorderDxfId="287" dataCellStyle="Comma">
  <autoFilter ref="I2:N66" xr:uid="{19DB7FFB-E3FD-48F5-B674-2AC193F80B1D}">
    <filterColumn colId="0" hiddenButton="1"/>
    <filterColumn colId="1" hiddenButton="1"/>
    <filterColumn colId="2" hiddenButton="1"/>
    <filterColumn colId="3" hiddenButton="1"/>
    <filterColumn colId="4" hiddenButton="1"/>
    <filterColumn colId="5" hiddenButton="1"/>
  </autoFilter>
  <tableColumns count="6">
    <tableColumn id="1" xr3:uid="{7079731A-8216-4A95-9A97-C93C782038BA}" name="Particulars" dataDxfId="286"/>
    <tableColumn id="2" xr3:uid="{345EBCBC-3F86-4EBF-8168-738B4D2769E4}" name="2020" dataDxfId="285" dataCellStyle="Comma"/>
    <tableColumn id="3" xr3:uid="{9D62AC15-3B34-41CB-80FC-C3837FE6A682}" name="2021" dataDxfId="284" dataCellStyle="Comma"/>
    <tableColumn id="4" xr3:uid="{BEAA4FC9-91FD-48DB-8D97-913AA4E5F09B}" name="2022" dataDxfId="283" dataCellStyle="Comma"/>
    <tableColumn id="5" xr3:uid="{E8E4E7E5-A393-4FAD-A479-482F97036B81}" name="2023" dataDxfId="282" dataCellStyle="Comma"/>
    <tableColumn id="6" xr3:uid="{B3D39D20-2795-44EE-817B-FA0F6DE9F9A6}" name="2024" dataDxfId="281" dataCellStyle="Comma"/>
  </tableColumns>
  <tableStyleInfo name="TableStyleDark10"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A31A678-699D-4ED3-9D8D-1365D15E9C6F}" name="ITC_CS" displayName="ITC_CS" ref="P2:V64" totalsRowShown="0" headerRowDxfId="280" dataDxfId="279" tableBorderDxfId="278" dataCellStyle="Comma">
  <autoFilter ref="P2:V64" xr:uid="{8A31A678-699D-4ED3-9D8D-1365D15E9C6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4FE8591-F29E-4EC5-B049-AC78A43A38FF}" name="Particulars" dataDxfId="277"/>
    <tableColumn id="2" xr3:uid="{8F770D28-BFDB-46DB-BAB3-F10474762720}" name="2020" dataDxfId="276" dataCellStyle="Comma"/>
    <tableColumn id="3" xr3:uid="{A178F9D8-1B7F-433B-BEE8-D3BF41462640}" name="2021" dataDxfId="275" dataCellStyle="Comma"/>
    <tableColumn id="4" xr3:uid="{2AA07DB6-C6EE-4A5E-AE98-E13F59469E70}" name="2022" dataDxfId="274" dataCellStyle="Comma"/>
    <tableColumn id="5" xr3:uid="{90A1FEE5-175F-47B5-A6B0-46A67299A7E6}" name="2023" dataDxfId="273" dataCellStyle="Comma"/>
    <tableColumn id="6" xr3:uid="{AB4E780C-4AAD-4DA2-9DB2-FEE1F1789C2D}" name="2024" dataDxfId="272" dataCellStyle="Comma"/>
    <tableColumn id="7" xr3:uid="{602B6335-854C-4C4C-A767-3595D8DD8AD6}" name="2025" dataDxfId="271" dataCellStyle="Comma"/>
  </tableColumns>
  <tableStyleInfo name="TableStyleDark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71FCB08-1243-4D88-A3C5-A3371BA05CC9}" name="Table16" displayName="Table16" ref="X2:AD64" totalsRowShown="0" headerRowDxfId="270" dataDxfId="269" tableBorderDxfId="268" dataCellStyle="Comma">
  <autoFilter ref="X2:AD64" xr:uid="{C71FCB08-1243-4D88-A3C5-A3371BA05CC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222C89-662C-4F69-91F2-DFF1FED3A78C}" name="Particulars" dataDxfId="267"/>
    <tableColumn id="2" xr3:uid="{04C40386-3B29-41CE-9CA3-37245862BAE0}" name="2020" dataDxfId="266" dataCellStyle="Comma"/>
    <tableColumn id="3" xr3:uid="{71A5D08E-9394-4279-A4D7-5A034A0F1667}" name="2021" dataDxfId="265" dataCellStyle="Comma"/>
    <tableColumn id="4" xr3:uid="{CC81BEAB-D729-4DDF-B5C1-DDF527600393}" name="2022" dataDxfId="264" dataCellStyle="Comma"/>
    <tableColumn id="5" xr3:uid="{C8947BC8-20BD-450F-9603-30613E7F3A26}" name="2023" dataDxfId="263" dataCellStyle="Comma"/>
    <tableColumn id="6" xr3:uid="{BB890DBD-E894-43E0-B85A-F5FDAE47A730}" name="2024" dataDxfId="262" dataCellStyle="Comma"/>
    <tableColumn id="7" xr3:uid="{3A90CE98-7805-49AD-BD2C-89597AC571A2}" name="2025" dataDxfId="261" dataCellStyle="Comma"/>
  </tableColumns>
  <tableStyleInfo name="TableStyleDark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7DB4BF-9983-4364-B782-7B86D9109371}" name="Table17" displayName="Table17" ref="AF2:AL59" totalsRowShown="0" headerRowDxfId="260" dataDxfId="259" dataCellStyle="Comma">
  <autoFilter ref="AF2:AL59" xr:uid="{BC7DB4BF-9983-4364-B782-7B86D91093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EB232BD-731A-44A9-888A-E5B7D867C1C8}" name="Particulars" dataDxfId="258"/>
    <tableColumn id="2" xr3:uid="{CC46998E-5B19-47ED-BACD-B29EFCF94063}" name="2020" dataDxfId="257" dataCellStyle="Comma"/>
    <tableColumn id="3" xr3:uid="{A0F72AF1-F64F-436B-9607-0D90C9641D1A}" name="2021" dataDxfId="256" dataCellStyle="Comma"/>
    <tableColumn id="4" xr3:uid="{40C57940-529E-44E8-AC3F-E3E736F5C451}" name="2022" dataDxfId="255" dataCellStyle="Comma"/>
    <tableColumn id="5" xr3:uid="{30DB4620-B0DB-4ED8-93B9-687525032C91}" name="2023" dataDxfId="254" dataCellStyle="Comma"/>
    <tableColumn id="6" xr3:uid="{708BAE90-92C5-4766-B969-9F553BD8D32D}" name="2024" dataDxfId="253" dataCellStyle="Comma"/>
    <tableColumn id="7" xr3:uid="{C68E754A-7B2D-4356-880C-1FCE267CFF3E}" name="2025" dataDxfId="252" dataCellStyle="Comma"/>
  </tableColumns>
  <tableStyleInfo name="TableStyleMedium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50C2F65-A958-4648-8813-4D0C4A51A2B5}" name="Table18" displayName="Table18" ref="AN2:AS55" totalsRowShown="0" headerRowDxfId="251" dataDxfId="250" tableBorderDxfId="249" dataCellStyle="Comma">
  <autoFilter ref="AN2:AS55" xr:uid="{C50C2F65-A958-4648-8813-4D0C4A51A2B5}">
    <filterColumn colId="0" hiddenButton="1"/>
    <filterColumn colId="1" hiddenButton="1"/>
    <filterColumn colId="2" hiddenButton="1"/>
    <filterColumn colId="3" hiddenButton="1"/>
    <filterColumn colId="4" hiddenButton="1"/>
    <filterColumn colId="5" hiddenButton="1"/>
  </autoFilter>
  <tableColumns count="6">
    <tableColumn id="1" xr3:uid="{33C54A31-31E4-416D-8990-49D233CC9F36}" name="Particulars" dataDxfId="248"/>
    <tableColumn id="2" xr3:uid="{F82CBA86-E20F-4BFF-94D5-B0CDBD2B22EC}" name="2020" dataDxfId="247" dataCellStyle="Comma"/>
    <tableColumn id="3" xr3:uid="{763635E7-D3B3-433F-9E5D-B3617C40C4F1}" name="2021" dataDxfId="246" dataCellStyle="Comma"/>
    <tableColumn id="4" xr3:uid="{1137C5FF-45CD-4D75-A869-0F89FDD6C6FA}" name="2022" dataDxfId="245" dataCellStyle="Comma"/>
    <tableColumn id="5" xr3:uid="{393E1DCF-559C-4B1B-85F7-4626B295E403}" name="2023" dataDxfId="244" dataCellStyle="Comma"/>
    <tableColumn id="6" xr3:uid="{908F4ACF-24CA-40D7-AE99-9D5726459278}" name="2024" dataDxfId="243" dataCellStyle="Comma"/>
  </tableColumns>
  <tableStyleInfo name="TableStyleDark10"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F3D0E0E-54EB-4C59-9C9A-06CD45CC9DC9}" name="Table40" displayName="Table40" ref="A2:G27" totalsRowShown="0" headerRowDxfId="242" dataDxfId="241" tableBorderDxfId="240">
  <autoFilter ref="A2:G27" xr:uid="{4F3D0E0E-54EB-4C59-9C9A-06CD45CC9DC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3F42CC-D240-4AFD-8679-139C4C3B732C}" name="Metrics" dataDxfId="239"/>
    <tableColumn id="2" xr3:uid="{8456EB9F-D557-4517-8EE3-D12A9D4649D1}" name="2020" dataDxfId="238"/>
    <tableColumn id="3" xr3:uid="{2049303C-D4E6-4CDE-87A8-7E04CD4E8561}" name="2021" dataDxfId="237"/>
    <tableColumn id="4" xr3:uid="{AE0B4249-E2E0-40E9-A568-6FEFFB41ECB8}" name="2022" dataDxfId="236"/>
    <tableColumn id="5" xr3:uid="{7B22BE4E-818F-4B16-BA07-C21CF9389603}" name="2023" dataDxfId="235"/>
    <tableColumn id="6" xr3:uid="{31D3B234-0AF6-4FC1-8329-7E0E80F37E53}" name="2024" dataDxfId="234"/>
    <tableColumn id="7" xr3:uid="{E3DF9C34-C4EB-4DDE-91BE-3FC562F7E768}" name="2025" dataDxfId="233"/>
  </tableColumns>
  <tableStyleInfo name="TableStyleDark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88F5DE7-E9B6-4B72-B30B-61C47FA98AD1}" name="Table4047" displayName="Table4047" ref="I2:N27" totalsRowShown="0" headerRowDxfId="232" dataDxfId="231" tableBorderDxfId="230">
  <autoFilter ref="I2:N27" xr:uid="{988F5DE7-E9B6-4B72-B30B-61C47FA98AD1}">
    <filterColumn colId="0" hiddenButton="1"/>
    <filterColumn colId="1" hiddenButton="1"/>
    <filterColumn colId="2" hiddenButton="1"/>
    <filterColumn colId="3" hiddenButton="1"/>
    <filterColumn colId="4" hiddenButton="1"/>
    <filterColumn colId="5" hiddenButton="1"/>
  </autoFilter>
  <tableColumns count="6">
    <tableColumn id="1" xr3:uid="{2229F1DA-5B1D-4B01-9B49-EDA0E1F1F27A}" name="Metrics" dataDxfId="229"/>
    <tableColumn id="2" xr3:uid="{134EDC41-90B3-4271-BA79-88BEB134D805}" name="2020" dataDxfId="228"/>
    <tableColumn id="3" xr3:uid="{86859FE3-DA65-456A-93F8-9674824AEF9C}" name="2021" dataDxfId="227"/>
    <tableColumn id="4" xr3:uid="{98BB4884-E63C-40A3-AB54-810CFEB2E9CF}" name="2022" dataDxfId="226"/>
    <tableColumn id="5" xr3:uid="{F7F936E0-2957-4B01-8BCA-F616FEE1D45A}" name="2023" dataDxfId="225"/>
    <tableColumn id="6" xr3:uid="{C79898FE-3C6F-4801-82C9-2D05D79CA998}" name="2024" dataDxfId="224"/>
  </tableColumns>
  <tableStyleInfo name="TableStyleDark10"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8C068599-996D-42CA-8350-8ADFB0C1B0FA}" name="Table404748" displayName="Table404748" ref="P2:V27" totalsRowShown="0" headerRowDxfId="223" dataDxfId="222" tableBorderDxfId="221">
  <autoFilter ref="P2:V27" xr:uid="{8C068599-996D-42CA-8350-8ADFB0C1B0F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D580C80-1951-4787-8917-4D1AEA597C6D}" name="Metrics" dataDxfId="220"/>
    <tableColumn id="2" xr3:uid="{3071E4E2-0D94-4B7D-AF65-455221E5F812}" name="2020" dataDxfId="219"/>
    <tableColumn id="3" xr3:uid="{9283DE23-BC4B-48DA-9D43-258829CBE6FD}" name="2021" dataDxfId="218"/>
    <tableColumn id="4" xr3:uid="{7AE49FF8-A674-4047-9B03-0D16B372B1B3}" name="2022" dataDxfId="217"/>
    <tableColumn id="5" xr3:uid="{FFD8452B-26C9-44F2-A41E-02756EF33D07}" name="2023" dataDxfId="216"/>
    <tableColumn id="6" xr3:uid="{4A82A6CC-E989-451D-8CF0-683FF9DCA368}" name="2024" dataDxfId="215"/>
    <tableColumn id="7" xr3:uid="{B520B69E-45CF-47FA-AC5D-9BD11F7F5FAA}" name="2025" dataDxfId="214"/>
  </tableColumns>
  <tableStyleInfo name="TableStyleDark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7071078-EF6B-4887-8BBB-921E9FD7409A}" name="Table4050" displayName="Table4050" ref="X2:AD27" totalsRowShown="0" headerRowDxfId="213" dataDxfId="212" tableBorderDxfId="211">
  <autoFilter ref="X2:AD27" xr:uid="{17071078-EF6B-4887-8BBB-921E9FD7409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53F32DE-FBA4-417B-B11B-EDC04FA7D046}" name="Metrics" dataDxfId="210"/>
    <tableColumn id="2" xr3:uid="{411FA19B-CF72-400A-A1F2-23D63BA3E9D6}" name="2020" dataDxfId="209"/>
    <tableColumn id="3" xr3:uid="{E920868C-6F34-4D38-A020-E99D8F325804}" name="2021" dataDxfId="208"/>
    <tableColumn id="4" xr3:uid="{E027EC69-30A7-4CCC-8C92-186A23B50B3D}" name="2022" dataDxfId="207"/>
    <tableColumn id="5" xr3:uid="{C6171167-D595-4DFA-A546-632D13A22930}" name="2023" dataDxfId="206"/>
    <tableColumn id="6" xr3:uid="{A3575506-8521-4BA8-ADDD-78B1FF58CE93}" name="2024" dataDxfId="205"/>
    <tableColumn id="7" xr3:uid="{C915D1C7-8B4D-4DD8-A9D4-BF014F0A45CC}" name="2025" dataDxfId="204"/>
  </tableColumns>
  <tableStyleInfo name="TableStyleDark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96DDB6BF-DEDE-4061-B8A9-AC4A255A77BC}" name="Table405052" displayName="Table405052" ref="AF2:AL27" totalsRowShown="0" headerRowDxfId="203" dataDxfId="202" tableBorderDxfId="201">
  <autoFilter ref="AF2:AL27" xr:uid="{96DDB6BF-DEDE-4061-B8A9-AC4A255A77B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460C89C-3DCC-4A6F-923B-E3641336ACE7}" name="Metrics" dataDxfId="200"/>
    <tableColumn id="2" xr3:uid="{32D3F658-75F4-4980-99DC-399F5D3DA109}" name="2020" dataDxfId="199"/>
    <tableColumn id="3" xr3:uid="{A6727DB2-530E-40BA-B990-E920C8963BC4}" name="2021" dataDxfId="198"/>
    <tableColumn id="4" xr3:uid="{16225498-C566-4AD7-ACBD-6C703F53E983}" name="2022" dataDxfId="197"/>
    <tableColumn id="5" xr3:uid="{CD31D509-1BA2-44CC-8544-749E831111EC}" name="2023" dataDxfId="196"/>
    <tableColumn id="6" xr3:uid="{94479BAF-809C-446B-B69E-7138A89265DE}" name="2024" dataDxfId="195"/>
    <tableColumn id="7" xr3:uid="{91899430-7E6D-4CB5-B926-98124F034157}" name="2025" dataDxfId="194"/>
  </tableColumns>
  <tableStyleInfo name="TableStyleDark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236D039-EBD7-47EB-9691-C93384BF2982}" name="Table404754" displayName="Table404754" ref="AN2:AS27" totalsRowShown="0" headerRowDxfId="193" dataDxfId="192" tableBorderDxfId="191">
  <autoFilter ref="AN2:AS27" xr:uid="{F236D039-EBD7-47EB-9691-C93384BF2982}">
    <filterColumn colId="0" hiddenButton="1"/>
    <filterColumn colId="1" hiddenButton="1"/>
    <filterColumn colId="2" hiddenButton="1"/>
    <filterColumn colId="3" hiddenButton="1"/>
    <filterColumn colId="4" hiddenButton="1"/>
    <filterColumn colId="5" hiddenButton="1"/>
  </autoFilter>
  <tableColumns count="6">
    <tableColumn id="1" xr3:uid="{2066E93A-AD7A-41C6-AFAC-5A10467EEF37}" name="Metrics" dataDxfId="190"/>
    <tableColumn id="2" xr3:uid="{BA60FA71-3F90-4AEA-9471-85E39EBDF8F0}" name="2020" dataDxfId="189"/>
    <tableColumn id="3" xr3:uid="{3B1923D3-8D40-4D08-8E89-7F0A8A410D37}" name="2021" dataDxfId="188"/>
    <tableColumn id="4" xr3:uid="{C91088A7-DAE2-49F4-B3F7-C28F5EB53721}" name="2022" dataDxfId="187"/>
    <tableColumn id="5" xr3:uid="{9B0A7C3D-9C8E-4CCD-8EE7-EFA88B2C07FA}" name="2023" dataDxfId="186"/>
    <tableColumn id="6" xr3:uid="{ACC05952-06C9-4633-B634-8DB7D78C4DD1}" name="2024" dataDxfId="185"/>
  </tableColumns>
  <tableStyleInfo name="TableStyleDark10"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8ADE6AA-F9EB-4A37-8534-F1413846D3BF}" name="Table22" displayName="Table22" ref="A2:H33" totalsRowShown="0" headerRowDxfId="184" dataDxfId="183" tableBorderDxfId="182" dataCellStyle="Comma">
  <autoFilter ref="A2:H33" xr:uid="{E8ADE6AA-F9EB-4A37-8534-F1413846D3B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8BAD84B-3DFC-47D3-958A-55DF1EBBAEB5}" name="Particulars" dataDxfId="181"/>
    <tableColumn id="2" xr3:uid="{6C0E34B3-03D9-4213-94D3-719CAFD81ED7}" name="2025 (Current)" dataDxfId="180" dataCellStyle="Comma"/>
    <tableColumn id="8" xr3:uid="{FB6FE1BF-3E0E-4CF7-BD77-D5D67F6E483F}" name="CAGR" dataDxfId="179" dataCellStyle="Comma"/>
    <tableColumn id="3" xr3:uid="{FB1B7830-65BD-4A65-B812-CB2C117AF50E}" name="2026" dataDxfId="178" dataCellStyle="Comma"/>
    <tableColumn id="4" xr3:uid="{5737201B-24C0-4633-AD55-EF725F0E7769}" name="2027" dataDxfId="177" dataCellStyle="Comma"/>
    <tableColumn id="5" xr3:uid="{51538B29-D5B4-4E03-A5AD-8688426C0130}" name="2028" dataDxfId="176" dataCellStyle="Comma"/>
    <tableColumn id="6" xr3:uid="{7448B826-F6B5-4A20-BF08-9E33C59EF218}" name="2029" dataDxfId="175" dataCellStyle="Comma"/>
    <tableColumn id="7" xr3:uid="{BDA37C8E-9BC8-4905-827A-A349AD3C030A}" name="2030" dataDxfId="174" dataCellStyle="Comma"/>
  </tableColumns>
  <tableStyleInfo name="TableStyleDark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F8DFE5F-B844-4EE4-B3E0-0CF326C0477A}" name="Table2231" displayName="Table2231" ref="J2:R34" totalsRowShown="0" headerRowDxfId="173" dataDxfId="172" tableBorderDxfId="171" dataCellStyle="Comma">
  <autoFilter ref="J2:R34" xr:uid="{1F8DFE5F-B844-4EE4-B3E0-0CF326C0477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0279541-FAD8-4B73-AB09-CCAAEDA95D3D}" name="Particulars" dataDxfId="170"/>
    <tableColumn id="2" xr3:uid="{0B633B7A-4144-4BC2-8658-B1ED6D840A44}" name="2024 (Actual)" dataDxfId="169" dataCellStyle="Comma"/>
    <tableColumn id="8" xr3:uid="{60C30C26-50A3-4AAF-8D02-6884CD817ED5}" name="Growth" dataDxfId="168" dataCellStyle="Comma"/>
    <tableColumn id="3" xr3:uid="{DBF46F87-7966-4693-9D01-C71982F81916}" name="2025" dataDxfId="167" dataCellStyle="Comma"/>
    <tableColumn id="4" xr3:uid="{5EE23A12-381A-4D08-A8A5-8F7495F12EBA}" name="2026" dataDxfId="166" dataCellStyle="Comma"/>
    <tableColumn id="5" xr3:uid="{3BD03437-1142-42EA-ABC4-37DE364D96B7}" name="2027" dataDxfId="165" dataCellStyle="Comma"/>
    <tableColumn id="6" xr3:uid="{F3E04B56-78A8-4912-8E93-036A8281025B}" name="2028" dataDxfId="164" dataCellStyle="Comma"/>
    <tableColumn id="7" xr3:uid="{36D54A9B-DDA3-4F25-BBE0-BC3A1A4EAD10}" name="2029" dataDxfId="163" dataCellStyle="Comma"/>
    <tableColumn id="9" xr3:uid="{1C0FBA70-512C-4A3B-9354-D06D58AF8C4C}" name="2030" dataDxfId="162" dataCellStyle="Comma"/>
  </tableColumns>
  <tableStyleInfo name="TableStyleDark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D3A1DB8-6FFF-4F7D-AAB0-0BA4C56A2050}" name="Table32" displayName="Table32" ref="T2:AA34" totalsRowShown="0" headerRowDxfId="161" headerRowBorderDxfId="160" tableBorderDxfId="159">
  <autoFilter ref="T2:AA34" xr:uid="{3D3A1DB8-6FFF-4F7D-AAB0-0BA4C56A205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1399237-516D-4018-912A-82A7A2D93C73}" name="Particulars"/>
    <tableColumn id="2" xr3:uid="{BC4F889D-9F3C-4758-9ECD-FFFD4719FB03}" name="2025 (Current)"/>
    <tableColumn id="3" xr3:uid="{E99153C1-54F6-4A91-8328-8EF864C895D4}" name="Growth"/>
    <tableColumn id="4" xr3:uid="{4B2C018E-EAC7-4313-8069-B1A07FA1010D}" name="2026"/>
    <tableColumn id="5" xr3:uid="{C30DDB2A-7FCD-4462-BE45-55C504143610}" name="2027"/>
    <tableColumn id="6" xr3:uid="{69880885-53CF-4A9C-BC25-7B4ACA557F65}" name="2028"/>
    <tableColumn id="7" xr3:uid="{57D225B2-8305-4834-B143-61158D517F99}" name="2029"/>
    <tableColumn id="8" xr3:uid="{319DAB5C-168A-447F-BE9D-91B03CD3FE79}" name="2030"/>
  </tableColumns>
  <tableStyleInfo name="TableStyleDark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59D796A-87D6-43D1-82DF-6498E78BD95F}" name="Table34" displayName="Table34" ref="T38:AA68" totalsRowShown="0" headerRowDxfId="158" headerRowBorderDxfId="157" tableBorderDxfId="156">
  <autoFilter ref="T38:AA68" xr:uid="{459D796A-87D6-43D1-82DF-6498E78BD95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E4B50BF-0729-4551-BBD8-FF767BD7A0F9}" name="Working notes" dataDxfId="155"/>
    <tableColumn id="2" xr3:uid="{1D0D5ED8-44C8-46E3-8600-7DA886CF7514}" name="2020"/>
    <tableColumn id="3" xr3:uid="{07721C6F-3F79-4F10-86CD-68CF50D82277}" name="2021"/>
    <tableColumn id="4" xr3:uid="{61B40025-9228-49D9-8E6C-BD0F08C48F50}" name="2022"/>
    <tableColumn id="5" xr3:uid="{F7EE80FF-519D-4FA2-9753-3E5BB8EC117D}" name="2023"/>
    <tableColumn id="6" xr3:uid="{1770D0BB-5623-44C3-AE41-7D5D5A803C3C}" name="2024"/>
    <tableColumn id="7" xr3:uid="{09FBA00F-F92C-4C28-BE8A-E4552360453B}" name="2025" dataDxfId="154"/>
    <tableColumn id="8" xr3:uid="{71B59EF4-2593-499B-A84B-A89652B82BC1}" name="Average" dataDxfId="153"/>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88CA0FE-0228-4AAD-84C8-59D5BF1CDA8B}" name="Table36" displayName="Table36" ref="AC2:AJ34" totalsRowShown="0" headerRowDxfId="152" dataDxfId="150" headerRowBorderDxfId="151">
  <autoFilter ref="AC2:AJ34" xr:uid="{688CA0FE-0228-4AAD-84C8-59D5BF1CDA8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1AAEE6-5A83-408D-A0CE-15F575973E17}" name="Particulars"/>
    <tableColumn id="2" xr3:uid="{7F8EAF10-A3B0-4813-BB3B-12C4392041BE}" name="2025 (Current)" dataDxfId="149"/>
    <tableColumn id="3" xr3:uid="{3A261334-9476-4969-A16F-D2E4956E8735}" name="Growth" dataDxfId="148"/>
    <tableColumn id="4" xr3:uid="{C9A4318E-3B32-476A-B2EA-A671D5B7AA46}" name="2026" dataDxfId="147"/>
    <tableColumn id="5" xr3:uid="{0C74FC51-FBD9-493C-9A48-C1AF983535D2}" name="2027" dataDxfId="146"/>
    <tableColumn id="6" xr3:uid="{88306C90-9B9E-4033-9C81-D16654CA135F}" name="2028" dataDxfId="145"/>
    <tableColumn id="7" xr3:uid="{4E2BD30A-B0CB-4374-8B49-60386DDCE542}" name="2029" dataDxfId="144"/>
    <tableColumn id="8" xr3:uid="{CB2A34B0-4FD1-40A0-8B72-12CD817FF484}" name="2030" dataDxfId="143"/>
  </tableColumns>
  <tableStyleInfo name="TableStyleDark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89AC56A-6CD5-478B-8B49-981A8B72F2D6}" name="Table3442" displayName="Table3442" ref="AC38:AJ78" totalsRowShown="0" headerRowDxfId="142" headerRowBorderDxfId="141" tableBorderDxfId="140">
  <autoFilter ref="AC38:AJ78" xr:uid="{989AC56A-6CD5-478B-8B49-981A8B72F2D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0E6124E-C156-4A8E-9787-5249B099DB0A}" name="Working notes" dataDxfId="139"/>
    <tableColumn id="2" xr3:uid="{3354AAC1-E95D-4AED-890C-23D96C19110C}" name="2020" dataDxfId="138"/>
    <tableColumn id="3" xr3:uid="{A4708703-6E67-4FA1-90C4-88E458351F46}" name="2021" dataDxfId="137"/>
    <tableColumn id="4" xr3:uid="{395BF0FC-A157-4466-9E79-F8A61EAF60A0}" name="2022" dataDxfId="136"/>
    <tableColumn id="5" xr3:uid="{D8DD7405-54CC-41F1-9C26-0797CFD8931C}" name="2023" dataDxfId="135"/>
    <tableColumn id="6" xr3:uid="{357E8524-C4D2-4134-A638-89C845020663}" name="2024" dataDxfId="134"/>
    <tableColumn id="7" xr3:uid="{83A1A8DD-F8CE-4309-8F1B-505BC652EF69}" name="2025" dataDxfId="133"/>
    <tableColumn id="8" xr3:uid="{F0B08C77-A296-4EDE-9A23-48E4C7E3C4C9}" name="Average" dataDxfId="132"/>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45F9852-20D1-4BD3-ACF5-29FC9B52BF63}" name="Table3645" displayName="Table3645" ref="AL2:AS34" totalsRowShown="0" headerRowDxfId="131" dataDxfId="129" headerRowBorderDxfId="130">
  <autoFilter ref="AL2:AS34" xr:uid="{F45F9852-20D1-4BD3-ACF5-29FC9B52BF6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E3D2188-2FC6-4DB1-858D-539C228C3CC9}" name="Particulars"/>
    <tableColumn id="2" xr3:uid="{B929CEC5-146D-4403-ABFA-A9F87958FEDF}" name="2025 (Current)" dataDxfId="128"/>
    <tableColumn id="3" xr3:uid="{7293A1AF-136F-4955-9E7B-A29464B47D99}" name="Growth" dataDxfId="127"/>
    <tableColumn id="4" xr3:uid="{6EE75B67-78AF-4E72-8F4A-DF08772E8562}" name="2026" dataDxfId="126"/>
    <tableColumn id="5" xr3:uid="{D2F8334F-9C2D-42BF-B211-C837401CFAEC}" name="2027" dataDxfId="125"/>
    <tableColumn id="6" xr3:uid="{DF6E4102-10D1-450E-BDA3-42713AA24B32}" name="2028" dataDxfId="124"/>
    <tableColumn id="7" xr3:uid="{05802059-648D-40A2-8A87-747C7110FC9A}" name="2029" dataDxfId="123"/>
    <tableColumn id="8" xr3:uid="{7B2CEE9A-B7CA-462A-801F-40C4BEF1E7A5}" name="2030" dataDxfId="122"/>
  </tableColumns>
  <tableStyleInfo name="TableStyleDark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2D39DE4-FAAF-4961-8942-49A38B169B9B}" name="Table344246" displayName="Table344246" ref="AL38:AS72" totalsRowShown="0" headerRowDxfId="121" headerRowBorderDxfId="120" tableBorderDxfId="119">
  <autoFilter ref="AL38:AS72" xr:uid="{22D39DE4-FAAF-4961-8942-49A38B169B9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CE074CD-17CB-46CD-A522-BBC0ECBA1CCC}" name="Working notes" dataDxfId="118"/>
    <tableColumn id="2" xr3:uid="{7E3C0637-7A62-4EA2-AF3E-136657F17E1C}" name="2020" dataDxfId="117"/>
    <tableColumn id="3" xr3:uid="{43518DC0-A7FE-479F-A1FE-D343A26C5D5B}" name="2021" dataDxfId="116"/>
    <tableColumn id="4" xr3:uid="{1F1E459A-0560-44B3-AFD3-E1937FBBFA6A}" name="2022" dataDxfId="115"/>
    <tableColumn id="5" xr3:uid="{7BBCCA11-94B4-4A90-8EBC-679620679893}" name="2023" dataDxfId="114"/>
    <tableColumn id="6" xr3:uid="{A6BC0D7E-7175-4708-A14D-F7FF79F57235}" name="2024" dataDxfId="113"/>
    <tableColumn id="7" xr3:uid="{52FFCFD3-0986-4EE3-84EF-84295C9B56EF}" name="2025" dataDxfId="112"/>
    <tableColumn id="8" xr3:uid="{7BED72F7-C88C-449E-9836-06F8152E93B9}" name="Average" dataDxfId="111"/>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4E53EF3-5605-43C5-A8A9-86ED54AB5785}" name="VBL_BSF" displayName="VBL_BSF" ref="AU2:BC35" totalsRowShown="0" headerRowDxfId="110" dataDxfId="109" tableBorderDxfId="108" dataCellStyle="Comma">
  <autoFilter ref="AU2:BC35" xr:uid="{B4E53EF3-5605-43C5-A8A9-86ED54AB578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045EC78-89F3-4FA7-B102-EE686D0BA100}" name="Particulars" dataDxfId="107"/>
    <tableColumn id="2" xr3:uid="{5E2FB9FE-263D-4DE3-9A28-8903E012537D}" name="2024 (Actual)" dataDxfId="106" dataCellStyle="Comma"/>
    <tableColumn id="8" xr3:uid="{89D709E4-C7DD-4AF6-BE8C-6EBE98382529}" name="Growth" dataDxfId="105" dataCellStyle="Comma"/>
    <tableColumn id="3" xr3:uid="{109F0C2B-9F03-4077-B153-A0446A0AF158}" name="2025" dataDxfId="104" dataCellStyle="Comma"/>
    <tableColumn id="4" xr3:uid="{F7B619BC-71AE-46D7-8A2A-56E334FC0D7F}" name="2026" dataDxfId="103" dataCellStyle="Comma"/>
    <tableColumn id="5" xr3:uid="{0AB88B3C-F1F2-4025-8C30-34F52906AEF0}" name="2027" dataDxfId="102" dataCellStyle="Comma"/>
    <tableColumn id="6" xr3:uid="{655017B5-C1CB-45C7-B6FC-F5E5BA073DF0}" name="2028" dataDxfId="101" dataCellStyle="Comma"/>
    <tableColumn id="7" xr3:uid="{621CD0E3-0F68-4EC6-9993-FE3C6FBED01B}" name="2029" dataDxfId="100" dataCellStyle="Comma"/>
    <tableColumn id="9" xr3:uid="{3185CD60-DE31-4DD0-8724-85782DC5E48D}" name="2030" dataDxfId="99" dataCellStyle="Comma"/>
  </tableColumns>
  <tableStyleInfo name="TableStyleDark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845A6E4-9EC8-4AD5-859B-31C35751CDE6}" name="Table55" displayName="Table55" ref="AU38:BB79" totalsRowShown="0" headerRowDxfId="98" dataDxfId="97" tableBorderDxfId="96">
  <autoFilter ref="AU38:BB79" xr:uid="{3845A6E4-9EC8-4AD5-859B-31C35751CDE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2FFB67F-FCFC-4ABF-959B-BFDB3D2B6609}" name="Working notes" dataDxfId="95"/>
    <tableColumn id="2" xr3:uid="{A23C926D-5175-4457-A1BF-FA2C66FC7C77}" name="2020" dataDxfId="94"/>
    <tableColumn id="3" xr3:uid="{DBF57133-00F9-4B58-8168-989708673D40}" name="2021" dataDxfId="93"/>
    <tableColumn id="4" xr3:uid="{7C0B9A97-DCC7-4096-9140-6D8EA075B127}" name="2022" dataDxfId="92"/>
    <tableColumn id="5" xr3:uid="{A03835DF-7D65-483A-98A7-755BED9BED45}" name="2023" dataDxfId="91"/>
    <tableColumn id="6" xr3:uid="{360FE2CC-75A6-4819-A683-2D1770F47348}" name="2024" dataDxfId="90"/>
    <tableColumn id="7" xr3:uid="{0BE788D1-67B3-4CB0-A593-7824FBAC6C65}" name="None" dataDxfId="89"/>
    <tableColumn id="8" xr3:uid="{0DE98578-BD8A-4B27-9B19-7316C62674D5}" name="Average" dataDxfId="88" dataCellStyle="Percent"/>
  </tableColumns>
  <tableStyleInfo name="TableStyleMedium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5811051-3A95-4D60-8FB0-ABB95145E1B1}" name="Table27" displayName="Table27" ref="A2:H18" totalsRowShown="0" headerRowDxfId="87" dataDxfId="85" headerRowBorderDxfId="86" tableBorderDxfId="84" dataCellStyle="Comma">
  <autoFilter ref="A2:H18" xr:uid="{A5811051-3A95-4D60-8FB0-ABB95145E1B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06EED91-8F32-438F-8CAC-978D7DEDC46E}" name="Particulars" dataDxfId="83"/>
    <tableColumn id="2" xr3:uid="{C38883B7-EC54-4F7C-AFA3-F7080973BD32}" name="2025 (Current)" dataDxfId="82" dataCellStyle="Comma"/>
    <tableColumn id="3" xr3:uid="{F2BA3522-0217-4D92-B48F-1A5A98D96653}" name="Growth" dataDxfId="81" dataCellStyle="Comma"/>
    <tableColumn id="4" xr3:uid="{DCC2782B-DC5E-44ED-8EC4-1578C8C1695E}" name="2026" dataDxfId="80" dataCellStyle="Comma"/>
    <tableColumn id="5" xr3:uid="{5A60E121-765C-483E-BC5F-BDA94CC3DEE9}" name="2027" dataDxfId="79" dataCellStyle="Comma"/>
    <tableColumn id="6" xr3:uid="{1578F5F2-211E-4890-B9FE-A67103FFF0F0}" name="2028" dataDxfId="78" dataCellStyle="Comma"/>
    <tableColumn id="7" xr3:uid="{567A6C51-AD41-4165-859F-598AA0B29211}" name="2029" dataDxfId="77" dataCellStyle="Comma"/>
    <tableColumn id="8" xr3:uid="{B8B9EDE8-8EF2-42FE-9DF2-14C9EF03F905}" name="2030" dataDxfId="76" dataCellStyle="Comma"/>
  </tableColumns>
  <tableStyleInfo name="TableStyleDark10"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B12EE6C-492D-448B-923F-355F96D8B3ED}" name="Table28" displayName="Table28" ref="J2:R18" totalsRowShown="0" headerRowDxfId="75" dataDxfId="73" headerRowBorderDxfId="74" tableBorderDxfId="72" dataCellStyle="Comma">
  <autoFilter ref="J2:R18" xr:uid="{4B12EE6C-492D-448B-923F-355F96D8B3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C20AC10-3535-49CC-8E33-9C1DED9696E1}" name="Particulars" dataDxfId="71"/>
    <tableColumn id="2" xr3:uid="{2A1801FF-C8C8-45EE-85FF-433B1EBF3937}" name="2024 (Actual)" dataDxfId="70" dataCellStyle="Comma"/>
    <tableColumn id="3" xr3:uid="{AAAD824F-DC1E-4269-A255-47D5BA752A94}" name="Growth/Average" dataDxfId="69" dataCellStyle="Percent"/>
    <tableColumn id="4" xr3:uid="{312875F8-4C9C-432D-9339-89ADD2266CCC}" name="2025" dataDxfId="68" dataCellStyle="Comma"/>
    <tableColumn id="5" xr3:uid="{1EE41904-9E91-4758-AA24-7940C5CA0A4B}" name="2026" dataDxfId="67" dataCellStyle="Comma"/>
    <tableColumn id="6" xr3:uid="{8939BE4D-3F02-49EC-8DF8-F19D6F228C71}" name="2027" dataDxfId="66" dataCellStyle="Comma"/>
    <tableColumn id="7" xr3:uid="{6AEFEEE4-B5AD-4DCE-B21A-91BD781F7C59}" name="2028" dataDxfId="65" dataCellStyle="Comma"/>
    <tableColumn id="8" xr3:uid="{4FD889BB-486E-47CE-9348-76BAD7306468}" name="2029" dataDxfId="64" dataCellStyle="Comma"/>
    <tableColumn id="9" xr3:uid="{4055BCBC-98E9-4ADA-AC67-2A157C449C20}" name="2030" dataDxfId="63" dataCellStyle="Comma"/>
  </tableColumns>
  <tableStyleInfo name="TableStyleDark10"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C3D0567-57F1-4DAF-A269-CC953C1BAA8C}" name="Table29" displayName="Table29" ref="T2:AA18" totalsRowShown="0" headerRowDxfId="62" headerRowBorderDxfId="61" tableBorderDxfId="60">
  <autoFilter ref="T2:AA18" xr:uid="{8C3D0567-57F1-4DAF-A269-CC953C1BAA8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2E1C3CC-9934-4551-BD60-096D4D32484B}" name="Particulars"/>
    <tableColumn id="2" xr3:uid="{412ABEFF-310A-4674-84FC-910D0F86DA31}" name="2025 (Current)"/>
    <tableColumn id="3" xr3:uid="{F1EB0817-5C82-4FBA-A377-8933744FD31F}" name="Growth"/>
    <tableColumn id="4" xr3:uid="{A34DD01D-2704-4B76-843E-1B533C48876F}" name="2026"/>
    <tableColumn id="5" xr3:uid="{E1EF98E0-8DBF-4CC9-A518-90AC9558AEFF}" name="2027"/>
    <tableColumn id="6" xr3:uid="{8390DF84-5B0E-44E9-ACE6-0B1CF38F1CDC}" name="2028"/>
    <tableColumn id="7" xr3:uid="{963323E5-1D8F-46DB-AD00-D70B9E0C6134}" name="2029"/>
    <tableColumn id="8" xr3:uid="{52455EFE-536A-4956-9F6A-52AF84CC8D19}" name="2030"/>
  </tableColumns>
  <tableStyleInfo name="TableStyleDark10"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7FF538-1E76-4ABC-A304-A2DEB9142D83}" name="Table42" displayName="Table42" ref="AC2:AJ18" totalsRowShown="0" headerRowDxfId="59" dataDxfId="57" headerRowBorderDxfId="58" tableBorderDxfId="56">
  <autoFilter ref="AC2:AJ18" xr:uid="{6A7FF538-1E76-4ABC-A304-A2DEB9142D8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E39CE11-5E06-44C7-90B7-60B9055D719D}" name="Particulars" dataDxfId="55"/>
    <tableColumn id="2" xr3:uid="{65997080-1E06-44FB-9131-09E6A19CCE5C}" name="2025 (Current)" dataDxfId="54"/>
    <tableColumn id="3" xr3:uid="{6C64D6C1-F7A3-4F92-85A0-E4D45D445EBA}" name="Growth" dataDxfId="53"/>
    <tableColumn id="4" xr3:uid="{6F59EA4E-5619-4E40-B6B9-803F8394229F}" name="2026" dataDxfId="52"/>
    <tableColumn id="5" xr3:uid="{7F6671D4-D3B2-4624-B002-99343BEDD1ED}" name="2027" dataDxfId="51"/>
    <tableColumn id="6" xr3:uid="{3BA27410-FFB2-4467-8B67-7B12E6F59819}" name="2028" dataDxfId="50"/>
    <tableColumn id="7" xr3:uid="{8F708C7F-50AF-4235-83CC-7B9F9C4ED15F}" name="2029" dataDxfId="49"/>
    <tableColumn id="8" xr3:uid="{4C0F302C-F121-4824-A815-813F8B270D29}" name="2030" dataDxfId="48"/>
  </tableColumns>
  <tableStyleInfo name="TableStyleDark10"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9BF138F-776C-4F59-A17D-3DC3CEE61B5D}" name="Table38" displayName="Table38" ref="AL2:AS18" totalsRowShown="0" headerRowDxfId="47" dataDxfId="45" headerRowBorderDxfId="46" tableBorderDxfId="44">
  <autoFilter ref="AL2:AS18" xr:uid="{C9BF138F-776C-4F59-A17D-3DC3CEE61B5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1C8F4C9-D2E5-4A71-853A-BE2BFFA3C2B4}" name="Particulars" dataDxfId="43"/>
    <tableColumn id="2" xr3:uid="{E7B0368B-EF54-403C-BF02-809F9EBE5199}" name="2025 (Current)" dataDxfId="42"/>
    <tableColumn id="3" xr3:uid="{D24C0BF2-5161-4B36-81C8-BF6EF31A8B5C}" name="Growth" dataDxfId="41"/>
    <tableColumn id="4" xr3:uid="{7D53E396-ED7E-466B-8072-EBAB112322BB}" name="2026" dataDxfId="40"/>
    <tableColumn id="5" xr3:uid="{9EF9042C-A67E-4673-861E-40EB2A22D0CF}" name="2027" dataDxfId="39"/>
    <tableColumn id="6" xr3:uid="{E7BC200C-CBC2-4237-9A9B-BBDEE4E09318}" name="2028" dataDxfId="38"/>
    <tableColumn id="7" xr3:uid="{67CFFA58-66D0-4064-9BCB-A14AE1D45C98}" name="2029" dataDxfId="37"/>
    <tableColumn id="8" xr3:uid="{CDF253FB-BE80-4B3D-8E10-9116936CF385}" name="2030" dataDxfId="36"/>
  </tableColumns>
  <tableStyleInfo name="TableStyleDark10"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9AACC278-EC67-45B4-BA78-36B69757EE07}" name="Table2858" displayName="Table2858" ref="AU2:BC18" totalsRowShown="0" headerRowDxfId="35" dataDxfId="33" headerRowBorderDxfId="34" tableBorderDxfId="32" dataCellStyle="Comma">
  <autoFilter ref="AU2:BC18" xr:uid="{9AACC278-EC67-45B4-BA78-36B69757EE0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F8018AD-89D9-463E-87EC-3766C51448DA}" name="Particulars" dataDxfId="31"/>
    <tableColumn id="2" xr3:uid="{2311441A-A673-4959-95A1-B71ADC30F78D}" name="2024 (Actual)" dataDxfId="30" dataCellStyle="Comma"/>
    <tableColumn id="3" xr3:uid="{42D9B1F4-AC8C-4EF4-85DA-92F3CE6DEDF1}" name="Growth/Average" dataDxfId="29" dataCellStyle="Percent"/>
    <tableColumn id="4" xr3:uid="{7520BE11-8AEA-423F-BAAD-DB5D271CA3B3}" name="2025" dataDxfId="28" dataCellStyle="Comma"/>
    <tableColumn id="5" xr3:uid="{FE730564-A257-4A92-97FF-0DB6EA93F5F3}" name="2026" dataDxfId="27" dataCellStyle="Comma"/>
    <tableColumn id="6" xr3:uid="{0234472D-C168-4E81-B303-D6B1A2EECBAB}" name="2027" dataDxfId="26" dataCellStyle="Comma"/>
    <tableColumn id="7" xr3:uid="{6A84805B-F309-4E05-8640-2F29ED556F1A}" name="2028" dataDxfId="25" dataCellStyle="Comma"/>
    <tableColumn id="8" xr3:uid="{5400E540-42E2-411A-B421-133904D2FE68}" name="2029" dataDxfId="24" dataCellStyle="Comma"/>
    <tableColumn id="9" xr3:uid="{450BB9E4-FB8B-4898-83F7-53080B9D9A79}" name="2030" dataDxfId="23" dataCellStyle="Comma"/>
  </tableColumns>
  <tableStyleInfo name="TableStyleDark10"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54A1A46D-0203-44BB-9720-B7190086C186}" name="Table48" displayName="Table48" ref="A3:G18" totalsRowShown="0" headerRowDxfId="22" dataDxfId="21" dataCellStyle="Comma">
  <autoFilter ref="A3:G18" xr:uid="{54A1A46D-0203-44BB-9720-B7190086C18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F50EDB1-31B3-4A0A-9DF3-B5FCA283E968}" name="Particulars" dataDxfId="20"/>
    <tableColumn id="2" xr3:uid="{DDB85E0A-FAB5-445D-A658-1EB9D95A0CC2}" name="D_Mart" dataDxfId="19" dataCellStyle="Comma"/>
    <tableColumn id="3" xr3:uid="{4C0E8926-1741-4F82-8C3E-E99BEA693DD2}" name="HUL" dataDxfId="18" dataCellStyle="Comma"/>
    <tableColumn id="4" xr3:uid="{8AD736A1-84ED-4F24-811B-3EEE32E7F385}" name="ITC" dataDxfId="17" dataCellStyle="Comma"/>
    <tableColumn id="5" xr3:uid="{B66B9D81-5B3A-45C3-AECA-702D8A960A4C}" name="Titan" dataDxfId="16" dataCellStyle="Comma"/>
    <tableColumn id="6" xr3:uid="{AC26B7EA-EBC2-43EA-9258-E44FE175F7C0}" name="Trent" dataDxfId="15" dataCellStyle="Comma"/>
    <tableColumn id="7" xr3:uid="{82EB0D93-839E-457E-8FCB-812419E924CC}" name="VBL" dataDxfId="14" dataCellStyle="Comma"/>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table" Target="../tables/table19.xml"/><Relationship Id="rId6" Type="http://schemas.openxmlformats.org/officeDocument/2006/relationships/table" Target="../tables/table24.xml"/><Relationship Id="rId5" Type="http://schemas.openxmlformats.org/officeDocument/2006/relationships/table" Target="../tables/table23.xml"/><Relationship Id="rId4" Type="http://schemas.openxmlformats.org/officeDocument/2006/relationships/table" Target="../tables/table2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table" Target="../tables/table25.xml"/><Relationship Id="rId6" Type="http://schemas.openxmlformats.org/officeDocument/2006/relationships/table" Target="../tables/table30.xml"/><Relationship Id="rId5" Type="http://schemas.openxmlformats.org/officeDocument/2006/relationships/table" Target="../tables/table29.xml"/><Relationship Id="rId4" Type="http://schemas.openxmlformats.org/officeDocument/2006/relationships/table" Target="../tables/table28.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table" Target="../tables/table31.xml"/><Relationship Id="rId6" Type="http://schemas.openxmlformats.org/officeDocument/2006/relationships/table" Target="../tables/table36.xml"/><Relationship Id="rId5" Type="http://schemas.openxmlformats.org/officeDocument/2006/relationships/table" Target="../tables/table35.xml"/><Relationship Id="rId4" Type="http://schemas.openxmlformats.org/officeDocument/2006/relationships/table" Target="../tables/table34.xml"/></Relationships>
</file>

<file path=xl/worksheets/_rels/sheet9.xml.rels><?xml version="1.0" encoding="UTF-8" standalone="yes"?>
<Relationships xmlns="http://schemas.openxmlformats.org/package/2006/relationships"><Relationship Id="rId8" Type="http://schemas.openxmlformats.org/officeDocument/2006/relationships/table" Target="../tables/table44.xml"/><Relationship Id="rId3" Type="http://schemas.openxmlformats.org/officeDocument/2006/relationships/table" Target="../tables/table39.xml"/><Relationship Id="rId7" Type="http://schemas.openxmlformats.org/officeDocument/2006/relationships/table" Target="../tables/table43.xml"/><Relationship Id="rId2" Type="http://schemas.openxmlformats.org/officeDocument/2006/relationships/table" Target="../tables/table38.xml"/><Relationship Id="rId1" Type="http://schemas.openxmlformats.org/officeDocument/2006/relationships/table" Target="../tables/table37.xml"/><Relationship Id="rId6" Type="http://schemas.openxmlformats.org/officeDocument/2006/relationships/table" Target="../tables/table42.xml"/><Relationship Id="rId5" Type="http://schemas.openxmlformats.org/officeDocument/2006/relationships/table" Target="../tables/table41.xml"/><Relationship Id="rId10" Type="http://schemas.openxmlformats.org/officeDocument/2006/relationships/table" Target="../tables/table46.xml"/><Relationship Id="rId4" Type="http://schemas.openxmlformats.org/officeDocument/2006/relationships/table" Target="../tables/table40.xml"/><Relationship Id="rId9" Type="http://schemas.openxmlformats.org/officeDocument/2006/relationships/table" Target="../tables/table4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table" Target="../tables/table48.xml"/><Relationship Id="rId1" Type="http://schemas.openxmlformats.org/officeDocument/2006/relationships/table" Target="../tables/table47.xml"/><Relationship Id="rId6" Type="http://schemas.openxmlformats.org/officeDocument/2006/relationships/table" Target="../tables/table52.xml"/><Relationship Id="rId5" Type="http://schemas.openxmlformats.org/officeDocument/2006/relationships/table" Target="../tables/table51.xml"/><Relationship Id="rId4" Type="http://schemas.openxmlformats.org/officeDocument/2006/relationships/table" Target="../tables/table5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workbookViewId="0"/>
  </sheetViews>
  <sheetFormatPr defaultRowHeight="14.4" x14ac:dyDescent="0.3"/>
  <cols>
    <col min="1" max="1" width="17.44140625" style="2" bestFit="1" customWidth="1"/>
    <col min="2" max="2" width="21.44140625" style="1" customWidth="1"/>
    <col min="3" max="4" width="18.77734375" style="1" customWidth="1"/>
    <col min="5" max="5" width="21.6640625" style="1" customWidth="1"/>
    <col min="6" max="6" width="21.44140625" style="1" customWidth="1"/>
    <col min="7" max="7" width="22.5546875" style="1" customWidth="1"/>
    <col min="8" max="16384" width="8.88671875" style="1"/>
  </cols>
  <sheetData>
    <row r="1" spans="1:7" ht="43.2" customHeight="1" x14ac:dyDescent="0.3">
      <c r="A1" s="15" t="s">
        <v>1</v>
      </c>
      <c r="B1" s="6" t="e" vm="1">
        <v>#VALUE!</v>
      </c>
      <c r="C1" s="6" t="e" vm="2">
        <v>#VALUE!</v>
      </c>
      <c r="D1" s="6" t="e" vm="3">
        <v>#VALUE!</v>
      </c>
      <c r="E1" s="6" t="e" vm="4">
        <v>#VALUE!</v>
      </c>
      <c r="F1" s="6" t="e" vm="5">
        <v>#VALUE!</v>
      </c>
      <c r="G1" s="6" t="e" vm="6">
        <v>#VALUE!</v>
      </c>
    </row>
    <row r="2" spans="1:7" s="5" customFormat="1" ht="57.6" x14ac:dyDescent="0.3">
      <c r="A2" s="16" t="s">
        <v>0</v>
      </c>
      <c r="B2" s="17" t="e" vm="7">
        <v>#VALUE!</v>
      </c>
      <c r="C2" s="17" t="e" vm="8">
        <v>#VALUE!</v>
      </c>
      <c r="D2" s="17" t="e" vm="9">
        <v>#VALUE!</v>
      </c>
      <c r="E2" s="17" t="e" vm="10">
        <v>#VALUE!</v>
      </c>
      <c r="F2" s="17" t="e" vm="11">
        <v>#VALUE!</v>
      </c>
      <c r="G2" s="17" t="e" vm="12">
        <v>#VALUE!</v>
      </c>
    </row>
    <row r="3" spans="1:7" s="4" customFormat="1" ht="28.8" x14ac:dyDescent="0.3">
      <c r="A3" s="16" t="s">
        <v>2</v>
      </c>
      <c r="B3" s="7" t="str" cm="1">
        <f t="array" aca="1" ref="B3" ca="1">_FV(B2,"Official name",TRUE)</f>
        <v>AVENUE SUPERMARTS LIMITED</v>
      </c>
      <c r="C3" s="7" t="str" cm="1">
        <f t="array" aca="1" ref="C3" ca="1">_FV(C2,"Official name",TRUE)</f>
        <v>ITC LIMITED</v>
      </c>
      <c r="D3" s="7" t="str" cm="1">
        <f t="array" aca="1" ref="D3" ca="1">_FV(D2,"Official name",TRUE)</f>
        <v>TRENT LIMITED</v>
      </c>
      <c r="E3" s="7" t="str" cm="1">
        <f t="array" aca="1" ref="E3" ca="1">_FV(E2,"Official name",TRUE)</f>
        <v>VARUN BEVERAGES LIMITED</v>
      </c>
      <c r="F3" s="7" t="str" cm="1">
        <f t="array" aca="1" ref="F3" ca="1">_FV(F2,"Official name",TRUE)</f>
        <v>TITAN COMPANY LIMITED</v>
      </c>
      <c r="G3" s="7" t="str" cm="1">
        <f t="array" aca="1" ref="G3" ca="1">_FV(G2,"Official name",TRUE)</f>
        <v>HINDUSTAN UNILEVER LIMITED</v>
      </c>
    </row>
    <row r="4" spans="1:7" x14ac:dyDescent="0.3">
      <c r="A4" s="15" t="s">
        <v>3</v>
      </c>
      <c r="B4" s="6" t="str" cm="1">
        <f t="array" aca="1" ref="B4" ca="1">_FV(B2,"Ticker symbol",TRUE)</f>
        <v>DMART</v>
      </c>
      <c r="C4" s="6" t="str" cm="1">
        <f t="array" aca="1" ref="C4" ca="1">_FV(C2,"Ticker symbol",TRUE)</f>
        <v>ITC</v>
      </c>
      <c r="D4" s="6" t="str" cm="1">
        <f t="array" aca="1" ref="D4" ca="1">_FV(D2,"Ticker symbol",TRUE)</f>
        <v>TRENT</v>
      </c>
      <c r="E4" s="6" t="str" cm="1">
        <f t="array" aca="1" ref="E4" ca="1">_FV(E2,"Ticker symbol",TRUE)</f>
        <v>VBL</v>
      </c>
      <c r="F4" s="6" t="str" cm="1">
        <f t="array" aca="1" ref="F4" ca="1">_FV(F2,"Ticker symbol",TRUE)</f>
        <v>TITAN</v>
      </c>
      <c r="G4" s="6" t="str" cm="1">
        <f t="array" aca="1" ref="G4" ca="1">_FV(G2,"Ticker symbol",TRUE)</f>
        <v>HINDUNILVR</v>
      </c>
    </row>
    <row r="5" spans="1:7" s="4" customFormat="1" ht="28.8" x14ac:dyDescent="0.3">
      <c r="A5" s="16" t="s">
        <v>11</v>
      </c>
      <c r="B5" s="7" t="str" cm="1">
        <f t="array" aca="1" ref="B5" ca="1">_FV(B2,"Industry")</f>
        <v>Food &amp; Drug Retailing</v>
      </c>
      <c r="C5" s="7" t="str" cm="1">
        <f t="array" aca="1" ref="C5" ca="1">_FV(C2,"Industry")</f>
        <v>Food &amp; Tobacco</v>
      </c>
      <c r="D5" s="7" t="str" cm="1">
        <f t="array" aca="1" ref="D5" ca="1">_FV(D2,"Industry")</f>
        <v>Diversified Retail</v>
      </c>
      <c r="E5" s="7" t="str" cm="1">
        <f t="array" aca="1" ref="E5" ca="1">_FV(E2,"Industry")</f>
        <v>Beverages</v>
      </c>
      <c r="F5" s="7" t="str" cm="1">
        <f t="array" aca="1" ref="F5" ca="1">_FV(F2,"Industry")</f>
        <v>Textiles &amp; Apparel</v>
      </c>
      <c r="G5" s="7" t="str" cm="1">
        <f t="array" aca="1" ref="G5" ca="1">_FV(G2,"Industry")</f>
        <v>Personal &amp; Household Products &amp; Services</v>
      </c>
    </row>
    <row r="6" spans="1:7" x14ac:dyDescent="0.3">
      <c r="A6" s="15" t="s">
        <v>4</v>
      </c>
      <c r="B6" s="8" cm="1">
        <f t="array" aca="1" ref="B6" ca="1">_FV(B2,"Year incorporated",TRUE)</f>
        <v>2000</v>
      </c>
      <c r="C6" s="8" cm="1">
        <f t="array" aca="1" ref="C6" ca="1">_FV(C2,"Year incorporated",TRUE)</f>
        <v>1910</v>
      </c>
      <c r="D6" s="8" cm="1">
        <f t="array" aca="1" ref="D6" ca="1">_FV(D2,"Year incorporated",TRUE)</f>
        <v>1952</v>
      </c>
      <c r="E6" s="8" cm="1">
        <f t="array" aca="1" ref="E6" ca="1">_FV(E2,"Year incorporated",TRUE)</f>
        <v>1995</v>
      </c>
      <c r="F6" s="8" cm="1">
        <f t="array" aca="1" ref="F6" ca="1">_FV(F2,"Year incorporated",TRUE)</f>
        <v>1984</v>
      </c>
      <c r="G6" s="8" cm="1">
        <f t="array" aca="1" ref="G6" ca="1">_FV(G2,"Year incorporated",TRUE)</f>
        <v>1933</v>
      </c>
    </row>
    <row r="7" spans="1:7" x14ac:dyDescent="0.3">
      <c r="A7" s="15" t="s">
        <v>5</v>
      </c>
      <c r="B7" s="9" cm="1">
        <f t="array" aca="1" ref="B7" ca="1">_FV(B2,"Employees")</f>
        <v>16959</v>
      </c>
      <c r="C7" s="9" cm="1">
        <f t="array" aca="1" ref="C7" ca="1">_FV(C2,"Employees")</f>
        <v>22041</v>
      </c>
      <c r="D7" s="9" cm="1">
        <f t="array" aca="1" ref="D7" ca="1">_FV(D2,"Employees")</f>
        <v>27887</v>
      </c>
      <c r="E7" s="9" cm="1">
        <f t="array" aca="1" ref="E7" ca="1">_FV(E2,"Employees")</f>
        <v>11041</v>
      </c>
      <c r="F7" s="9" cm="1">
        <f t="array" aca="1" ref="F7" ca="1">_FV(F2,"Employees")</f>
        <v>9191</v>
      </c>
      <c r="G7" s="9" cm="1">
        <f t="array" aca="1" ref="G7" ca="1">_FV(G2,"Employees")</f>
        <v>18802</v>
      </c>
    </row>
    <row r="8" spans="1:7" x14ac:dyDescent="0.3">
      <c r="A8" s="279" t="s">
        <v>6</v>
      </c>
      <c r="B8" s="9" cm="1">
        <f t="array" aca="1" ref="B8" ca="1">_FV(B2,"Shares outstanding",TRUE)</f>
        <v>650733100</v>
      </c>
      <c r="C8" s="9" cm="1">
        <f t="array" aca="1" ref="C8" ca="1">_FV(C2,"Shares outstanding",TRUE)</f>
        <v>12527840000</v>
      </c>
      <c r="D8" s="9" cm="1">
        <f t="array" aca="1" ref="D8" ca="1">_FV(D2,"Shares outstanding",TRUE)</f>
        <v>355487500</v>
      </c>
      <c r="E8" s="9" cm="1">
        <f t="array" aca="1" ref="E8" ca="1">_FV(E2,"Shares outstanding",TRUE)</f>
        <v>3381989000</v>
      </c>
      <c r="F8" s="9" cm="1">
        <f t="array" aca="1" ref="F8" ca="1">_FV(F2,"Shares outstanding",TRUE)</f>
        <v>887045300</v>
      </c>
      <c r="G8" s="9" cm="1">
        <f t="array" aca="1" ref="G8" ca="1">_FV(G2,"Shares outstanding",TRUE)</f>
        <v>2349591000</v>
      </c>
    </row>
    <row r="9" spans="1:7" x14ac:dyDescent="0.3">
      <c r="A9" s="279"/>
      <c r="B9" s="6">
        <f ca="1">B8/10000000</f>
        <v>65.073310000000006</v>
      </c>
      <c r="C9" s="6">
        <f t="shared" ref="C9:G9" ca="1" si="0">C8/10000000</f>
        <v>1252.7840000000001</v>
      </c>
      <c r="D9" s="6">
        <f t="shared" ca="1" si="0"/>
        <v>35.548749999999998</v>
      </c>
      <c r="E9" s="6">
        <f t="shared" ca="1" si="0"/>
        <v>338.19889999999998</v>
      </c>
      <c r="F9" s="6">
        <f t="shared" ca="1" si="0"/>
        <v>88.704530000000005</v>
      </c>
      <c r="G9" s="6">
        <f t="shared" ca="1" si="0"/>
        <v>234.95910000000001</v>
      </c>
    </row>
    <row r="10" spans="1:7" x14ac:dyDescent="0.3">
      <c r="A10" s="15" t="s">
        <v>7</v>
      </c>
      <c r="B10" s="10" cm="1">
        <f t="array" aca="1" ref="B10" ca="1">_FV(B2,"Price")</f>
        <v>4019</v>
      </c>
      <c r="C10" s="10" cm="1">
        <f t="array" aca="1" ref="C10" ca="1">_FV(C2,"Price")</f>
        <v>405.55</v>
      </c>
      <c r="D10" s="10" cm="1">
        <f t="array" aca="1" ref="D10" ca="1">_FV(D2,"Price")</f>
        <v>4283.7</v>
      </c>
      <c r="E10" s="10" cm="1">
        <f t="array" aca="1" ref="E10" ca="1">_FV(E2,"Price")</f>
        <v>463.25</v>
      </c>
      <c r="F10" s="10" cm="1">
        <f t="array" aca="1" ref="F10" ca="1">_FV(F2,"Price")</f>
        <v>3803</v>
      </c>
      <c r="G10" s="10" cm="1">
        <f t="array" aca="1" ref="G10" ca="1">_FV(G2,"Price")</f>
        <v>2408.8000000000002</v>
      </c>
    </row>
    <row r="11" spans="1:7" x14ac:dyDescent="0.3">
      <c r="A11" s="279" t="s">
        <v>8</v>
      </c>
      <c r="B11" s="11" cm="1">
        <f t="array" aca="1" ref="B11" ca="1">_FV(B2,"Market cap",TRUE)</f>
        <v>2610090000000</v>
      </c>
      <c r="C11" s="11" cm="1">
        <f t="array" aca="1" ref="C11" ca="1">_FV(C2,"Market cap",TRUE)</f>
        <v>5061873000000</v>
      </c>
      <c r="D11" s="11" cm="1">
        <f t="array" aca="1" ref="D11" ca="1">_FV(D2,"Market cap",TRUE)</f>
        <v>1644947000000</v>
      </c>
      <c r="E11" s="11" cm="1">
        <f t="array" aca="1" ref="E11" ca="1">_FV(E2,"Market cap",TRUE)</f>
        <v>1590211000000</v>
      </c>
      <c r="F11" s="11" cm="1">
        <f t="array" aca="1" ref="F11" ca="1">_FV(F2,"Market cap",TRUE)</f>
        <v>3343540000000</v>
      </c>
      <c r="G11" s="11" cm="1">
        <f t="array" aca="1" ref="G11" ca="1">_FV(G2,"Market cap",TRUE)</f>
        <v>5671914000000</v>
      </c>
    </row>
    <row r="12" spans="1:7" x14ac:dyDescent="0.3">
      <c r="A12" s="279"/>
      <c r="B12" s="12">
        <f ca="1">B11/10000000</f>
        <v>261009</v>
      </c>
      <c r="C12" s="12">
        <f t="shared" ref="C12:G12" ca="1" si="1">C11/10000000</f>
        <v>506187.3</v>
      </c>
      <c r="D12" s="12">
        <f t="shared" ca="1" si="1"/>
        <v>164494.70000000001</v>
      </c>
      <c r="E12" s="12">
        <f t="shared" ca="1" si="1"/>
        <v>159021.1</v>
      </c>
      <c r="F12" s="12">
        <f t="shared" ca="1" si="1"/>
        <v>334354</v>
      </c>
      <c r="G12" s="12">
        <f t="shared" ca="1" si="1"/>
        <v>567191.4</v>
      </c>
    </row>
    <row r="13" spans="1:7" x14ac:dyDescent="0.3">
      <c r="A13" s="15" t="s">
        <v>10</v>
      </c>
      <c r="B13" s="13" cm="1">
        <f t="array" aca="1" ref="B13" ca="1">_FV(B2,"Change (%)",TRUE)</f>
        <v>1.9950000000000002E-3</v>
      </c>
      <c r="C13" s="13" cm="1">
        <f t="array" aca="1" ref="C13" ca="1">_FV(C2,"Change (%)",TRUE)</f>
        <v>3.7119999999999996E-3</v>
      </c>
      <c r="D13" s="13" cm="1">
        <f t="array" aca="1" ref="D13" ca="1">_FV(D2,"Change (%)",TRUE)</f>
        <v>-7.4255000000000002E-2</v>
      </c>
      <c r="E13" s="13" cm="1">
        <f t="array" aca="1" ref="E13" ca="1">_FV(E2,"Change (%)",TRUE)</f>
        <v>-1.4780999999999999E-2</v>
      </c>
      <c r="F13" s="13" cm="1">
        <f t="array" aca="1" ref="F13" ca="1">_FV(F2,"Change (%)",TRUE)</f>
        <v>8.9409999999999993E-3</v>
      </c>
      <c r="G13" s="13" cm="1">
        <f t="array" aca="1" ref="G13" ca="1">_FV(G2,"Change (%)",TRUE)</f>
        <v>-2.1540000000000001E-3</v>
      </c>
    </row>
    <row r="14" spans="1:7" x14ac:dyDescent="0.3">
      <c r="A14" s="15" t="s">
        <v>9</v>
      </c>
      <c r="B14" s="14" cm="1">
        <f t="array" aca="1" ref="B14" ca="1">_FV(B2,"Beta")</f>
        <v>1.4373</v>
      </c>
      <c r="C14" s="14" cm="1">
        <f t="array" aca="1" ref="C14" ca="1">_FV(C2,"Beta")</f>
        <v>0.77669999999999995</v>
      </c>
      <c r="D14" s="14" cm="1">
        <f t="array" aca="1" ref="D14" ca="1">_FV(D2,"Beta")</f>
        <v>1.4651000000000001</v>
      </c>
      <c r="E14" s="14" cm="1">
        <f t="array" aca="1" ref="E14" ca="1">_FV(E2,"Beta")</f>
        <v>0.92610000000000003</v>
      </c>
      <c r="F14" s="14" cm="1">
        <f t="array" aca="1" ref="F14" ca="1">_FV(F2,"Beta")</f>
        <v>1.3028</v>
      </c>
      <c r="G14" s="14" cm="1">
        <f t="array" aca="1" ref="G14" ca="1">_FV(G2,"Beta")</f>
        <v>0.8014</v>
      </c>
    </row>
    <row r="15" spans="1:7" x14ac:dyDescent="0.3">
      <c r="B15" s="3"/>
      <c r="C15" s="3"/>
      <c r="D15" s="3"/>
      <c r="E15" s="3"/>
      <c r="F15" s="3"/>
      <c r="G15" s="3"/>
    </row>
    <row r="16" spans="1:7" x14ac:dyDescent="0.3">
      <c r="B16" s="3"/>
      <c r="C16" s="3"/>
      <c r="D16" s="3"/>
      <c r="E16" s="3"/>
      <c r="F16" s="3"/>
      <c r="G16" s="3"/>
    </row>
    <row r="17" spans="2:7" x14ac:dyDescent="0.3">
      <c r="B17" s="3"/>
      <c r="C17" s="3"/>
      <c r="D17" s="3"/>
      <c r="E17" s="3"/>
      <c r="F17" s="3"/>
      <c r="G17" s="3"/>
    </row>
    <row r="18" spans="2:7" x14ac:dyDescent="0.3">
      <c r="B18" s="3"/>
      <c r="C18" s="3"/>
      <c r="D18" s="3"/>
      <c r="E18" s="3"/>
      <c r="F18" s="3"/>
      <c r="G18" s="3"/>
    </row>
    <row r="19" spans="2:7" x14ac:dyDescent="0.3">
      <c r="B19" s="3"/>
      <c r="C19" s="3"/>
      <c r="D19" s="3"/>
      <c r="E19" s="3"/>
      <c r="F19" s="3"/>
      <c r="G19" s="3"/>
    </row>
    <row r="20" spans="2:7" x14ac:dyDescent="0.3">
      <c r="B20" s="3"/>
      <c r="C20" s="3"/>
      <c r="D20" s="3"/>
      <c r="E20" s="3"/>
      <c r="F20" s="3"/>
      <c r="G20" s="3"/>
    </row>
    <row r="21" spans="2:7" x14ac:dyDescent="0.3">
      <c r="B21" s="3"/>
      <c r="C21" s="3"/>
      <c r="D21" s="3"/>
      <c r="E21" s="3"/>
      <c r="F21" s="3"/>
      <c r="G21" s="3"/>
    </row>
    <row r="22" spans="2:7" x14ac:dyDescent="0.3">
      <c r="B22" s="3"/>
      <c r="C22" s="3"/>
      <c r="D22" s="3"/>
      <c r="E22" s="3"/>
      <c r="F22" s="3"/>
      <c r="G22" s="3"/>
    </row>
    <row r="23" spans="2:7" x14ac:dyDescent="0.3">
      <c r="B23" s="3"/>
      <c r="C23" s="3"/>
      <c r="D23" s="3"/>
      <c r="E23" s="3"/>
      <c r="F23" s="3"/>
      <c r="G23" s="3"/>
    </row>
    <row r="24" spans="2:7" x14ac:dyDescent="0.3">
      <c r="B24" s="3"/>
      <c r="C24" s="3"/>
      <c r="D24" s="3"/>
      <c r="E24" s="3"/>
      <c r="F24" s="3"/>
      <c r="G24" s="3"/>
    </row>
    <row r="25" spans="2:7" x14ac:dyDescent="0.3">
      <c r="B25" s="3"/>
      <c r="C25" s="3"/>
      <c r="D25" s="3"/>
      <c r="E25" s="3"/>
      <c r="F25" s="3"/>
      <c r="G25" s="3"/>
    </row>
    <row r="26" spans="2:7" x14ac:dyDescent="0.3">
      <c r="B26" s="3"/>
      <c r="C26" s="3"/>
      <c r="D26" s="3"/>
      <c r="E26" s="3"/>
      <c r="F26" s="3"/>
      <c r="G26" s="3"/>
    </row>
    <row r="27" spans="2:7" x14ac:dyDescent="0.3">
      <c r="B27" s="3"/>
      <c r="C27" s="3"/>
      <c r="D27" s="3"/>
      <c r="E27" s="3"/>
      <c r="F27" s="3"/>
      <c r="G27" s="3"/>
    </row>
    <row r="28" spans="2:7" x14ac:dyDescent="0.3">
      <c r="B28" s="3"/>
      <c r="C28" s="3"/>
      <c r="D28" s="3"/>
      <c r="E28" s="3"/>
      <c r="F28" s="3"/>
      <c r="G28" s="3"/>
    </row>
    <row r="29" spans="2:7" x14ac:dyDescent="0.3">
      <c r="B29" s="3"/>
      <c r="C29" s="3"/>
      <c r="D29" s="3"/>
      <c r="E29" s="3"/>
      <c r="F29" s="3"/>
      <c r="G29" s="3"/>
    </row>
    <row r="30" spans="2:7" x14ac:dyDescent="0.3">
      <c r="B30" s="3"/>
      <c r="C30" s="3"/>
      <c r="D30" s="3"/>
      <c r="E30" s="3"/>
      <c r="F30" s="3"/>
      <c r="G30" s="3"/>
    </row>
    <row r="31" spans="2:7" x14ac:dyDescent="0.3">
      <c r="B31" s="3"/>
      <c r="C31" s="3"/>
      <c r="D31" s="3"/>
      <c r="E31" s="3"/>
      <c r="F31" s="3"/>
      <c r="G31" s="3"/>
    </row>
    <row r="32" spans="2:7" x14ac:dyDescent="0.3">
      <c r="B32" s="3"/>
      <c r="C32" s="3"/>
      <c r="D32" s="3"/>
      <c r="E32" s="3"/>
      <c r="F32" s="3"/>
      <c r="G32" s="3"/>
    </row>
    <row r="33" spans="2:7" x14ac:dyDescent="0.3">
      <c r="B33" s="3"/>
      <c r="C33" s="3"/>
      <c r="D33" s="3"/>
      <c r="E33" s="3"/>
      <c r="F33" s="3"/>
      <c r="G33" s="3"/>
    </row>
    <row r="34" spans="2:7" x14ac:dyDescent="0.3">
      <c r="B34" s="3"/>
      <c r="C34" s="3"/>
      <c r="D34" s="3"/>
      <c r="E34" s="3"/>
      <c r="F34" s="3"/>
      <c r="G34" s="3"/>
    </row>
    <row r="35" spans="2:7" x14ac:dyDescent="0.3">
      <c r="B35" s="3"/>
      <c r="C35" s="3"/>
      <c r="D35" s="3"/>
      <c r="E35" s="3"/>
      <c r="F35" s="3"/>
      <c r="G35" s="3"/>
    </row>
    <row r="36" spans="2:7" x14ac:dyDescent="0.3">
      <c r="B36" s="3"/>
      <c r="C36" s="3"/>
      <c r="D36" s="3"/>
      <c r="E36" s="3"/>
      <c r="F36" s="3"/>
      <c r="G36" s="3"/>
    </row>
    <row r="37" spans="2:7" x14ac:dyDescent="0.3">
      <c r="B37" s="3"/>
      <c r="C37" s="3"/>
      <c r="D37" s="3"/>
      <c r="E37" s="3"/>
      <c r="F37" s="3"/>
      <c r="G37" s="3"/>
    </row>
    <row r="38" spans="2:7" x14ac:dyDescent="0.3">
      <c r="B38" s="3"/>
      <c r="C38" s="3"/>
      <c r="D38" s="3"/>
      <c r="E38" s="3"/>
      <c r="F38" s="3"/>
      <c r="G38" s="3"/>
    </row>
    <row r="39" spans="2:7" x14ac:dyDescent="0.3">
      <c r="B39" s="3"/>
      <c r="C39" s="3"/>
      <c r="D39" s="3"/>
      <c r="E39" s="3"/>
      <c r="F39" s="3"/>
      <c r="G39" s="3"/>
    </row>
    <row r="40" spans="2:7" x14ac:dyDescent="0.3">
      <c r="B40" s="3"/>
      <c r="C40" s="3"/>
      <c r="D40" s="3"/>
      <c r="E40" s="3"/>
      <c r="F40" s="3"/>
      <c r="G40" s="3"/>
    </row>
    <row r="41" spans="2:7" x14ac:dyDescent="0.3">
      <c r="B41" s="3"/>
      <c r="C41" s="3"/>
      <c r="D41" s="3"/>
      <c r="E41" s="3"/>
      <c r="F41" s="3"/>
      <c r="G41" s="3"/>
    </row>
    <row r="42" spans="2:7" x14ac:dyDescent="0.3">
      <c r="B42" s="3"/>
      <c r="C42" s="3"/>
      <c r="D42" s="3"/>
      <c r="E42" s="3"/>
      <c r="F42" s="3"/>
      <c r="G42" s="3"/>
    </row>
    <row r="43" spans="2:7" x14ac:dyDescent="0.3">
      <c r="B43" s="3"/>
      <c r="C43" s="3"/>
      <c r="D43" s="3"/>
      <c r="E43" s="3"/>
      <c r="F43" s="3"/>
      <c r="G43" s="3"/>
    </row>
  </sheetData>
  <mergeCells count="2">
    <mergeCell ref="A8:A9"/>
    <mergeCell ref="A11:A12"/>
  </mergeCells>
  <conditionalFormatting sqref="B13:G13">
    <cfRule type="cellIs" dxfId="13" priority="1" operator="lessThan">
      <formula>0</formula>
    </cfRule>
    <cfRule type="cellIs" dxfId="12"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71B8-46AB-4438-B5AF-EC3A16CABD2A}">
  <dimension ref="A1:AT65"/>
  <sheetViews>
    <sheetView topLeftCell="AM36" workbookViewId="0">
      <selection activeCell="AH6" sqref="AH6"/>
    </sheetView>
  </sheetViews>
  <sheetFormatPr defaultRowHeight="14.4" x14ac:dyDescent="0.3"/>
  <cols>
    <col min="1" max="1" width="35.6640625" style="1" bestFit="1" customWidth="1"/>
    <col min="2" max="7" width="10.109375" style="1" bestFit="1" customWidth="1"/>
    <col min="8" max="8" width="8.88671875" style="1"/>
    <col min="9" max="9" width="47.88671875" style="1" bestFit="1" customWidth="1"/>
    <col min="10" max="14" width="10.109375" style="20" bestFit="1" customWidth="1"/>
    <col min="15" max="15" width="8.88671875" style="1"/>
    <col min="16" max="16" width="46.6640625" style="1" bestFit="1" customWidth="1"/>
    <col min="17" max="22" width="10.109375" style="20" bestFit="1" customWidth="1"/>
    <col min="23" max="23" width="8.88671875" style="1"/>
    <col min="24" max="24" width="38.21875" style="1" bestFit="1" customWidth="1"/>
    <col min="25" max="26" width="10.109375" style="20" bestFit="1" customWidth="1"/>
    <col min="27" max="30" width="10" style="20" bestFit="1" customWidth="1"/>
    <col min="31" max="31" width="8.88671875" style="1"/>
    <col min="32" max="32" width="42.88671875" style="1" bestFit="1" customWidth="1"/>
    <col min="33" max="34" width="10.109375" style="20" bestFit="1" customWidth="1"/>
    <col min="35" max="38" width="10" style="20" bestFit="1" customWidth="1"/>
    <col min="39" max="39" width="8.88671875" style="1"/>
    <col min="40" max="40" width="36.77734375" style="1" bestFit="1" customWidth="1"/>
    <col min="41" max="42" width="8.88671875" style="20"/>
    <col min="43" max="44" width="10.109375" style="20" bestFit="1" customWidth="1"/>
    <col min="45" max="45" width="10" style="20" bestFit="1" customWidth="1"/>
    <col min="46" max="16384" width="8.88671875" style="1"/>
  </cols>
  <sheetData>
    <row r="1" spans="1:46" ht="42" customHeight="1" thickBot="1" x14ac:dyDescent="0.35">
      <c r="G1" s="3" t="e" vm="13">
        <v>#VALUE!</v>
      </c>
      <c r="J1" s="1"/>
      <c r="K1" s="1"/>
      <c r="L1" s="1"/>
      <c r="M1" s="1"/>
      <c r="N1" s="3" t="e" vm="6">
        <v>#VALUE!</v>
      </c>
      <c r="Q1" s="1"/>
      <c r="R1" s="1"/>
      <c r="S1" s="1"/>
      <c r="T1" s="1"/>
      <c r="U1" s="1"/>
      <c r="V1" s="3" t="e" vm="2">
        <v>#VALUE!</v>
      </c>
      <c r="Y1" s="1"/>
      <c r="Z1" s="1"/>
      <c r="AA1" s="1"/>
      <c r="AB1" s="1"/>
      <c r="AC1" s="1"/>
      <c r="AD1" s="3" t="e" vm="5">
        <v>#VALUE!</v>
      </c>
      <c r="AG1" s="1"/>
      <c r="AH1" s="1"/>
      <c r="AI1" s="1"/>
      <c r="AJ1" s="1"/>
      <c r="AK1" s="1"/>
      <c r="AL1" s="3" t="e" vm="14">
        <v>#VALUE!</v>
      </c>
      <c r="AO1" s="1"/>
      <c r="AP1" s="1"/>
      <c r="AQ1" s="1"/>
      <c r="AR1" s="1"/>
      <c r="AS1" s="1" t="e" vm="4">
        <v>#VALUE!</v>
      </c>
    </row>
    <row r="2" spans="1:46" ht="19.2" customHeight="1" x14ac:dyDescent="0.3">
      <c r="A2" s="1" t="s">
        <v>1</v>
      </c>
      <c r="B2" s="3" t="s">
        <v>27</v>
      </c>
      <c r="C2" s="3" t="s">
        <v>28</v>
      </c>
      <c r="D2" s="3" t="s">
        <v>29</v>
      </c>
      <c r="E2" s="3" t="s">
        <v>30</v>
      </c>
      <c r="F2" s="3" t="s">
        <v>31</v>
      </c>
      <c r="G2" s="3" t="s">
        <v>32</v>
      </c>
      <c r="I2" s="1" t="s">
        <v>1</v>
      </c>
      <c r="J2" s="3" t="s">
        <v>27</v>
      </c>
      <c r="K2" s="3" t="s">
        <v>28</v>
      </c>
      <c r="L2" s="3" t="s">
        <v>29</v>
      </c>
      <c r="M2" s="3" t="s">
        <v>30</v>
      </c>
      <c r="N2" s="3" t="s">
        <v>31</v>
      </c>
      <c r="P2" s="1" t="s">
        <v>1</v>
      </c>
      <c r="Q2" s="3" t="s">
        <v>27</v>
      </c>
      <c r="R2" s="3" t="s">
        <v>28</v>
      </c>
      <c r="S2" s="3" t="s">
        <v>29</v>
      </c>
      <c r="T2" s="3" t="s">
        <v>30</v>
      </c>
      <c r="U2" s="3" t="s">
        <v>31</v>
      </c>
      <c r="V2" s="3" t="s">
        <v>32</v>
      </c>
      <c r="X2" s="1" t="s">
        <v>1</v>
      </c>
      <c r="Y2" s="3" t="s">
        <v>27</v>
      </c>
      <c r="Z2" s="3" t="s">
        <v>28</v>
      </c>
      <c r="AA2" s="3" t="s">
        <v>29</v>
      </c>
      <c r="AB2" s="3" t="s">
        <v>30</v>
      </c>
      <c r="AC2" s="3" t="s">
        <v>31</v>
      </c>
      <c r="AD2" s="3" t="s">
        <v>32</v>
      </c>
      <c r="AF2" s="43" t="s">
        <v>1</v>
      </c>
      <c r="AG2" s="44" t="s">
        <v>27</v>
      </c>
      <c r="AH2" s="44" t="s">
        <v>28</v>
      </c>
      <c r="AI2" s="44" t="s">
        <v>29</v>
      </c>
      <c r="AJ2" s="44" t="s">
        <v>30</v>
      </c>
      <c r="AK2" s="44" t="s">
        <v>31</v>
      </c>
      <c r="AL2" s="45" t="s">
        <v>32</v>
      </c>
      <c r="AN2" s="23" t="s">
        <v>1</v>
      </c>
      <c r="AO2" s="75" t="s">
        <v>27</v>
      </c>
      <c r="AP2" s="75" t="s">
        <v>28</v>
      </c>
      <c r="AQ2" s="75" t="s">
        <v>29</v>
      </c>
      <c r="AR2" s="75" t="s">
        <v>30</v>
      </c>
      <c r="AS2" s="75" t="s">
        <v>31</v>
      </c>
    </row>
    <row r="3" spans="1:46" x14ac:dyDescent="0.3">
      <c r="A3" s="18" t="s">
        <v>12</v>
      </c>
      <c r="B3" s="18"/>
      <c r="C3" s="18"/>
      <c r="D3" s="18"/>
      <c r="E3" s="18"/>
      <c r="F3" s="19"/>
      <c r="G3" s="19"/>
      <c r="I3" s="18" t="s">
        <v>12</v>
      </c>
      <c r="J3" s="19"/>
      <c r="K3" s="19"/>
      <c r="L3" s="19"/>
      <c r="M3" s="19"/>
      <c r="N3" s="19"/>
      <c r="P3" s="18" t="s">
        <v>12</v>
      </c>
      <c r="Q3" s="18"/>
      <c r="R3" s="18"/>
      <c r="S3" s="18"/>
      <c r="T3" s="18"/>
      <c r="U3" s="19"/>
      <c r="V3" s="19"/>
      <c r="X3" s="18" t="s">
        <v>12</v>
      </c>
      <c r="Y3" s="18"/>
      <c r="Z3" s="18"/>
      <c r="AA3" s="18"/>
      <c r="AB3" s="18"/>
      <c r="AC3" s="19"/>
      <c r="AD3" s="19"/>
      <c r="AF3" s="29" t="s">
        <v>12</v>
      </c>
      <c r="AG3" s="30"/>
      <c r="AH3" s="30"/>
      <c r="AI3" s="30"/>
      <c r="AJ3" s="30"/>
      <c r="AK3" s="31"/>
      <c r="AL3" s="46"/>
      <c r="AN3" s="18" t="s">
        <v>12</v>
      </c>
      <c r="AO3" s="64"/>
      <c r="AP3" s="64"/>
      <c r="AQ3" s="64"/>
      <c r="AR3" s="64"/>
      <c r="AS3" s="65"/>
      <c r="AT3" s="65"/>
    </row>
    <row r="4" spans="1:46" x14ac:dyDescent="0.3">
      <c r="A4" s="18" t="s">
        <v>13</v>
      </c>
      <c r="B4" s="19"/>
      <c r="C4" s="19"/>
      <c r="D4" s="19"/>
      <c r="E4" s="19"/>
      <c r="F4" s="19"/>
      <c r="G4" s="19"/>
      <c r="I4" s="18" t="s">
        <v>66</v>
      </c>
      <c r="J4" s="19"/>
      <c r="K4" s="19"/>
      <c r="L4" s="19"/>
      <c r="M4" s="19"/>
      <c r="N4" s="19"/>
      <c r="P4" s="18" t="s">
        <v>13</v>
      </c>
      <c r="Q4" s="19"/>
      <c r="R4" s="19"/>
      <c r="S4" s="19"/>
      <c r="T4" s="19"/>
      <c r="U4" s="19"/>
      <c r="V4" s="19"/>
      <c r="X4" s="18" t="s">
        <v>13</v>
      </c>
      <c r="Y4" s="19"/>
      <c r="Z4" s="19"/>
      <c r="AA4" s="19"/>
      <c r="AB4" s="19"/>
      <c r="AC4" s="19"/>
      <c r="AD4" s="19"/>
      <c r="AF4" s="47" t="s">
        <v>13</v>
      </c>
      <c r="AG4" s="37"/>
      <c r="AH4" s="37"/>
      <c r="AI4" s="37"/>
      <c r="AJ4" s="37"/>
      <c r="AK4" s="37"/>
      <c r="AL4" s="48"/>
      <c r="AN4" s="18" t="s">
        <v>13</v>
      </c>
      <c r="AO4" s="65"/>
      <c r="AP4" s="65"/>
      <c r="AQ4" s="65"/>
      <c r="AR4" s="65"/>
      <c r="AS4" s="65"/>
      <c r="AT4" s="65"/>
    </row>
    <row r="5" spans="1:46" x14ac:dyDescent="0.3">
      <c r="A5" s="1" t="s">
        <v>14</v>
      </c>
      <c r="B5" s="21">
        <v>5107.3599999999997</v>
      </c>
      <c r="C5" s="21">
        <v>5938.5</v>
      </c>
      <c r="D5" s="21">
        <v>7770.46</v>
      </c>
      <c r="E5" s="21">
        <v>9725.61</v>
      </c>
      <c r="F5" s="21">
        <v>11759.19</v>
      </c>
      <c r="G5" s="21">
        <v>14349.83</v>
      </c>
      <c r="I5" s="1" t="s">
        <v>14</v>
      </c>
      <c r="J5" s="21">
        <v>4192</v>
      </c>
      <c r="K5" s="21">
        <v>4960</v>
      </c>
      <c r="L5" s="21">
        <v>6116</v>
      </c>
      <c r="M5" s="21">
        <v>6169</v>
      </c>
      <c r="N5" s="21">
        <v>8031</v>
      </c>
      <c r="P5" s="1" t="s">
        <v>14</v>
      </c>
      <c r="Q5" s="21">
        <v>19632.919999999998</v>
      </c>
      <c r="R5" s="21">
        <v>19153.939999999999</v>
      </c>
      <c r="S5" s="21">
        <v>20207.43</v>
      </c>
      <c r="T5" s="21">
        <v>21117.06</v>
      </c>
      <c r="U5" s="21">
        <v>23082.33</v>
      </c>
      <c r="V5" s="21">
        <v>17428.89</v>
      </c>
      <c r="X5" s="1" t="s">
        <v>14</v>
      </c>
      <c r="Y5" s="21">
        <v>1285</v>
      </c>
      <c r="Z5" s="21">
        <v>1216</v>
      </c>
      <c r="AA5" s="21">
        <v>1218</v>
      </c>
      <c r="AB5" s="21">
        <v>1343</v>
      </c>
      <c r="AC5" s="21">
        <v>1737</v>
      </c>
      <c r="AD5" s="21">
        <v>1854</v>
      </c>
      <c r="AF5" s="49" t="s">
        <v>14</v>
      </c>
      <c r="AG5" s="32">
        <v>654.64</v>
      </c>
      <c r="AH5" s="32">
        <v>640.45000000000005</v>
      </c>
      <c r="AI5" s="32">
        <v>724.94</v>
      </c>
      <c r="AJ5" s="32">
        <v>871.18</v>
      </c>
      <c r="AK5" s="32">
        <v>1146.32</v>
      </c>
      <c r="AL5" s="50">
        <v>2068.2399999999998</v>
      </c>
      <c r="AN5" s="34" t="s">
        <v>14</v>
      </c>
      <c r="AO5" s="66">
        <v>5827.1880000000001</v>
      </c>
      <c r="AP5" s="66">
        <v>5155.1719999999996</v>
      </c>
      <c r="AQ5" s="66">
        <v>5441.5780000000004</v>
      </c>
      <c r="AR5" s="66">
        <v>6803.1319999999996</v>
      </c>
      <c r="AS5" s="68">
        <v>10622.550999999999</v>
      </c>
    </row>
    <row r="6" spans="1:46" x14ac:dyDescent="0.3">
      <c r="A6" s="1" t="s">
        <v>15</v>
      </c>
      <c r="B6" s="21">
        <v>364.4</v>
      </c>
      <c r="C6" s="21">
        <v>1019.59</v>
      </c>
      <c r="D6" s="21">
        <v>1129.3399999999999</v>
      </c>
      <c r="E6" s="21">
        <v>829.16</v>
      </c>
      <c r="F6" s="21">
        <v>935.22</v>
      </c>
      <c r="G6" s="21">
        <v>1099.3499999999999</v>
      </c>
      <c r="I6" s="1" t="s">
        <v>15</v>
      </c>
      <c r="J6" s="21">
        <v>406</v>
      </c>
      <c r="K6" s="21">
        <v>597</v>
      </c>
      <c r="L6" s="21">
        <v>745</v>
      </c>
      <c r="M6" s="21">
        <v>1313</v>
      </c>
      <c r="N6" s="21">
        <v>1025</v>
      </c>
      <c r="P6" s="1" t="s">
        <v>15</v>
      </c>
      <c r="Q6" s="21">
        <v>3251.61</v>
      </c>
      <c r="R6" s="21">
        <v>4004.45</v>
      </c>
      <c r="S6" s="21">
        <v>3198.45</v>
      </c>
      <c r="T6" s="21">
        <v>2984.71</v>
      </c>
      <c r="U6" s="21">
        <v>2851.14</v>
      </c>
      <c r="V6" s="21">
        <v>1087.5999999999999</v>
      </c>
      <c r="X6" s="1" t="s">
        <v>15</v>
      </c>
      <c r="Y6" s="21">
        <v>11</v>
      </c>
      <c r="Z6" s="21">
        <v>19</v>
      </c>
      <c r="AA6" s="21">
        <v>69</v>
      </c>
      <c r="AB6" s="21">
        <v>133</v>
      </c>
      <c r="AC6" s="21">
        <v>88</v>
      </c>
      <c r="AD6" s="21">
        <v>93</v>
      </c>
      <c r="AF6" s="49" t="s">
        <v>15</v>
      </c>
      <c r="AG6" s="32">
        <v>23.32</v>
      </c>
      <c r="AH6" s="32">
        <v>107.98</v>
      </c>
      <c r="AI6" s="32">
        <v>104.72</v>
      </c>
      <c r="AJ6" s="32">
        <v>101.72</v>
      </c>
      <c r="AK6" s="32">
        <v>223.78</v>
      </c>
      <c r="AL6" s="50">
        <v>179.5</v>
      </c>
      <c r="AN6" s="34" t="s">
        <v>15</v>
      </c>
      <c r="AO6" s="66">
        <v>66.814999999999998</v>
      </c>
      <c r="AP6" s="66">
        <v>496.608</v>
      </c>
      <c r="AQ6" s="66">
        <v>606.63199999999995</v>
      </c>
      <c r="AR6" s="66">
        <v>1922.222</v>
      </c>
      <c r="AS6" s="68">
        <v>1162.3430000000001</v>
      </c>
    </row>
    <row r="7" spans="1:46" x14ac:dyDescent="0.3">
      <c r="A7" s="1" t="s">
        <v>16</v>
      </c>
      <c r="B7" s="21">
        <v>717.33</v>
      </c>
      <c r="C7" s="21">
        <v>960.24</v>
      </c>
      <c r="D7" s="21">
        <v>1388.65</v>
      </c>
      <c r="E7" s="21">
        <v>1504.88</v>
      </c>
      <c r="F7" s="21">
        <v>1539.1</v>
      </c>
      <c r="G7" s="21">
        <v>1741.73</v>
      </c>
      <c r="I7" s="1" t="s">
        <v>18</v>
      </c>
      <c r="J7" s="21">
        <v>36</v>
      </c>
      <c r="K7" s="21">
        <v>36</v>
      </c>
      <c r="L7" s="21">
        <v>17316</v>
      </c>
      <c r="M7" s="21">
        <v>17316</v>
      </c>
      <c r="N7" s="21">
        <v>17466</v>
      </c>
      <c r="P7" s="1" t="s">
        <v>86</v>
      </c>
      <c r="Q7" s="21">
        <v>385.36</v>
      </c>
      <c r="R7" s="21">
        <v>376.56</v>
      </c>
      <c r="S7" s="21">
        <v>364.2</v>
      </c>
      <c r="T7" s="21">
        <v>352.26</v>
      </c>
      <c r="U7" s="21">
        <v>340.93</v>
      </c>
      <c r="V7" s="21">
        <v>322.39999999999998</v>
      </c>
      <c r="X7" s="1" t="s">
        <v>16</v>
      </c>
      <c r="Y7" s="21">
        <v>935</v>
      </c>
      <c r="Z7" s="21">
        <v>917</v>
      </c>
      <c r="AA7" s="21">
        <v>973</v>
      </c>
      <c r="AB7" s="21">
        <v>1285</v>
      </c>
      <c r="AC7" s="21">
        <v>1543</v>
      </c>
      <c r="AD7" s="21">
        <v>1774</v>
      </c>
      <c r="AF7" s="49" t="s">
        <v>86</v>
      </c>
      <c r="AG7" s="32">
        <v>28.76</v>
      </c>
      <c r="AH7" s="32">
        <v>28.11</v>
      </c>
      <c r="AI7" s="32">
        <v>27.84</v>
      </c>
      <c r="AJ7" s="32">
        <v>27.13</v>
      </c>
      <c r="AK7" s="32">
        <v>26.91</v>
      </c>
      <c r="AL7" s="50">
        <v>26.86</v>
      </c>
      <c r="AN7" s="63" t="s">
        <v>16</v>
      </c>
      <c r="AO7" s="72">
        <v>0</v>
      </c>
      <c r="AP7" s="72">
        <v>572.79899999999998</v>
      </c>
      <c r="AQ7" s="72">
        <v>915.50099999999998</v>
      </c>
      <c r="AR7" s="72">
        <v>1034.7070000000001</v>
      </c>
      <c r="AS7" s="72">
        <v>1363.1220000000001</v>
      </c>
    </row>
    <row r="8" spans="1:46" x14ac:dyDescent="0.3">
      <c r="A8" s="1" t="s">
        <v>17</v>
      </c>
      <c r="B8" s="21">
        <v>16.53</v>
      </c>
      <c r="C8" s="21">
        <v>9.57</v>
      </c>
      <c r="D8" s="21">
        <v>9.0299999999999994</v>
      </c>
      <c r="E8" s="21">
        <v>8.5399999999999991</v>
      </c>
      <c r="F8" s="21">
        <v>8.09</v>
      </c>
      <c r="G8" s="21">
        <v>7.65</v>
      </c>
      <c r="I8" s="1" t="s">
        <v>67</v>
      </c>
      <c r="J8" s="21">
        <v>406</v>
      </c>
      <c r="K8" s="21">
        <v>402</v>
      </c>
      <c r="L8" s="21">
        <v>27930</v>
      </c>
      <c r="M8" s="21">
        <v>27907</v>
      </c>
      <c r="N8" s="21">
        <v>28247</v>
      </c>
      <c r="P8" s="1" t="s">
        <v>18</v>
      </c>
      <c r="Q8" s="21">
        <v>202.53</v>
      </c>
      <c r="R8" s="21">
        <v>779.73</v>
      </c>
      <c r="S8" s="21">
        <v>779.73</v>
      </c>
      <c r="T8" s="21">
        <v>779.73</v>
      </c>
      <c r="U8" s="21">
        <v>779.73</v>
      </c>
      <c r="V8" s="21">
        <v>896.93</v>
      </c>
      <c r="X8" s="1" t="s">
        <v>86</v>
      </c>
      <c r="Y8" s="21">
        <v>24</v>
      </c>
      <c r="Z8" s="21">
        <v>24</v>
      </c>
      <c r="AA8" s="21">
        <v>1</v>
      </c>
      <c r="AB8" s="21">
        <v>1</v>
      </c>
      <c r="AC8" s="21">
        <v>1</v>
      </c>
      <c r="AD8" s="21">
        <v>1</v>
      </c>
      <c r="AF8" s="49" t="s">
        <v>107</v>
      </c>
      <c r="AG8" s="32">
        <v>27.19</v>
      </c>
      <c r="AH8" s="32">
        <v>27.19</v>
      </c>
      <c r="AI8" s="32">
        <v>27.19</v>
      </c>
      <c r="AJ8" s="32">
        <v>27.19</v>
      </c>
      <c r="AK8" s="32">
        <v>27.19</v>
      </c>
      <c r="AL8" s="50">
        <v>27.19</v>
      </c>
      <c r="AN8" s="34" t="s">
        <v>18</v>
      </c>
      <c r="AO8" s="72">
        <v>24.23</v>
      </c>
      <c r="AP8" s="72">
        <v>24.23</v>
      </c>
      <c r="AQ8" s="72">
        <v>24.23</v>
      </c>
      <c r="AR8" s="72">
        <v>24.23</v>
      </c>
      <c r="AS8" s="73">
        <v>300.93700000000001</v>
      </c>
    </row>
    <row r="9" spans="1:46" x14ac:dyDescent="0.3">
      <c r="A9" s="1" t="s">
        <v>18</v>
      </c>
      <c r="B9" s="21">
        <v>78.27</v>
      </c>
      <c r="C9" s="21">
        <v>78.27</v>
      </c>
      <c r="D9" s="21">
        <v>78.27</v>
      </c>
      <c r="E9" s="21">
        <v>78.27</v>
      </c>
      <c r="F9" s="21">
        <v>78.27</v>
      </c>
      <c r="G9" s="21">
        <v>78.27</v>
      </c>
      <c r="I9" s="1" t="s">
        <v>68</v>
      </c>
      <c r="J9" s="21">
        <v>81</v>
      </c>
      <c r="K9" s="21">
        <v>81</v>
      </c>
      <c r="L9" s="21">
        <v>81</v>
      </c>
      <c r="M9" s="21">
        <v>81</v>
      </c>
      <c r="N9" s="21">
        <v>65</v>
      </c>
      <c r="P9" s="1" t="s">
        <v>87</v>
      </c>
      <c r="Q9" s="21">
        <v>525.37</v>
      </c>
      <c r="R9" s="21">
        <v>2011.06</v>
      </c>
      <c r="S9" s="21">
        <v>2013.1</v>
      </c>
      <c r="T9" s="21">
        <v>2727.32</v>
      </c>
      <c r="U9" s="21">
        <v>2678.11</v>
      </c>
      <c r="V9" s="21">
        <v>2724.74</v>
      </c>
      <c r="X9" s="1" t="s">
        <v>18</v>
      </c>
      <c r="Y9" s="21">
        <v>123</v>
      </c>
      <c r="Z9" s="21">
        <v>123</v>
      </c>
      <c r="AA9" s="21">
        <v>123</v>
      </c>
      <c r="AB9" s="21">
        <v>123</v>
      </c>
      <c r="AC9" s="21">
        <v>123</v>
      </c>
      <c r="AD9" s="21">
        <v>123</v>
      </c>
      <c r="AF9" s="49" t="s">
        <v>67</v>
      </c>
      <c r="AG9" s="32">
        <v>42.27</v>
      </c>
      <c r="AH9" s="32">
        <v>39.58</v>
      </c>
      <c r="AI9" s="32">
        <v>42.53</v>
      </c>
      <c r="AJ9" s="32">
        <v>51.21</v>
      </c>
      <c r="AK9" s="32">
        <v>47.37</v>
      </c>
      <c r="AL9" s="50">
        <v>46.09</v>
      </c>
      <c r="AN9" s="34" t="s">
        <v>67</v>
      </c>
      <c r="AO9" s="72">
        <v>557.20100000000002</v>
      </c>
      <c r="AP9" s="72">
        <v>558.57399999999996</v>
      </c>
      <c r="AQ9" s="72">
        <v>550.91</v>
      </c>
      <c r="AR9" s="72">
        <v>547.1</v>
      </c>
      <c r="AS9" s="73">
        <v>1115.126</v>
      </c>
    </row>
    <row r="10" spans="1:46" x14ac:dyDescent="0.3">
      <c r="A10" s="1" t="s">
        <v>19</v>
      </c>
      <c r="B10" s="21">
        <v>28.54</v>
      </c>
      <c r="C10" s="21">
        <v>22.22</v>
      </c>
      <c r="D10" s="21">
        <v>13.61</v>
      </c>
      <c r="E10" s="21">
        <v>23.18</v>
      </c>
      <c r="F10" s="21">
        <v>30.35</v>
      </c>
      <c r="G10" s="21">
        <v>28.98</v>
      </c>
      <c r="I10" s="18" t="s">
        <v>69</v>
      </c>
      <c r="J10" s="26"/>
      <c r="K10" s="26"/>
      <c r="L10" s="26"/>
      <c r="M10" s="26"/>
      <c r="N10" s="26"/>
      <c r="P10" s="1" t="s">
        <v>88</v>
      </c>
      <c r="Q10" s="21">
        <v>4.8499999999999996</v>
      </c>
      <c r="R10" s="21">
        <v>6.84</v>
      </c>
      <c r="S10" s="21">
        <v>27.09</v>
      </c>
      <c r="T10" s="21">
        <v>18.59</v>
      </c>
      <c r="U10" s="21">
        <v>9.64</v>
      </c>
      <c r="V10" s="21">
        <v>3.31</v>
      </c>
      <c r="X10" s="1" t="s">
        <v>67</v>
      </c>
      <c r="Y10" s="21">
        <v>266</v>
      </c>
      <c r="Z10" s="21">
        <v>243</v>
      </c>
      <c r="AA10" s="21">
        <v>229</v>
      </c>
      <c r="AB10" s="21">
        <v>246</v>
      </c>
      <c r="AC10" s="21">
        <v>305</v>
      </c>
      <c r="AD10" s="21">
        <v>310</v>
      </c>
      <c r="AF10" s="49" t="s">
        <v>16</v>
      </c>
      <c r="AG10" s="32">
        <v>1985.57</v>
      </c>
      <c r="AH10" s="32">
        <v>2318.4899999999998</v>
      </c>
      <c r="AI10" s="32">
        <v>3864.21</v>
      </c>
      <c r="AJ10" s="32">
        <v>3550.24</v>
      </c>
      <c r="AK10" s="32">
        <v>1202.1300000000001</v>
      </c>
      <c r="AL10" s="50">
        <v>1726.75</v>
      </c>
      <c r="AN10" s="63" t="s">
        <v>88</v>
      </c>
      <c r="AO10" s="72">
        <v>0</v>
      </c>
      <c r="AP10" s="72">
        <v>0</v>
      </c>
      <c r="AQ10" s="72">
        <v>0</v>
      </c>
      <c r="AR10" s="72">
        <v>0</v>
      </c>
      <c r="AS10" s="72">
        <v>4.3689999999999998</v>
      </c>
    </row>
    <row r="11" spans="1:46" x14ac:dyDescent="0.3">
      <c r="A11" s="18" t="s">
        <v>20</v>
      </c>
      <c r="B11" s="22"/>
      <c r="C11" s="22"/>
      <c r="D11" s="22"/>
      <c r="E11" s="22"/>
      <c r="F11" s="22"/>
      <c r="G11" s="22"/>
      <c r="I11" s="1" t="s">
        <v>22</v>
      </c>
      <c r="J11" s="21">
        <v>2</v>
      </c>
      <c r="K11" s="21">
        <v>2</v>
      </c>
      <c r="L11" s="21">
        <v>2</v>
      </c>
      <c r="M11" s="21">
        <v>2</v>
      </c>
      <c r="N11" s="21">
        <v>2</v>
      </c>
      <c r="P11" s="1" t="s">
        <v>16</v>
      </c>
      <c r="Q11" s="21">
        <v>967.16</v>
      </c>
      <c r="R11" s="21">
        <v>977.19</v>
      </c>
      <c r="S11" s="21">
        <v>867.13</v>
      </c>
      <c r="T11" s="21">
        <v>874.88</v>
      </c>
      <c r="U11" s="21">
        <v>939.12</v>
      </c>
      <c r="V11" s="21">
        <v>581.89</v>
      </c>
      <c r="X11" s="1" t="s">
        <v>88</v>
      </c>
      <c r="Y11" s="21">
        <v>7</v>
      </c>
      <c r="Z11" s="21">
        <v>13</v>
      </c>
      <c r="AA11" s="21">
        <v>16</v>
      </c>
      <c r="AB11" s="21">
        <v>11</v>
      </c>
      <c r="AC11" s="21">
        <v>9</v>
      </c>
      <c r="AD11" s="21">
        <v>12</v>
      </c>
      <c r="AF11" s="49" t="s">
        <v>22</v>
      </c>
      <c r="AG11" s="32">
        <v>735.91</v>
      </c>
      <c r="AH11" s="32">
        <v>816.63</v>
      </c>
      <c r="AI11" s="32">
        <v>757.39</v>
      </c>
      <c r="AJ11" s="32">
        <v>564.13</v>
      </c>
      <c r="AK11" s="32">
        <v>696.26</v>
      </c>
      <c r="AL11" s="50">
        <v>845.56</v>
      </c>
      <c r="AN11" s="34" t="s">
        <v>120</v>
      </c>
      <c r="AO11" s="72">
        <v>0</v>
      </c>
      <c r="AP11" s="72">
        <v>0</v>
      </c>
      <c r="AQ11" s="72">
        <v>4.0000000000000001E-3</v>
      </c>
      <c r="AR11" s="72">
        <v>17.931999999999999</v>
      </c>
      <c r="AS11" s="73">
        <v>53.447000000000003</v>
      </c>
    </row>
    <row r="12" spans="1:46" x14ac:dyDescent="0.3">
      <c r="A12" s="1" t="s">
        <v>21</v>
      </c>
      <c r="B12" s="21">
        <v>3122.67</v>
      </c>
      <c r="C12" s="21">
        <v>1109.28</v>
      </c>
      <c r="D12" s="21">
        <v>1262.7</v>
      </c>
      <c r="E12" s="21">
        <v>108.55</v>
      </c>
      <c r="F12" s="21">
        <v>0.01</v>
      </c>
      <c r="G12" s="21">
        <v>2.0099999999999998</v>
      </c>
      <c r="I12" s="1" t="s">
        <v>70</v>
      </c>
      <c r="J12" s="21">
        <v>215</v>
      </c>
      <c r="K12" s="21">
        <v>238</v>
      </c>
      <c r="L12" s="21">
        <v>111</v>
      </c>
      <c r="M12" s="21">
        <v>115</v>
      </c>
      <c r="N12" s="21">
        <v>102</v>
      </c>
      <c r="P12" s="1" t="s">
        <v>89</v>
      </c>
      <c r="Q12" s="21">
        <v>266.16000000000003</v>
      </c>
      <c r="R12" s="21">
        <v>262.55</v>
      </c>
      <c r="S12" s="21">
        <v>269.24</v>
      </c>
      <c r="T12" s="21">
        <v>337.59</v>
      </c>
      <c r="U12" s="21">
        <v>549.73</v>
      </c>
      <c r="V12" s="21">
        <v>4711.78</v>
      </c>
      <c r="X12" s="1" t="s">
        <v>22</v>
      </c>
      <c r="Y12" s="21">
        <v>44</v>
      </c>
      <c r="Z12" s="21">
        <v>19</v>
      </c>
      <c r="AA12" s="21">
        <v>279</v>
      </c>
      <c r="AB12" s="21">
        <v>351</v>
      </c>
      <c r="AC12" s="21">
        <v>679</v>
      </c>
      <c r="AD12" s="21">
        <v>651</v>
      </c>
      <c r="AF12" s="49" t="s">
        <v>108</v>
      </c>
      <c r="AG12" s="32">
        <v>2.34</v>
      </c>
      <c r="AH12" s="32">
        <v>2.35</v>
      </c>
      <c r="AI12" s="32">
        <v>2.13</v>
      </c>
      <c r="AJ12" s="32">
        <v>1.86</v>
      </c>
      <c r="AK12" s="32">
        <v>1.66</v>
      </c>
      <c r="AL12" s="50">
        <v>1.35</v>
      </c>
      <c r="AN12" s="34" t="s">
        <v>22</v>
      </c>
      <c r="AO12" s="72">
        <v>1E-3</v>
      </c>
      <c r="AP12" s="72">
        <v>1E-3</v>
      </c>
      <c r="AQ12" s="72">
        <v>1E-3</v>
      </c>
      <c r="AR12" s="72">
        <v>3.1509999999999998</v>
      </c>
      <c r="AS12" s="73">
        <v>6.0549999999999997</v>
      </c>
    </row>
    <row r="13" spans="1:46" x14ac:dyDescent="0.3">
      <c r="A13" s="1" t="s">
        <v>22</v>
      </c>
      <c r="B13" s="21"/>
      <c r="C13" s="21"/>
      <c r="D13" s="21">
        <v>0.01</v>
      </c>
      <c r="E13" s="21">
        <v>0.01</v>
      </c>
      <c r="F13" s="21">
        <v>234.76</v>
      </c>
      <c r="G13" s="21">
        <v>168.12</v>
      </c>
      <c r="I13" s="1" t="s">
        <v>71</v>
      </c>
      <c r="J13" s="21">
        <v>11</v>
      </c>
      <c r="K13" s="21">
        <v>3</v>
      </c>
      <c r="L13" s="21">
        <v>757</v>
      </c>
      <c r="M13" s="21">
        <v>729</v>
      </c>
      <c r="N13" s="21">
        <v>760</v>
      </c>
      <c r="P13" s="18" t="s">
        <v>20</v>
      </c>
      <c r="Q13" s="22"/>
      <c r="R13" s="22"/>
      <c r="S13" s="22"/>
      <c r="T13" s="22"/>
      <c r="U13" s="22"/>
      <c r="V13" s="22"/>
      <c r="X13" s="1" t="s">
        <v>98</v>
      </c>
      <c r="Y13" s="21">
        <v>154</v>
      </c>
      <c r="Z13" s="21">
        <v>158</v>
      </c>
      <c r="AA13" s="21">
        <v>42</v>
      </c>
      <c r="AB13" s="21">
        <v>54</v>
      </c>
      <c r="AC13" s="21">
        <v>72</v>
      </c>
      <c r="AD13" s="21">
        <v>62</v>
      </c>
      <c r="AF13" s="49" t="s">
        <v>90</v>
      </c>
      <c r="AG13" s="41">
        <v>76.069999999999993</v>
      </c>
      <c r="AH13" s="41">
        <v>72.28</v>
      </c>
      <c r="AI13" s="41">
        <v>94.75</v>
      </c>
      <c r="AJ13" s="41">
        <v>136.71</v>
      </c>
      <c r="AK13" s="41">
        <v>447.7</v>
      </c>
      <c r="AL13" s="51">
        <v>616.75</v>
      </c>
      <c r="AN13" s="34" t="s">
        <v>70</v>
      </c>
      <c r="AO13" s="72">
        <v>41.789000000000001</v>
      </c>
      <c r="AP13" s="72">
        <v>0</v>
      </c>
      <c r="AQ13" s="72">
        <v>0</v>
      </c>
      <c r="AR13" s="72">
        <v>0</v>
      </c>
      <c r="AS13" s="73">
        <v>21.887</v>
      </c>
    </row>
    <row r="14" spans="1:46" x14ac:dyDescent="0.3">
      <c r="A14" s="1" t="s">
        <v>23</v>
      </c>
      <c r="B14" s="21">
        <v>8.25</v>
      </c>
      <c r="C14" s="21">
        <v>1.63</v>
      </c>
      <c r="D14" s="21">
        <v>2.2799999999999998</v>
      </c>
      <c r="E14" s="21">
        <v>17.5</v>
      </c>
      <c r="F14" s="21">
        <v>17.559999999999999</v>
      </c>
      <c r="G14" s="21">
        <v>18.190000000000001</v>
      </c>
      <c r="I14" s="1" t="s">
        <v>72</v>
      </c>
      <c r="J14" s="21">
        <v>835</v>
      </c>
      <c r="K14" s="21">
        <v>1083</v>
      </c>
      <c r="L14" s="21">
        <v>17</v>
      </c>
      <c r="M14" s="21">
        <v>11</v>
      </c>
      <c r="N14" s="21">
        <v>10</v>
      </c>
      <c r="P14" s="1" t="s">
        <v>22</v>
      </c>
      <c r="Q14" s="21">
        <v>10448.459999999999</v>
      </c>
      <c r="R14" s="21">
        <v>9761.99</v>
      </c>
      <c r="S14" s="21">
        <v>12307.49</v>
      </c>
      <c r="T14" s="21">
        <v>11844.57</v>
      </c>
      <c r="U14" s="21">
        <v>17619.87</v>
      </c>
      <c r="V14" s="21">
        <v>13720.54</v>
      </c>
      <c r="X14" s="1" t="s">
        <v>71</v>
      </c>
      <c r="Y14" s="21">
        <v>199</v>
      </c>
      <c r="Z14" s="21">
        <v>211</v>
      </c>
      <c r="AA14" s="21">
        <v>382</v>
      </c>
      <c r="AB14" s="21">
        <v>595</v>
      </c>
      <c r="AC14" s="21">
        <v>788</v>
      </c>
      <c r="AD14" s="21">
        <v>868</v>
      </c>
      <c r="AF14" s="49" t="s">
        <v>24</v>
      </c>
      <c r="AG14" s="41">
        <v>110.4</v>
      </c>
      <c r="AH14" s="41">
        <v>114.52</v>
      </c>
      <c r="AI14" s="41">
        <v>126.35</v>
      </c>
      <c r="AJ14" s="41">
        <v>156.05000000000001</v>
      </c>
      <c r="AK14" s="41">
        <v>54.43</v>
      </c>
      <c r="AL14" s="51">
        <v>43.47</v>
      </c>
      <c r="AN14" s="34" t="s">
        <v>90</v>
      </c>
      <c r="AO14" s="72">
        <v>0.121</v>
      </c>
      <c r="AP14" s="72">
        <v>42.06</v>
      </c>
      <c r="AQ14" s="72">
        <v>48.68</v>
      </c>
      <c r="AR14" s="72">
        <v>62.267000000000003</v>
      </c>
      <c r="AS14" s="73">
        <v>98.725999999999999</v>
      </c>
    </row>
    <row r="15" spans="1:46" x14ac:dyDescent="0.3">
      <c r="A15" s="1" t="s">
        <v>24</v>
      </c>
      <c r="B15" s="21">
        <v>0.28999999999999998</v>
      </c>
      <c r="C15" s="21">
        <v>0.92</v>
      </c>
      <c r="D15" s="21">
        <v>1.66</v>
      </c>
      <c r="E15" s="21">
        <v>1.77</v>
      </c>
      <c r="F15" s="21">
        <v>4.72</v>
      </c>
      <c r="G15" s="21">
        <v>7.51</v>
      </c>
      <c r="I15" s="1" t="s">
        <v>24</v>
      </c>
      <c r="J15" s="21">
        <v>373</v>
      </c>
      <c r="K15" s="21">
        <v>284</v>
      </c>
      <c r="L15" s="21">
        <v>1246</v>
      </c>
      <c r="M15" s="21">
        <v>1158</v>
      </c>
      <c r="N15" s="21">
        <v>1175</v>
      </c>
      <c r="P15" s="1" t="s">
        <v>70</v>
      </c>
      <c r="Q15" s="21">
        <v>5.27</v>
      </c>
      <c r="R15" s="21">
        <v>4.07</v>
      </c>
      <c r="S15" s="21">
        <v>6.61</v>
      </c>
      <c r="T15" s="21">
        <v>5.48</v>
      </c>
      <c r="U15" s="21">
        <v>4.05</v>
      </c>
      <c r="V15" s="21">
        <v>7.6</v>
      </c>
      <c r="X15" s="1" t="s">
        <v>24</v>
      </c>
      <c r="Y15" s="21">
        <v>159</v>
      </c>
      <c r="Z15" s="21">
        <v>105</v>
      </c>
      <c r="AA15" s="21">
        <v>187</v>
      </c>
      <c r="AB15" s="21">
        <v>158</v>
      </c>
      <c r="AC15" s="21">
        <v>187</v>
      </c>
      <c r="AD15" s="21">
        <v>170</v>
      </c>
      <c r="AF15" s="49" t="s">
        <v>25</v>
      </c>
      <c r="AG15" s="41">
        <v>116.75</v>
      </c>
      <c r="AH15" s="41">
        <v>152.80000000000001</v>
      </c>
      <c r="AI15" s="41">
        <v>170.51</v>
      </c>
      <c r="AJ15" s="41">
        <v>216.33</v>
      </c>
      <c r="AK15" s="41">
        <v>178.15</v>
      </c>
      <c r="AL15" s="51">
        <v>164.43</v>
      </c>
      <c r="AN15" s="34" t="s">
        <v>24</v>
      </c>
      <c r="AO15" s="72">
        <v>11.018000000000001</v>
      </c>
      <c r="AP15" s="72">
        <v>2.41</v>
      </c>
      <c r="AQ15" s="72">
        <v>0</v>
      </c>
      <c r="AR15" s="72">
        <v>0</v>
      </c>
      <c r="AS15" s="73">
        <v>19.631</v>
      </c>
    </row>
    <row r="16" spans="1:46" x14ac:dyDescent="0.3">
      <c r="A16" s="1" t="s">
        <v>25</v>
      </c>
      <c r="B16" s="21">
        <v>285.14</v>
      </c>
      <c r="C16" s="21">
        <v>454.62</v>
      </c>
      <c r="D16" s="21">
        <v>373.78</v>
      </c>
      <c r="E16" s="21">
        <v>360.73</v>
      </c>
      <c r="F16" s="21">
        <v>367.9</v>
      </c>
      <c r="G16" s="21">
        <v>426.45</v>
      </c>
      <c r="I16" s="1" t="s">
        <v>25</v>
      </c>
      <c r="J16" s="21">
        <v>158</v>
      </c>
      <c r="K16" s="21">
        <v>146</v>
      </c>
      <c r="L16" s="21">
        <v>219</v>
      </c>
      <c r="M16" s="21">
        <v>194</v>
      </c>
      <c r="N16" s="21">
        <v>292</v>
      </c>
      <c r="P16" s="1" t="s">
        <v>90</v>
      </c>
      <c r="Q16" s="21">
        <v>615.65</v>
      </c>
      <c r="R16" s="21">
        <v>101.87</v>
      </c>
      <c r="S16" s="21">
        <v>1589.58</v>
      </c>
      <c r="T16" s="21">
        <v>3739.75</v>
      </c>
      <c r="U16" s="21">
        <v>408.99</v>
      </c>
      <c r="V16" s="21">
        <v>1557.57</v>
      </c>
      <c r="X16" s="1" t="s">
        <v>23</v>
      </c>
      <c r="Y16" s="21">
        <v>144</v>
      </c>
      <c r="Z16" s="21">
        <v>121</v>
      </c>
      <c r="AA16" s="21">
        <v>137</v>
      </c>
      <c r="AB16" s="21">
        <v>151</v>
      </c>
      <c r="AC16" s="21">
        <v>213</v>
      </c>
      <c r="AD16" s="21">
        <v>104</v>
      </c>
      <c r="AF16" s="52" t="s">
        <v>73</v>
      </c>
      <c r="AG16" s="33">
        <f t="shared" ref="AG16:AL16" si="0">SUM(AG5:AG15)</f>
        <v>3803.2200000000003</v>
      </c>
      <c r="AH16" s="33">
        <f t="shared" si="0"/>
        <v>4320.380000000001</v>
      </c>
      <c r="AI16" s="33">
        <f t="shared" si="0"/>
        <v>5942.5600000000013</v>
      </c>
      <c r="AJ16" s="33">
        <f t="shared" si="0"/>
        <v>5703.75</v>
      </c>
      <c r="AK16" s="33">
        <f t="shared" si="0"/>
        <v>4051.8999999999996</v>
      </c>
      <c r="AL16" s="53">
        <f t="shared" si="0"/>
        <v>5746.1900000000014</v>
      </c>
      <c r="AN16" s="34" t="s">
        <v>121</v>
      </c>
      <c r="AO16" s="72">
        <v>130.34399999999999</v>
      </c>
      <c r="AP16" s="72">
        <v>183.923</v>
      </c>
      <c r="AQ16" s="72">
        <v>626.67700000000002</v>
      </c>
      <c r="AR16" s="72">
        <v>536.81200000000001</v>
      </c>
      <c r="AS16" s="73">
        <v>511.74200000000002</v>
      </c>
      <c r="AT16" s="40"/>
    </row>
    <row r="17" spans="1:46" x14ac:dyDescent="0.3">
      <c r="A17" s="23" t="s">
        <v>26</v>
      </c>
      <c r="B17" s="25">
        <f>SUM(B5:B10,B12:B16)</f>
        <v>9728.7799999999988</v>
      </c>
      <c r="C17" s="25">
        <f t="shared" ref="C17:G17" si="1">SUM(C5:C10,C12:C16)</f>
        <v>9594.84</v>
      </c>
      <c r="D17" s="25">
        <f t="shared" si="1"/>
        <v>12029.790000000003</v>
      </c>
      <c r="E17" s="25">
        <f t="shared" si="1"/>
        <v>12658.200000000003</v>
      </c>
      <c r="F17" s="25">
        <f t="shared" si="1"/>
        <v>14975.17</v>
      </c>
      <c r="G17" s="25">
        <f t="shared" si="1"/>
        <v>17928.089999999997</v>
      </c>
      <c r="I17" s="23" t="s">
        <v>73</v>
      </c>
      <c r="J17" s="25">
        <f>SUM(J5:J16)</f>
        <v>6715</v>
      </c>
      <c r="K17" s="25">
        <f t="shared" ref="K17:N17" si="2">SUM(K5:K16)</f>
        <v>7832</v>
      </c>
      <c r="L17" s="25">
        <f t="shared" si="2"/>
        <v>54540</v>
      </c>
      <c r="M17" s="25">
        <f t="shared" si="2"/>
        <v>54995</v>
      </c>
      <c r="N17" s="25">
        <f t="shared" si="2"/>
        <v>57175</v>
      </c>
      <c r="P17" s="1" t="s">
        <v>24</v>
      </c>
      <c r="Q17" s="21">
        <v>56.29</v>
      </c>
      <c r="R17" s="21">
        <v>58.54</v>
      </c>
      <c r="S17" s="21">
        <v>63.53</v>
      </c>
      <c r="T17" s="21">
        <v>52.02</v>
      </c>
      <c r="U17" s="21">
        <v>72.19</v>
      </c>
      <c r="V17" s="21">
        <v>87.98</v>
      </c>
      <c r="X17" s="1" t="s">
        <v>25</v>
      </c>
      <c r="Y17" s="21">
        <v>78</v>
      </c>
      <c r="Z17" s="21">
        <v>86</v>
      </c>
      <c r="AA17" s="21">
        <v>84</v>
      </c>
      <c r="AB17" s="21">
        <v>165</v>
      </c>
      <c r="AC17" s="21">
        <v>197</v>
      </c>
      <c r="AD17" s="21">
        <v>191</v>
      </c>
      <c r="AF17" s="54" t="s">
        <v>33</v>
      </c>
      <c r="AG17" s="39"/>
      <c r="AH17" s="39"/>
      <c r="AI17" s="39"/>
      <c r="AJ17" s="39"/>
      <c r="AK17" s="39"/>
      <c r="AL17" s="55"/>
      <c r="AN17" s="35" t="s">
        <v>73</v>
      </c>
      <c r="AO17" s="67">
        <f>SUM(AO5:AO16)</f>
        <v>6658.7069999999994</v>
      </c>
      <c r="AP17" s="67">
        <f>SUM(AP5:AP16)</f>
        <v>7035.7769999999991</v>
      </c>
      <c r="AQ17" s="67">
        <f>SUM(AQ5:AQ16)</f>
        <v>8214.2129999999997</v>
      </c>
      <c r="AR17" s="67">
        <f>SUM(AR5:AR16)</f>
        <v>10951.553</v>
      </c>
      <c r="AS17" s="69">
        <f>SUM(AS5:AS16)</f>
        <v>15279.936000000002</v>
      </c>
    </row>
    <row r="18" spans="1:46" x14ac:dyDescent="0.3">
      <c r="A18" s="18" t="s">
        <v>33</v>
      </c>
      <c r="B18" s="26"/>
      <c r="C18" s="26"/>
      <c r="D18" s="26"/>
      <c r="E18" s="26"/>
      <c r="F18" s="26"/>
      <c r="G18" s="26"/>
      <c r="I18" s="18" t="s">
        <v>33</v>
      </c>
      <c r="J18" s="22"/>
      <c r="K18" s="22"/>
      <c r="L18" s="22"/>
      <c r="M18" s="22"/>
      <c r="N18" s="22"/>
      <c r="P18" s="1" t="s">
        <v>23</v>
      </c>
      <c r="Q18" s="21">
        <v>38.42</v>
      </c>
      <c r="R18" s="21">
        <v>33.04</v>
      </c>
      <c r="S18" s="21">
        <v>42.3</v>
      </c>
      <c r="T18" s="21">
        <v>66.16</v>
      </c>
      <c r="U18" s="21">
        <v>44.93</v>
      </c>
      <c r="V18" s="21">
        <v>50.24</v>
      </c>
      <c r="X18" s="23" t="s">
        <v>73</v>
      </c>
      <c r="Y18" s="25">
        <f>SUM(Y5:Y17)</f>
        <v>3429</v>
      </c>
      <c r="Z18" s="25">
        <f t="shared" ref="Z18:AD18" si="3">SUM(Z5:Z17)</f>
        <v>3255</v>
      </c>
      <c r="AA18" s="25">
        <f t="shared" si="3"/>
        <v>3740</v>
      </c>
      <c r="AB18" s="25">
        <f t="shared" si="3"/>
        <v>4616</v>
      </c>
      <c r="AC18" s="25">
        <f t="shared" si="3"/>
        <v>5942</v>
      </c>
      <c r="AD18" s="25">
        <f t="shared" si="3"/>
        <v>6213</v>
      </c>
      <c r="AF18" s="49" t="s">
        <v>34</v>
      </c>
      <c r="AG18" s="41">
        <v>607.80999999999995</v>
      </c>
      <c r="AH18" s="41">
        <v>428.39</v>
      </c>
      <c r="AI18" s="41">
        <v>867.78</v>
      </c>
      <c r="AJ18" s="41">
        <v>1361.16</v>
      </c>
      <c r="AK18" s="41">
        <v>1582.73</v>
      </c>
      <c r="AL18" s="51">
        <v>2045.05</v>
      </c>
      <c r="AN18" s="18" t="s">
        <v>33</v>
      </c>
      <c r="AO18" s="22"/>
      <c r="AP18" s="22"/>
      <c r="AQ18" s="22"/>
      <c r="AR18" s="22"/>
      <c r="AS18" s="22"/>
    </row>
    <row r="19" spans="1:46" x14ac:dyDescent="0.3">
      <c r="A19" s="1" t="s">
        <v>34</v>
      </c>
      <c r="B19" s="21">
        <v>1947.4</v>
      </c>
      <c r="C19" s="21">
        <v>2248.2800000000002</v>
      </c>
      <c r="D19" s="21">
        <v>2742.66</v>
      </c>
      <c r="E19" s="21">
        <v>3243.48</v>
      </c>
      <c r="F19" s="21">
        <v>3927.31</v>
      </c>
      <c r="G19" s="21">
        <v>5044.37</v>
      </c>
      <c r="I19" s="1" t="s">
        <v>34</v>
      </c>
      <c r="J19" s="21">
        <v>2574</v>
      </c>
      <c r="K19" s="21">
        <v>2767</v>
      </c>
      <c r="L19" s="21">
        <v>3579</v>
      </c>
      <c r="M19" s="21">
        <v>4096</v>
      </c>
      <c r="N19" s="21">
        <v>4022</v>
      </c>
      <c r="P19" s="1" t="s">
        <v>25</v>
      </c>
      <c r="Q19" s="21">
        <v>1461.24</v>
      </c>
      <c r="R19" s="21">
        <v>1295.48</v>
      </c>
      <c r="S19" s="21">
        <v>1291.22</v>
      </c>
      <c r="T19" s="21">
        <v>1311.95</v>
      </c>
      <c r="U19" s="21">
        <v>1379.86</v>
      </c>
      <c r="V19" s="21">
        <v>1015.93</v>
      </c>
      <c r="X19" s="18" t="s">
        <v>33</v>
      </c>
      <c r="Y19" s="26"/>
      <c r="Z19" s="26"/>
      <c r="AA19" s="26"/>
      <c r="AB19" s="26"/>
      <c r="AC19" s="26"/>
      <c r="AD19" s="26"/>
      <c r="AF19" s="49" t="s">
        <v>22</v>
      </c>
      <c r="AG19" s="41">
        <v>778.87</v>
      </c>
      <c r="AH19" s="41">
        <v>670.66</v>
      </c>
      <c r="AI19" s="41">
        <v>526.33000000000004</v>
      </c>
      <c r="AJ19" s="41">
        <v>545.74</v>
      </c>
      <c r="AK19" s="41">
        <v>719.77</v>
      </c>
      <c r="AL19" s="51">
        <v>634.69000000000005</v>
      </c>
      <c r="AN19" s="34" t="s">
        <v>34</v>
      </c>
      <c r="AO19" s="72">
        <v>928.80399999999997</v>
      </c>
      <c r="AP19" s="72">
        <v>1448.087</v>
      </c>
      <c r="AQ19" s="72">
        <v>1993.885</v>
      </c>
      <c r="AR19" s="72">
        <v>2150.5329999999999</v>
      </c>
      <c r="AS19" s="73">
        <v>2791.2339999999999</v>
      </c>
    </row>
    <row r="20" spans="1:46" x14ac:dyDescent="0.3">
      <c r="A20" s="18" t="s">
        <v>20</v>
      </c>
      <c r="B20" s="22"/>
      <c r="C20" s="22"/>
      <c r="D20" s="22"/>
      <c r="E20" s="22"/>
      <c r="F20" s="22"/>
      <c r="G20" s="22"/>
      <c r="I20" s="1" t="s">
        <v>22</v>
      </c>
      <c r="J20" s="21">
        <v>2714</v>
      </c>
      <c r="K20" s="21">
        <v>1253</v>
      </c>
      <c r="L20" s="20">
        <v>2707</v>
      </c>
      <c r="M20" s="20">
        <v>3519</v>
      </c>
      <c r="N20" s="20">
        <v>4558</v>
      </c>
      <c r="P20" s="23" t="s">
        <v>73</v>
      </c>
      <c r="Q20" s="25">
        <f>SUM(Q5:Q19)</f>
        <v>37861.289999999994</v>
      </c>
      <c r="R20" s="25">
        <f t="shared" ref="R20:V20" si="4">SUM(R5:R19)</f>
        <v>38827.310000000005</v>
      </c>
      <c r="S20" s="25">
        <f t="shared" si="4"/>
        <v>43027.100000000006</v>
      </c>
      <c r="T20" s="25">
        <f t="shared" si="4"/>
        <v>46212.07</v>
      </c>
      <c r="U20" s="25">
        <f t="shared" si="4"/>
        <v>50760.62</v>
      </c>
      <c r="V20" s="25">
        <f t="shared" si="4"/>
        <v>44197.4</v>
      </c>
      <c r="X20" s="1" t="s">
        <v>34</v>
      </c>
      <c r="Y20" s="21">
        <v>8103</v>
      </c>
      <c r="Z20" s="21">
        <v>8408</v>
      </c>
      <c r="AA20" s="21">
        <v>13609</v>
      </c>
      <c r="AB20" s="21">
        <v>16584</v>
      </c>
      <c r="AC20" s="21">
        <v>19051</v>
      </c>
      <c r="AD20" s="21">
        <v>28184</v>
      </c>
      <c r="AF20" s="49" t="s">
        <v>109</v>
      </c>
      <c r="AG20" s="41">
        <v>17.12</v>
      </c>
      <c r="AH20" s="41">
        <v>20.77</v>
      </c>
      <c r="AI20" s="41">
        <v>18.260000000000002</v>
      </c>
      <c r="AJ20" s="41">
        <v>34.39</v>
      </c>
      <c r="AK20" s="41">
        <v>81.739999999999995</v>
      </c>
      <c r="AL20" s="51">
        <v>62.95</v>
      </c>
      <c r="AN20" s="34" t="s">
        <v>35</v>
      </c>
      <c r="AO20" s="72">
        <v>241.797</v>
      </c>
      <c r="AP20" s="72">
        <v>221.249</v>
      </c>
      <c r="AQ20" s="72">
        <v>299.33800000000002</v>
      </c>
      <c r="AR20" s="72">
        <v>359.38499999999999</v>
      </c>
      <c r="AS20" s="73">
        <v>845.84199999999998</v>
      </c>
    </row>
    <row r="21" spans="1:46" x14ac:dyDescent="0.3">
      <c r="A21" s="1" t="s">
        <v>22</v>
      </c>
      <c r="B21" s="21">
        <v>14.68</v>
      </c>
      <c r="C21" s="21">
        <v>2.95</v>
      </c>
      <c r="D21" s="21">
        <v>5.93</v>
      </c>
      <c r="E21" s="21">
        <v>202.19</v>
      </c>
      <c r="F21" s="21">
        <v>106.66</v>
      </c>
      <c r="G21" s="21">
        <v>1.25</v>
      </c>
      <c r="I21" s="1" t="s">
        <v>70</v>
      </c>
      <c r="J21" s="21">
        <v>4</v>
      </c>
      <c r="K21" s="21">
        <v>0</v>
      </c>
      <c r="L21" s="21">
        <v>34</v>
      </c>
      <c r="M21" s="21">
        <v>35</v>
      </c>
      <c r="N21" s="21">
        <v>38</v>
      </c>
      <c r="P21" s="18" t="s">
        <v>33</v>
      </c>
      <c r="Q21" s="26"/>
      <c r="R21" s="26"/>
      <c r="S21" s="26"/>
      <c r="T21" s="26"/>
      <c r="U21" s="26"/>
      <c r="V21" s="26"/>
      <c r="X21" s="1" t="s">
        <v>22</v>
      </c>
      <c r="Y21" s="21">
        <v>114</v>
      </c>
      <c r="Z21" s="21">
        <v>2805</v>
      </c>
      <c r="AA21" s="21">
        <v>15</v>
      </c>
      <c r="AB21" s="21">
        <v>2164</v>
      </c>
      <c r="AC21" s="21">
        <v>1666</v>
      </c>
      <c r="AD21" s="21">
        <v>1337</v>
      </c>
      <c r="AF21" s="49" t="s">
        <v>110</v>
      </c>
      <c r="AG21" s="41">
        <v>0</v>
      </c>
      <c r="AH21" s="41">
        <v>0</v>
      </c>
      <c r="AI21" s="41">
        <v>0</v>
      </c>
      <c r="AJ21" s="41">
        <v>0</v>
      </c>
      <c r="AK21" s="41">
        <v>0</v>
      </c>
      <c r="AL21" s="51">
        <v>0</v>
      </c>
      <c r="AN21" s="34" t="s">
        <v>36</v>
      </c>
      <c r="AO21" s="72">
        <v>104.55800000000001</v>
      </c>
      <c r="AP21" s="72">
        <v>150.75</v>
      </c>
      <c r="AQ21" s="72">
        <v>154.33199999999999</v>
      </c>
      <c r="AR21" s="72">
        <v>242.21199999999999</v>
      </c>
      <c r="AS21" s="73">
        <v>2266.2829999999999</v>
      </c>
    </row>
    <row r="22" spans="1:46" x14ac:dyDescent="0.3">
      <c r="A22" s="1" t="s">
        <v>35</v>
      </c>
      <c r="B22" s="21">
        <v>19.55</v>
      </c>
      <c r="C22" s="21">
        <v>43.58</v>
      </c>
      <c r="D22" s="21">
        <v>66.89</v>
      </c>
      <c r="E22" s="21">
        <v>62.16</v>
      </c>
      <c r="F22" s="21">
        <v>166.37</v>
      </c>
      <c r="G22" s="21">
        <v>153.79</v>
      </c>
      <c r="I22" s="1" t="s">
        <v>35</v>
      </c>
      <c r="J22" s="21">
        <v>1816</v>
      </c>
      <c r="K22" s="21">
        <v>1149</v>
      </c>
      <c r="L22" s="21">
        <v>1758</v>
      </c>
      <c r="M22" s="21">
        <v>2236</v>
      </c>
      <c r="N22" s="21">
        <v>2997</v>
      </c>
      <c r="P22" s="1" t="s">
        <v>34</v>
      </c>
      <c r="Q22" s="21">
        <v>8879.33</v>
      </c>
      <c r="R22" s="21">
        <v>10397.16</v>
      </c>
      <c r="S22" s="21">
        <v>10864.15</v>
      </c>
      <c r="T22" s="21">
        <v>11771.16</v>
      </c>
      <c r="U22" s="21">
        <v>14152.88</v>
      </c>
      <c r="V22" s="21">
        <v>15637.56</v>
      </c>
      <c r="X22" s="1" t="s">
        <v>35</v>
      </c>
      <c r="Y22" s="21">
        <v>312</v>
      </c>
      <c r="Z22" s="21">
        <v>366</v>
      </c>
      <c r="AA22" s="21">
        <v>565</v>
      </c>
      <c r="AB22" s="21">
        <v>674</v>
      </c>
      <c r="AC22" s="21">
        <v>1018</v>
      </c>
      <c r="AD22" s="21">
        <v>1068</v>
      </c>
      <c r="AF22" s="49" t="s">
        <v>36</v>
      </c>
      <c r="AG22" s="41">
        <v>56</v>
      </c>
      <c r="AH22" s="41">
        <v>75.63</v>
      </c>
      <c r="AI22" s="41">
        <v>82.39</v>
      </c>
      <c r="AJ22" s="41">
        <v>83.23</v>
      </c>
      <c r="AK22" s="41">
        <v>294.55</v>
      </c>
      <c r="AL22" s="51">
        <v>338.47</v>
      </c>
      <c r="AN22" s="34" t="s">
        <v>111</v>
      </c>
      <c r="AO22" s="72">
        <v>85.492000000000004</v>
      </c>
      <c r="AP22" s="72">
        <v>185.87200000000001</v>
      </c>
      <c r="AQ22" s="72">
        <v>130.935</v>
      </c>
      <c r="AR22" s="72">
        <v>217.65</v>
      </c>
      <c r="AS22" s="73">
        <v>183.77099999999999</v>
      </c>
    </row>
    <row r="23" spans="1:46" x14ac:dyDescent="0.3">
      <c r="A23" s="1" t="s">
        <v>36</v>
      </c>
      <c r="B23" s="21">
        <v>105.87</v>
      </c>
      <c r="C23" s="21">
        <v>191.5</v>
      </c>
      <c r="D23" s="21">
        <v>95.12</v>
      </c>
      <c r="E23" s="21">
        <v>207.15</v>
      </c>
      <c r="F23" s="21">
        <v>337.12</v>
      </c>
      <c r="G23" s="21">
        <v>355.48</v>
      </c>
      <c r="I23" s="1" t="s">
        <v>36</v>
      </c>
      <c r="J23" s="21">
        <v>621</v>
      </c>
      <c r="K23" s="21">
        <v>3216</v>
      </c>
      <c r="L23" s="21">
        <v>1842</v>
      </c>
      <c r="M23" s="21">
        <v>1147</v>
      </c>
      <c r="N23" s="21">
        <v>825</v>
      </c>
      <c r="P23" s="1" t="s">
        <v>91</v>
      </c>
      <c r="Q23" s="21">
        <v>86.2</v>
      </c>
      <c r="R23" s="21">
        <v>110.06</v>
      </c>
      <c r="S23" s="21">
        <v>109.44</v>
      </c>
      <c r="T23" s="21">
        <v>142.97</v>
      </c>
      <c r="U23" s="21">
        <v>150</v>
      </c>
      <c r="V23" s="21">
        <v>198.58</v>
      </c>
      <c r="X23" s="1" t="s">
        <v>36</v>
      </c>
      <c r="Y23" s="21">
        <v>75</v>
      </c>
      <c r="Z23" s="21">
        <v>181</v>
      </c>
      <c r="AA23" s="21">
        <v>219</v>
      </c>
      <c r="AB23" s="21">
        <v>232</v>
      </c>
      <c r="AC23" s="21">
        <v>409</v>
      </c>
      <c r="AD23" s="21">
        <v>407</v>
      </c>
      <c r="AF23" s="49" t="s">
        <v>111</v>
      </c>
      <c r="AG23" s="41">
        <v>5.41</v>
      </c>
      <c r="AH23" s="41">
        <v>5.84</v>
      </c>
      <c r="AI23" s="41">
        <v>3.58</v>
      </c>
      <c r="AJ23" s="41">
        <v>3.07</v>
      </c>
      <c r="AK23" s="41">
        <v>3.01</v>
      </c>
      <c r="AL23" s="51">
        <v>1.37</v>
      </c>
      <c r="AN23" s="34" t="s">
        <v>70</v>
      </c>
      <c r="AO23" s="72">
        <v>10.016</v>
      </c>
      <c r="AP23" s="72">
        <v>0</v>
      </c>
      <c r="AQ23" s="74">
        <v>0</v>
      </c>
      <c r="AR23" s="72">
        <v>0</v>
      </c>
      <c r="AS23" s="73">
        <v>0</v>
      </c>
    </row>
    <row r="24" spans="1:46" x14ac:dyDescent="0.3">
      <c r="A24" s="1" t="s">
        <v>37</v>
      </c>
      <c r="B24" s="21">
        <v>2.0099999999999998</v>
      </c>
      <c r="C24" s="21">
        <v>1254.08</v>
      </c>
      <c r="D24" s="21">
        <v>203.46</v>
      </c>
      <c r="E24" s="21">
        <v>1201.18</v>
      </c>
      <c r="F24" s="21">
        <v>301.06</v>
      </c>
      <c r="G24" s="21">
        <v>2.72</v>
      </c>
      <c r="I24" s="1" t="s">
        <v>74</v>
      </c>
      <c r="J24" s="21">
        <v>3136</v>
      </c>
      <c r="K24" s="21">
        <v>1897</v>
      </c>
      <c r="L24" s="21">
        <v>2629</v>
      </c>
      <c r="M24" s="21">
        <v>2699</v>
      </c>
      <c r="N24" s="21">
        <v>6734</v>
      </c>
      <c r="P24" s="18" t="s">
        <v>20</v>
      </c>
      <c r="Q24" s="26"/>
      <c r="R24" s="26"/>
      <c r="S24" s="26"/>
      <c r="T24" s="26"/>
      <c r="U24" s="26"/>
      <c r="V24" s="26"/>
      <c r="X24" s="1" t="s">
        <v>99</v>
      </c>
      <c r="Y24" s="21">
        <v>306</v>
      </c>
      <c r="Z24" s="21">
        <v>379</v>
      </c>
      <c r="AA24" s="21">
        <v>1354</v>
      </c>
      <c r="AB24" s="21">
        <v>1111</v>
      </c>
      <c r="AC24" s="21">
        <v>1117</v>
      </c>
      <c r="AD24" s="21">
        <v>1177</v>
      </c>
      <c r="AF24" s="49" t="s">
        <v>112</v>
      </c>
      <c r="AG24" s="41">
        <v>25</v>
      </c>
      <c r="AH24" s="41">
        <v>25</v>
      </c>
      <c r="AI24" s="41">
        <v>25</v>
      </c>
      <c r="AJ24" s="41">
        <v>15</v>
      </c>
      <c r="AK24" s="41">
        <v>15</v>
      </c>
      <c r="AL24" s="51">
        <v>15</v>
      </c>
      <c r="AN24" s="34" t="s">
        <v>90</v>
      </c>
      <c r="AO24" s="72">
        <v>167.00399999999999</v>
      </c>
      <c r="AP24" s="72">
        <v>245.55500000000001</v>
      </c>
      <c r="AQ24" s="72">
        <v>397.70600000000002</v>
      </c>
      <c r="AR24" s="72">
        <v>738.82299999999998</v>
      </c>
      <c r="AS24" s="73">
        <v>835.61599999999999</v>
      </c>
    </row>
    <row r="25" spans="1:46" x14ac:dyDescent="0.3">
      <c r="A25" s="1" t="s">
        <v>38</v>
      </c>
      <c r="B25" s="21">
        <v>109.06</v>
      </c>
      <c r="C25" s="21">
        <v>167.91</v>
      </c>
      <c r="D25" s="21">
        <v>127.46</v>
      </c>
      <c r="E25" s="21">
        <v>316.77</v>
      </c>
      <c r="F25" s="21">
        <v>1128.49</v>
      </c>
      <c r="G25" s="21">
        <v>528.36</v>
      </c>
      <c r="I25" s="1" t="s">
        <v>71</v>
      </c>
      <c r="J25" s="21">
        <v>605</v>
      </c>
      <c r="K25" s="21">
        <v>1420</v>
      </c>
      <c r="L25" s="21">
        <v>1154</v>
      </c>
      <c r="M25" s="21">
        <v>1089</v>
      </c>
      <c r="N25" s="21">
        <v>1425</v>
      </c>
      <c r="P25" s="1" t="s">
        <v>22</v>
      </c>
      <c r="Q25" s="21">
        <v>17948.330000000002</v>
      </c>
      <c r="R25" s="21">
        <v>14846.33</v>
      </c>
      <c r="S25" s="21">
        <v>12264.28</v>
      </c>
      <c r="T25" s="21">
        <v>17232.86</v>
      </c>
      <c r="U25" s="21">
        <v>12944.42</v>
      </c>
      <c r="V25" s="21">
        <v>16287.5</v>
      </c>
      <c r="X25" s="1" t="s">
        <v>98</v>
      </c>
      <c r="Y25" s="21">
        <v>56</v>
      </c>
      <c r="Z25" s="21">
        <v>109</v>
      </c>
      <c r="AA25" s="21">
        <v>423</v>
      </c>
      <c r="AB25" s="21">
        <v>135</v>
      </c>
      <c r="AC25" s="21">
        <v>281</v>
      </c>
      <c r="AD25" s="21">
        <v>44</v>
      </c>
      <c r="AF25" s="49" t="s">
        <v>113</v>
      </c>
      <c r="AG25" s="41">
        <v>60.98</v>
      </c>
      <c r="AH25" s="41">
        <v>1.04</v>
      </c>
      <c r="AI25" s="41">
        <v>1.44</v>
      </c>
      <c r="AJ25" s="41">
        <v>2.04</v>
      </c>
      <c r="AK25" s="41">
        <v>2.08</v>
      </c>
      <c r="AL25" s="51">
        <v>2.97</v>
      </c>
      <c r="AN25" s="34" t="s">
        <v>114</v>
      </c>
      <c r="AO25" s="72">
        <v>10.218999999999999</v>
      </c>
      <c r="AP25" s="72">
        <v>1.1080000000000001</v>
      </c>
      <c r="AQ25" s="72">
        <v>0</v>
      </c>
      <c r="AR25" s="72">
        <v>0.311</v>
      </c>
      <c r="AS25" s="73">
        <v>4.8719999999999999</v>
      </c>
    </row>
    <row r="26" spans="1:46" x14ac:dyDescent="0.3">
      <c r="A26" s="1" t="s">
        <v>39</v>
      </c>
      <c r="B26" s="21">
        <v>149.1</v>
      </c>
      <c r="C26" s="21">
        <v>152.83000000000001</v>
      </c>
      <c r="D26" s="21">
        <v>201.33</v>
      </c>
      <c r="E26" s="21">
        <v>215.46</v>
      </c>
      <c r="F26" s="21">
        <v>235.02</v>
      </c>
      <c r="G26" s="21">
        <v>306.23</v>
      </c>
      <c r="I26" s="1" t="s">
        <v>39</v>
      </c>
      <c r="J26" s="20">
        <v>440</v>
      </c>
      <c r="K26" s="20">
        <v>601</v>
      </c>
      <c r="L26" s="21">
        <v>497</v>
      </c>
      <c r="M26" s="21">
        <v>688</v>
      </c>
      <c r="N26" s="21">
        <v>713</v>
      </c>
      <c r="P26" s="1" t="s">
        <v>35</v>
      </c>
      <c r="Q26" s="21">
        <v>2562.48</v>
      </c>
      <c r="R26" s="21">
        <v>2501.6999999999998</v>
      </c>
      <c r="S26" s="21">
        <v>2461.9</v>
      </c>
      <c r="T26" s="21">
        <v>2956.17</v>
      </c>
      <c r="U26" s="21">
        <v>4025.82</v>
      </c>
      <c r="V26" s="21">
        <v>4719.67</v>
      </c>
      <c r="X26" s="1" t="s">
        <v>100</v>
      </c>
      <c r="Y26" s="21">
        <v>459</v>
      </c>
      <c r="Z26" s="21">
        <v>197</v>
      </c>
      <c r="AA26" s="21">
        <v>291</v>
      </c>
      <c r="AB26" s="21">
        <v>201</v>
      </c>
      <c r="AC26" s="21">
        <v>327</v>
      </c>
      <c r="AD26" s="21">
        <v>260</v>
      </c>
      <c r="AF26" s="49" t="s">
        <v>110</v>
      </c>
      <c r="AG26" s="41">
        <v>0</v>
      </c>
      <c r="AH26" s="41">
        <v>0</v>
      </c>
      <c r="AI26" s="41">
        <v>0</v>
      </c>
      <c r="AJ26" s="41">
        <v>0</v>
      </c>
      <c r="AK26" s="41">
        <v>0</v>
      </c>
      <c r="AL26" s="51">
        <v>0</v>
      </c>
      <c r="AN26" s="34" t="s">
        <v>39</v>
      </c>
      <c r="AO26" s="72">
        <v>251.786</v>
      </c>
      <c r="AP26" s="72">
        <v>293.49200000000002</v>
      </c>
      <c r="AQ26" s="72">
        <v>427.834</v>
      </c>
      <c r="AR26" s="72">
        <v>526.71600000000001</v>
      </c>
      <c r="AS26" s="73">
        <v>936.35599999999999</v>
      </c>
    </row>
    <row r="27" spans="1:46" x14ac:dyDescent="0.3">
      <c r="A27" s="23" t="s">
        <v>40</v>
      </c>
      <c r="B27" s="25">
        <f>SUM(B19:B26)</f>
        <v>2347.67</v>
      </c>
      <c r="C27" s="25">
        <f t="shared" ref="C27:G27" si="5">SUM(C19:C26)</f>
        <v>4061.1299999999997</v>
      </c>
      <c r="D27" s="25">
        <f t="shared" si="5"/>
        <v>3442.8499999999995</v>
      </c>
      <c r="E27" s="25">
        <f t="shared" si="5"/>
        <v>5448.39</v>
      </c>
      <c r="F27" s="25">
        <f t="shared" si="5"/>
        <v>6202.0300000000007</v>
      </c>
      <c r="G27" s="25">
        <f t="shared" si="5"/>
        <v>6392.1999999999989</v>
      </c>
      <c r="I27" s="1" t="s">
        <v>75</v>
      </c>
      <c r="J27" s="21">
        <v>4</v>
      </c>
      <c r="K27" s="21">
        <v>18</v>
      </c>
      <c r="L27" s="21">
        <v>17</v>
      </c>
      <c r="M27" s="21">
        <v>13</v>
      </c>
      <c r="N27" s="21">
        <v>12</v>
      </c>
      <c r="P27" s="1" t="s">
        <v>36</v>
      </c>
      <c r="Q27" s="21">
        <v>650.35</v>
      </c>
      <c r="R27" s="21">
        <v>290.42</v>
      </c>
      <c r="S27" s="21">
        <v>271.37</v>
      </c>
      <c r="T27" s="21">
        <v>463.35</v>
      </c>
      <c r="U27" s="21">
        <v>625.89</v>
      </c>
      <c r="V27" s="21">
        <v>620</v>
      </c>
      <c r="X27" s="1" t="s">
        <v>39</v>
      </c>
      <c r="Y27" s="21">
        <v>696</v>
      </c>
      <c r="Z27" s="21">
        <v>752</v>
      </c>
      <c r="AA27" s="21">
        <v>978</v>
      </c>
      <c r="AB27" s="21">
        <v>1288</v>
      </c>
      <c r="AC27" s="21">
        <v>1721</v>
      </c>
      <c r="AD27" s="21">
        <v>1957</v>
      </c>
      <c r="AF27" s="49" t="s">
        <v>90</v>
      </c>
      <c r="AG27" s="41">
        <v>39.090000000000003</v>
      </c>
      <c r="AH27" s="41">
        <v>55.5</v>
      </c>
      <c r="AI27" s="41">
        <v>98.19</v>
      </c>
      <c r="AJ27" s="41">
        <v>119.24</v>
      </c>
      <c r="AK27" s="41">
        <v>140.22</v>
      </c>
      <c r="AL27" s="51">
        <v>158.84</v>
      </c>
      <c r="AN27" s="35" t="s">
        <v>40</v>
      </c>
      <c r="AO27" s="67">
        <f>SUM(AO19:AO26)</f>
        <v>1799.6759999999999</v>
      </c>
      <c r="AP27" s="67">
        <f>SUM(AP19:AP26)</f>
        <v>2546.1130000000003</v>
      </c>
      <c r="AQ27" s="67">
        <f>SUM(AQ19:AQ26)</f>
        <v>3404.0299999999997</v>
      </c>
      <c r="AR27" s="67">
        <f t="shared" ref="AR27:AS27" si="6">SUM(AR19:AR26)</f>
        <v>4235.63</v>
      </c>
      <c r="AS27" s="69">
        <f t="shared" si="6"/>
        <v>7863.9740000000002</v>
      </c>
      <c r="AT27" s="40"/>
    </row>
    <row r="28" spans="1:46" x14ac:dyDescent="0.3">
      <c r="A28" s="23" t="s">
        <v>64</v>
      </c>
      <c r="B28" s="25">
        <f>B17+B27</f>
        <v>12076.449999999999</v>
      </c>
      <c r="C28" s="25">
        <f t="shared" ref="C28:G28" si="7">C17+C27</f>
        <v>13655.97</v>
      </c>
      <c r="D28" s="25">
        <f t="shared" si="7"/>
        <v>15472.640000000003</v>
      </c>
      <c r="E28" s="25">
        <f t="shared" si="7"/>
        <v>18106.590000000004</v>
      </c>
      <c r="F28" s="25">
        <f t="shared" si="7"/>
        <v>21177.200000000001</v>
      </c>
      <c r="G28" s="25">
        <f t="shared" si="7"/>
        <v>24320.289999999994</v>
      </c>
      <c r="I28" s="23" t="s">
        <v>40</v>
      </c>
      <c r="J28" s="24">
        <f>SUM(J19:J27)</f>
        <v>11914</v>
      </c>
      <c r="K28" s="24">
        <f t="shared" ref="K28:N28" si="8">SUM(K19:K27)</f>
        <v>12321</v>
      </c>
      <c r="L28" s="24">
        <f t="shared" si="8"/>
        <v>14217</v>
      </c>
      <c r="M28" s="24">
        <f t="shared" si="8"/>
        <v>15522</v>
      </c>
      <c r="N28" s="24">
        <f t="shared" si="8"/>
        <v>21324</v>
      </c>
      <c r="P28" s="1" t="s">
        <v>92</v>
      </c>
      <c r="Q28" s="21">
        <v>6626.99</v>
      </c>
      <c r="R28" s="21">
        <v>4368.6000000000004</v>
      </c>
      <c r="S28" s="21">
        <v>4383.05</v>
      </c>
      <c r="T28" s="21">
        <v>4416.84</v>
      </c>
      <c r="U28" s="21">
        <v>6591.79</v>
      </c>
      <c r="V28" s="21">
        <v>3392.36</v>
      </c>
      <c r="X28" s="1" t="s">
        <v>75</v>
      </c>
      <c r="Y28" s="20">
        <v>0</v>
      </c>
      <c r="Z28" s="20">
        <v>0</v>
      </c>
      <c r="AA28" s="20">
        <v>0</v>
      </c>
      <c r="AB28" s="20">
        <v>18</v>
      </c>
      <c r="AC28" s="20">
        <v>18</v>
      </c>
      <c r="AD28" s="20">
        <v>0</v>
      </c>
      <c r="AF28" s="49" t="s">
        <v>114</v>
      </c>
      <c r="AG28" s="41">
        <v>23.45</v>
      </c>
      <c r="AH28" s="41">
        <v>4.5199999999999996</v>
      </c>
      <c r="AI28" s="41">
        <v>1.89</v>
      </c>
      <c r="AJ28" s="41">
        <v>17.21</v>
      </c>
      <c r="AK28" s="41">
        <v>4</v>
      </c>
      <c r="AL28" s="51">
        <v>2.36</v>
      </c>
      <c r="AN28" s="35" t="s">
        <v>76</v>
      </c>
      <c r="AO28" s="67">
        <f>AO17+AO27</f>
        <v>8458.3829999999998</v>
      </c>
      <c r="AP28" s="67">
        <f t="shared" ref="AP28:AS28" si="9">AP17+AP27</f>
        <v>9581.89</v>
      </c>
      <c r="AQ28" s="67">
        <f t="shared" si="9"/>
        <v>11618.242999999999</v>
      </c>
      <c r="AR28" s="67">
        <f t="shared" si="9"/>
        <v>15187.183000000001</v>
      </c>
      <c r="AS28" s="69">
        <f t="shared" si="9"/>
        <v>23143.910000000003</v>
      </c>
      <c r="AT28" s="40"/>
    </row>
    <row r="29" spans="1:46" x14ac:dyDescent="0.3">
      <c r="A29" s="18" t="s">
        <v>41</v>
      </c>
      <c r="B29" s="22"/>
      <c r="C29" s="22"/>
      <c r="D29" s="22"/>
      <c r="E29" s="22"/>
      <c r="F29" s="22"/>
      <c r="G29" s="22"/>
      <c r="I29" s="23" t="s">
        <v>76</v>
      </c>
      <c r="J29" s="25">
        <f>J17+J28</f>
        <v>18629</v>
      </c>
      <c r="K29" s="25">
        <f t="shared" ref="K29:N29" si="10">K17+K28</f>
        <v>20153</v>
      </c>
      <c r="L29" s="25">
        <f t="shared" si="10"/>
        <v>68757</v>
      </c>
      <c r="M29" s="25">
        <f t="shared" si="10"/>
        <v>70517</v>
      </c>
      <c r="N29" s="25">
        <f t="shared" si="10"/>
        <v>78499</v>
      </c>
      <c r="P29" s="1" t="s">
        <v>70</v>
      </c>
      <c r="Q29" s="21">
        <v>6.33</v>
      </c>
      <c r="R29" s="21">
        <v>3.47</v>
      </c>
      <c r="S29" s="21">
        <v>6.77</v>
      </c>
      <c r="T29" s="21">
        <v>7.12</v>
      </c>
      <c r="U29" s="21">
        <v>9.81</v>
      </c>
      <c r="V29" s="21">
        <v>9.51</v>
      </c>
      <c r="X29" s="23" t="s">
        <v>40</v>
      </c>
      <c r="Y29" s="25">
        <f>SUM(Y20:Y28)</f>
        <v>10121</v>
      </c>
      <c r="Z29" s="25">
        <f t="shared" ref="Z29:AD29" si="11">SUM(Z20:Z28)</f>
        <v>13197</v>
      </c>
      <c r="AA29" s="25">
        <f t="shared" si="11"/>
        <v>17454</v>
      </c>
      <c r="AB29" s="25">
        <f t="shared" si="11"/>
        <v>22407</v>
      </c>
      <c r="AC29" s="25">
        <f t="shared" si="11"/>
        <v>25608</v>
      </c>
      <c r="AD29" s="25">
        <f t="shared" si="11"/>
        <v>34434</v>
      </c>
      <c r="AF29" s="49" t="s">
        <v>39</v>
      </c>
      <c r="AG29" s="41">
        <v>83.28</v>
      </c>
      <c r="AH29" s="41">
        <v>106.03</v>
      </c>
      <c r="AI29" s="41">
        <v>152.19999999999999</v>
      </c>
      <c r="AJ29" s="41">
        <v>188.01</v>
      </c>
      <c r="AK29" s="41">
        <v>253.63</v>
      </c>
      <c r="AL29" s="51">
        <v>402.61</v>
      </c>
      <c r="AN29" s="18" t="s">
        <v>41</v>
      </c>
      <c r="AO29" s="22"/>
      <c r="AP29" s="22"/>
      <c r="AQ29" s="22"/>
      <c r="AR29" s="22"/>
      <c r="AS29" s="22"/>
    </row>
    <row r="30" spans="1:46" x14ac:dyDescent="0.3">
      <c r="A30" s="18" t="s">
        <v>42</v>
      </c>
      <c r="B30" s="22"/>
      <c r="C30" s="22"/>
      <c r="D30" s="22"/>
      <c r="E30" s="22"/>
      <c r="F30" s="22"/>
      <c r="G30" s="22"/>
      <c r="I30" s="18" t="s">
        <v>41</v>
      </c>
      <c r="J30" s="26"/>
      <c r="K30" s="26"/>
      <c r="L30" s="26"/>
      <c r="M30" s="26"/>
      <c r="N30" s="26"/>
      <c r="P30" s="1" t="s">
        <v>90</v>
      </c>
      <c r="Q30" s="21">
        <v>1818.54</v>
      </c>
      <c r="R30" s="21">
        <v>1379.02</v>
      </c>
      <c r="S30" s="21">
        <v>2565.41</v>
      </c>
      <c r="T30" s="21">
        <v>1118.67</v>
      </c>
      <c r="U30" s="21">
        <v>1181.74</v>
      </c>
      <c r="V30" s="21">
        <v>1656.25</v>
      </c>
      <c r="X30" s="23" t="s">
        <v>76</v>
      </c>
      <c r="Y30" s="24">
        <f t="shared" ref="Y30:AD30" si="12">Y18+Y29</f>
        <v>13550</v>
      </c>
      <c r="Z30" s="24">
        <f t="shared" si="12"/>
        <v>16452</v>
      </c>
      <c r="AA30" s="24">
        <f t="shared" si="12"/>
        <v>21194</v>
      </c>
      <c r="AB30" s="24">
        <f t="shared" si="12"/>
        <v>27023</v>
      </c>
      <c r="AC30" s="24">
        <f t="shared" si="12"/>
        <v>31550</v>
      </c>
      <c r="AD30" s="24">
        <f t="shared" si="12"/>
        <v>40647</v>
      </c>
      <c r="AF30" s="49" t="s">
        <v>115</v>
      </c>
      <c r="AG30" s="41">
        <v>6.45</v>
      </c>
      <c r="AH30" s="41">
        <v>9.9700000000000006</v>
      </c>
      <c r="AI30" s="41">
        <v>6.4</v>
      </c>
      <c r="AJ30" s="41">
        <v>8.69</v>
      </c>
      <c r="AK30" s="41">
        <v>13.12</v>
      </c>
      <c r="AL30" s="51">
        <v>9.14</v>
      </c>
      <c r="AN30" s="18" t="s">
        <v>42</v>
      </c>
      <c r="AO30" s="22"/>
      <c r="AP30" s="22"/>
      <c r="AQ30" s="22"/>
      <c r="AR30" s="22"/>
      <c r="AS30" s="22"/>
    </row>
    <row r="31" spans="1:46" x14ac:dyDescent="0.3">
      <c r="A31" s="1" t="s">
        <v>43</v>
      </c>
      <c r="B31" s="21">
        <v>647.77</v>
      </c>
      <c r="C31" s="21">
        <v>647.77</v>
      </c>
      <c r="D31" s="21">
        <v>647.77</v>
      </c>
      <c r="E31" s="21">
        <v>648.26</v>
      </c>
      <c r="F31" s="21">
        <v>650.73</v>
      </c>
      <c r="G31" s="21">
        <v>650.73</v>
      </c>
      <c r="I31" s="18" t="s">
        <v>42</v>
      </c>
      <c r="J31" s="26"/>
      <c r="K31" s="26"/>
      <c r="L31" s="26"/>
      <c r="M31" s="26"/>
      <c r="N31" s="26"/>
      <c r="P31" s="1" t="s">
        <v>39</v>
      </c>
      <c r="Q31" s="21">
        <v>926.8</v>
      </c>
      <c r="R31" s="21">
        <v>1095.23</v>
      </c>
      <c r="S31" s="21">
        <v>1306.08</v>
      </c>
      <c r="T31" s="21">
        <v>1561.75</v>
      </c>
      <c r="U31" s="21">
        <v>1383.19</v>
      </c>
      <c r="V31" s="21">
        <v>1371.85</v>
      </c>
      <c r="X31" s="18" t="s">
        <v>41</v>
      </c>
      <c r="Y31" s="26"/>
      <c r="Z31" s="26"/>
      <c r="AA31" s="26"/>
      <c r="AB31" s="26"/>
      <c r="AC31" s="26"/>
      <c r="AD31" s="26"/>
      <c r="AF31" s="52" t="s">
        <v>40</v>
      </c>
      <c r="AG31" s="33">
        <f>SUM(AG18:AG30)</f>
        <v>1703.4599999999998</v>
      </c>
      <c r="AH31" s="33">
        <f t="shared" ref="AH31:AL31" si="13">SUM(AH18:AH30)</f>
        <v>1403.3499999999997</v>
      </c>
      <c r="AI31" s="33">
        <f t="shared" si="13"/>
        <v>1783.4600000000005</v>
      </c>
      <c r="AJ31" s="33">
        <f t="shared" si="13"/>
        <v>2377.7800000000002</v>
      </c>
      <c r="AK31" s="33">
        <f t="shared" si="13"/>
        <v>3109.85</v>
      </c>
      <c r="AL31" s="53">
        <f t="shared" si="13"/>
        <v>3673.45</v>
      </c>
      <c r="AN31" s="34" t="s">
        <v>77</v>
      </c>
      <c r="AO31" s="72">
        <v>288.68900000000002</v>
      </c>
      <c r="AP31" s="72">
        <v>433.03300000000002</v>
      </c>
      <c r="AQ31" s="72">
        <v>649.54999999999995</v>
      </c>
      <c r="AR31" s="72">
        <v>649.60699999999997</v>
      </c>
      <c r="AS31" s="73">
        <v>676.30200000000002</v>
      </c>
    </row>
    <row r="32" spans="1:46" x14ac:dyDescent="0.3">
      <c r="A32" s="1" t="s">
        <v>44</v>
      </c>
      <c r="B32" s="21">
        <v>10431.969999999999</v>
      </c>
      <c r="C32" s="21">
        <v>11535.94</v>
      </c>
      <c r="D32" s="21">
        <v>13029.87</v>
      </c>
      <c r="E32" s="21">
        <v>15430.44</v>
      </c>
      <c r="F32" s="21">
        <v>18047.09</v>
      </c>
      <c r="G32" s="21">
        <v>20777.02</v>
      </c>
      <c r="I32" s="1" t="s">
        <v>77</v>
      </c>
      <c r="J32" s="21">
        <v>216</v>
      </c>
      <c r="K32" s="21">
        <v>216</v>
      </c>
      <c r="L32" s="21">
        <v>235</v>
      </c>
      <c r="M32" s="21">
        <v>235</v>
      </c>
      <c r="N32" s="21">
        <v>235</v>
      </c>
      <c r="P32" s="23" t="s">
        <v>40</v>
      </c>
      <c r="Q32" s="25">
        <f>SUM(Q22:Q31)</f>
        <v>39505.350000000006</v>
      </c>
      <c r="R32" s="25">
        <f t="shared" ref="R32:V32" si="14">SUM(R22:R31)</f>
        <v>34991.99</v>
      </c>
      <c r="S32" s="25">
        <f t="shared" si="14"/>
        <v>34232.450000000004</v>
      </c>
      <c r="T32" s="25">
        <f t="shared" si="14"/>
        <v>39670.889999999992</v>
      </c>
      <c r="U32" s="25">
        <f t="shared" si="14"/>
        <v>41065.539999999994</v>
      </c>
      <c r="V32" s="25">
        <f t="shared" si="14"/>
        <v>43893.279999999999</v>
      </c>
      <c r="X32" s="18" t="s">
        <v>42</v>
      </c>
      <c r="Y32" s="26"/>
      <c r="Z32" s="26"/>
      <c r="AA32" s="26"/>
      <c r="AB32" s="26"/>
      <c r="AC32" s="26"/>
      <c r="AD32" s="26"/>
      <c r="AF32" s="52" t="s">
        <v>76</v>
      </c>
      <c r="AG32" s="33">
        <f>AG16+AG31</f>
        <v>5506.68</v>
      </c>
      <c r="AH32" s="33">
        <f t="shared" ref="AH32:AL32" si="15">AH16+AH31</f>
        <v>5723.7300000000005</v>
      </c>
      <c r="AI32" s="33">
        <f t="shared" si="15"/>
        <v>7726.0200000000023</v>
      </c>
      <c r="AJ32" s="33">
        <f t="shared" si="15"/>
        <v>8081.5300000000007</v>
      </c>
      <c r="AK32" s="33">
        <f t="shared" si="15"/>
        <v>7161.75</v>
      </c>
      <c r="AL32" s="53">
        <f t="shared" si="15"/>
        <v>9419.6400000000012</v>
      </c>
      <c r="AN32" s="34" t="s">
        <v>44</v>
      </c>
      <c r="AO32" s="72">
        <v>3235.12</v>
      </c>
      <c r="AP32" s="72">
        <v>3646.875</v>
      </c>
      <c r="AQ32" s="72">
        <v>4452.83</v>
      </c>
      <c r="AR32" s="72">
        <v>6286.8909999999996</v>
      </c>
      <c r="AS32" s="73">
        <v>15933.527</v>
      </c>
    </row>
    <row r="33" spans="1:46" ht="28.8" x14ac:dyDescent="0.3">
      <c r="A33" s="27" t="s">
        <v>45</v>
      </c>
      <c r="B33" s="25">
        <f>SUM(B31:B32)</f>
        <v>11079.74</v>
      </c>
      <c r="C33" s="25">
        <f t="shared" ref="C33:G33" si="16">SUM(C31:C32)</f>
        <v>12183.710000000001</v>
      </c>
      <c r="D33" s="25">
        <f t="shared" si="16"/>
        <v>13677.640000000001</v>
      </c>
      <c r="E33" s="25">
        <f t="shared" si="16"/>
        <v>16078.7</v>
      </c>
      <c r="F33" s="25">
        <f t="shared" si="16"/>
        <v>18697.82</v>
      </c>
      <c r="G33" s="25">
        <f t="shared" si="16"/>
        <v>21427.75</v>
      </c>
      <c r="I33" s="1" t="s">
        <v>44</v>
      </c>
      <c r="J33" s="21">
        <v>7651</v>
      </c>
      <c r="K33" s="21">
        <v>8013</v>
      </c>
      <c r="L33" s="21">
        <v>47439</v>
      </c>
      <c r="M33" s="21">
        <v>48826</v>
      </c>
      <c r="N33" s="21">
        <v>50983</v>
      </c>
      <c r="P33" s="23" t="s">
        <v>76</v>
      </c>
      <c r="Q33" s="25">
        <f>Q20+Q32</f>
        <v>77366.64</v>
      </c>
      <c r="R33" s="25">
        <f t="shared" ref="R33:V33" si="17">R20+R32</f>
        <v>73819.3</v>
      </c>
      <c r="S33" s="25">
        <f t="shared" si="17"/>
        <v>77259.550000000017</v>
      </c>
      <c r="T33" s="25">
        <f t="shared" si="17"/>
        <v>85882.959999999992</v>
      </c>
      <c r="U33" s="25">
        <f t="shared" si="17"/>
        <v>91826.16</v>
      </c>
      <c r="V33" s="25">
        <f t="shared" si="17"/>
        <v>88090.68</v>
      </c>
      <c r="X33" s="1" t="s">
        <v>77</v>
      </c>
      <c r="Y33" s="21">
        <v>89</v>
      </c>
      <c r="Z33" s="21">
        <v>89</v>
      </c>
      <c r="AA33" s="21">
        <v>89</v>
      </c>
      <c r="AB33" s="21">
        <v>89</v>
      </c>
      <c r="AC33" s="21">
        <v>89</v>
      </c>
      <c r="AD33" s="21">
        <v>89</v>
      </c>
      <c r="AF33" s="56" t="s">
        <v>41</v>
      </c>
      <c r="AG33" s="40"/>
      <c r="AH33" s="40"/>
      <c r="AI33" s="40"/>
      <c r="AJ33" s="40"/>
      <c r="AK33" s="40"/>
      <c r="AL33" s="57"/>
      <c r="AN33" s="35" t="s">
        <v>101</v>
      </c>
      <c r="AO33" s="67">
        <f>AO31+AO32</f>
        <v>3523.8089999999997</v>
      </c>
      <c r="AP33" s="67">
        <f t="shared" ref="AP33:AS33" si="18">AP31+AP32</f>
        <v>4079.9079999999999</v>
      </c>
      <c r="AQ33" s="67">
        <f t="shared" si="18"/>
        <v>5102.38</v>
      </c>
      <c r="AR33" s="67">
        <f t="shared" si="18"/>
        <v>6936.4979999999996</v>
      </c>
      <c r="AS33" s="69">
        <f t="shared" si="18"/>
        <v>16609.829000000002</v>
      </c>
    </row>
    <row r="34" spans="1:46" x14ac:dyDescent="0.3">
      <c r="A34" s="1" t="s">
        <v>46</v>
      </c>
      <c r="B34" s="21">
        <v>0.46</v>
      </c>
      <c r="C34" s="21">
        <v>0.4</v>
      </c>
      <c r="D34" s="21">
        <v>0.25</v>
      </c>
      <c r="E34" s="21">
        <v>0.08</v>
      </c>
      <c r="F34" s="21">
        <v>-0.48</v>
      </c>
      <c r="G34" s="21">
        <v>-1.05</v>
      </c>
      <c r="I34" s="1" t="s">
        <v>46</v>
      </c>
      <c r="J34" s="21">
        <v>18</v>
      </c>
      <c r="K34" s="21">
        <v>17</v>
      </c>
      <c r="L34" s="21">
        <v>20</v>
      </c>
      <c r="M34" s="21">
        <v>26</v>
      </c>
      <c r="N34" s="21">
        <v>205</v>
      </c>
      <c r="P34" s="18" t="s">
        <v>41</v>
      </c>
      <c r="Q34" s="26"/>
      <c r="R34" s="26"/>
      <c r="S34" s="26"/>
      <c r="T34" s="26"/>
      <c r="U34" s="26"/>
      <c r="V34" s="26"/>
      <c r="X34" s="1" t="s">
        <v>44</v>
      </c>
      <c r="Y34" s="21">
        <v>6580</v>
      </c>
      <c r="Z34" s="21">
        <v>7408</v>
      </c>
      <c r="AA34" s="21">
        <v>9214</v>
      </c>
      <c r="AB34" s="21">
        <v>11762</v>
      </c>
      <c r="AC34" s="21">
        <v>9304</v>
      </c>
      <c r="AD34" s="21">
        <v>11535</v>
      </c>
      <c r="AF34" s="56" t="s">
        <v>42</v>
      </c>
      <c r="AG34" s="40"/>
      <c r="AH34" s="40"/>
      <c r="AI34" s="40"/>
      <c r="AJ34" s="40"/>
      <c r="AK34" s="40"/>
      <c r="AL34" s="57"/>
      <c r="AN34" s="34" t="s">
        <v>102</v>
      </c>
      <c r="AO34" s="72">
        <v>64.787999999999997</v>
      </c>
      <c r="AP34" s="72">
        <v>116.789</v>
      </c>
      <c r="AQ34" s="72">
        <v>113.107</v>
      </c>
      <c r="AR34" s="72">
        <v>148.155</v>
      </c>
      <c r="AS34" s="73">
        <v>129.80699999999999</v>
      </c>
      <c r="AT34" s="40"/>
    </row>
    <row r="35" spans="1:46" x14ac:dyDescent="0.3">
      <c r="A35" s="23" t="s">
        <v>47</v>
      </c>
      <c r="B35" s="25">
        <f>SUM(B33,B34)</f>
        <v>11080.199999999999</v>
      </c>
      <c r="C35" s="25">
        <f t="shared" ref="C35:G35" si="19">SUM(C33,C34)</f>
        <v>12184.11</v>
      </c>
      <c r="D35" s="25">
        <f t="shared" si="19"/>
        <v>13677.890000000001</v>
      </c>
      <c r="E35" s="25">
        <f t="shared" si="19"/>
        <v>16078.78</v>
      </c>
      <c r="F35" s="25">
        <f t="shared" si="19"/>
        <v>18697.34</v>
      </c>
      <c r="G35" s="25">
        <f t="shared" si="19"/>
        <v>21426.7</v>
      </c>
      <c r="I35" s="23" t="s">
        <v>47</v>
      </c>
      <c r="J35" s="25">
        <f>SUM(J32:J34)</f>
        <v>7885</v>
      </c>
      <c r="K35" s="25">
        <f t="shared" ref="K35:N35" si="20">SUM(K32:K34)</f>
        <v>8246</v>
      </c>
      <c r="L35" s="25">
        <f t="shared" si="20"/>
        <v>47694</v>
      </c>
      <c r="M35" s="25">
        <f t="shared" si="20"/>
        <v>49087</v>
      </c>
      <c r="N35" s="25">
        <f t="shared" si="20"/>
        <v>51423</v>
      </c>
      <c r="P35" s="18" t="s">
        <v>42</v>
      </c>
      <c r="Q35" s="26"/>
      <c r="R35" s="26"/>
      <c r="S35" s="26"/>
      <c r="T35" s="26"/>
      <c r="U35" s="26"/>
      <c r="V35" s="26"/>
      <c r="X35" s="23" t="s">
        <v>101</v>
      </c>
      <c r="Y35" s="25">
        <f>Y33+Y34</f>
        <v>6669</v>
      </c>
      <c r="Z35" s="25">
        <f t="shared" ref="Z35:AD35" si="21">Z33+Z34</f>
        <v>7497</v>
      </c>
      <c r="AA35" s="25">
        <f t="shared" si="21"/>
        <v>9303</v>
      </c>
      <c r="AB35" s="25">
        <f t="shared" si="21"/>
        <v>11851</v>
      </c>
      <c r="AC35" s="25">
        <f t="shared" si="21"/>
        <v>9393</v>
      </c>
      <c r="AD35" s="25">
        <f t="shared" si="21"/>
        <v>11624</v>
      </c>
      <c r="AF35" s="49" t="s">
        <v>77</v>
      </c>
      <c r="AG35" s="42">
        <v>35.549999999999997</v>
      </c>
      <c r="AH35" s="42">
        <v>35.549999999999997</v>
      </c>
      <c r="AI35" s="42">
        <v>35.549999999999997</v>
      </c>
      <c r="AJ35" s="42">
        <v>35.549999999999997</v>
      </c>
      <c r="AK35" s="42">
        <v>35.549999999999997</v>
      </c>
      <c r="AL35" s="58">
        <v>35.549999999999997</v>
      </c>
      <c r="AN35" s="35" t="s">
        <v>47</v>
      </c>
      <c r="AO35" s="67">
        <f>AO33+AO34</f>
        <v>3588.5969999999998</v>
      </c>
      <c r="AP35" s="67">
        <f t="shared" ref="AP35:AS35" si="22">AP33+AP34</f>
        <v>4196.6970000000001</v>
      </c>
      <c r="AQ35" s="67">
        <f t="shared" si="22"/>
        <v>5215.4870000000001</v>
      </c>
      <c r="AR35" s="67">
        <f t="shared" si="22"/>
        <v>7084.6529999999993</v>
      </c>
      <c r="AS35" s="69">
        <f t="shared" si="22"/>
        <v>16739.636000000002</v>
      </c>
      <c r="AT35" s="40"/>
    </row>
    <row r="36" spans="1:46" x14ac:dyDescent="0.3">
      <c r="A36" s="18" t="s">
        <v>48</v>
      </c>
      <c r="B36" s="22"/>
      <c r="C36" s="22"/>
      <c r="D36" s="22"/>
      <c r="E36" s="22"/>
      <c r="F36" s="22"/>
      <c r="G36" s="22"/>
      <c r="I36" s="18" t="s">
        <v>48</v>
      </c>
      <c r="J36" s="26"/>
      <c r="K36" s="26"/>
      <c r="L36" s="26"/>
      <c r="M36" s="26"/>
      <c r="N36" s="26"/>
      <c r="P36" s="1" t="s">
        <v>43</v>
      </c>
      <c r="Q36" s="21">
        <v>1229.22</v>
      </c>
      <c r="R36" s="21">
        <v>1230.8800000000001</v>
      </c>
      <c r="S36" s="21">
        <v>1232.33</v>
      </c>
      <c r="T36" s="21">
        <v>1242.8</v>
      </c>
      <c r="U36" s="21">
        <v>1248.47</v>
      </c>
      <c r="V36" s="21">
        <v>1251.4100000000001</v>
      </c>
      <c r="X36" s="1" t="s">
        <v>102</v>
      </c>
      <c r="Y36" s="21">
        <v>4</v>
      </c>
      <c r="Z36" s="21">
        <v>5</v>
      </c>
      <c r="AA36" s="21">
        <v>30</v>
      </c>
      <c r="AB36" s="21">
        <v>53</v>
      </c>
      <c r="AC36" s="21">
        <v>0</v>
      </c>
      <c r="AD36" s="21">
        <v>0</v>
      </c>
      <c r="AF36" s="49" t="s">
        <v>44</v>
      </c>
      <c r="AG36" s="42">
        <v>2352.2199999999998</v>
      </c>
      <c r="AH36" s="42">
        <v>2277.48</v>
      </c>
      <c r="AI36" s="42">
        <v>2328.4499999999998</v>
      </c>
      <c r="AJ36" s="42">
        <v>2559.94</v>
      </c>
      <c r="AK36" s="42">
        <v>4032.19</v>
      </c>
      <c r="AL36" s="58">
        <v>5426.19</v>
      </c>
      <c r="AN36" s="18" t="s">
        <v>48</v>
      </c>
      <c r="AO36" s="22"/>
      <c r="AP36" s="22"/>
      <c r="AQ36" s="22"/>
      <c r="AR36" s="22"/>
      <c r="AS36" s="22"/>
    </row>
    <row r="37" spans="1:46" x14ac:dyDescent="0.3">
      <c r="A37" s="18" t="s">
        <v>49</v>
      </c>
      <c r="B37" s="22"/>
      <c r="C37" s="22"/>
      <c r="D37" s="22"/>
      <c r="E37" s="22"/>
      <c r="F37" s="22"/>
      <c r="G37" s="22"/>
      <c r="I37" s="18" t="s">
        <v>49</v>
      </c>
      <c r="J37" s="26"/>
      <c r="K37" s="26"/>
      <c r="L37" s="26"/>
      <c r="M37" s="26"/>
      <c r="N37" s="26"/>
      <c r="P37" s="1" t="s">
        <v>44</v>
      </c>
      <c r="Q37" s="21">
        <v>64044.04</v>
      </c>
      <c r="R37" s="21">
        <v>59116.46</v>
      </c>
      <c r="S37" s="21">
        <v>61223.24</v>
      </c>
      <c r="T37" s="21">
        <v>67912.460000000006</v>
      </c>
      <c r="U37" s="21">
        <v>73258.53</v>
      </c>
      <c r="V37" s="21">
        <v>68778.64</v>
      </c>
      <c r="X37" s="23" t="s">
        <v>47</v>
      </c>
      <c r="Y37" s="25">
        <f>Y35+Y36</f>
        <v>6673</v>
      </c>
      <c r="Z37" s="25">
        <f t="shared" ref="Z37:AD37" si="23">Z35+Z36</f>
        <v>7502</v>
      </c>
      <c r="AA37" s="25">
        <f t="shared" si="23"/>
        <v>9333</v>
      </c>
      <c r="AB37" s="25">
        <f t="shared" si="23"/>
        <v>11904</v>
      </c>
      <c r="AC37" s="25">
        <f t="shared" si="23"/>
        <v>9393</v>
      </c>
      <c r="AD37" s="25">
        <f t="shared" si="23"/>
        <v>11624</v>
      </c>
      <c r="AF37" s="52" t="s">
        <v>101</v>
      </c>
      <c r="AG37" s="38">
        <f>AG35+AG36</f>
        <v>2387.77</v>
      </c>
      <c r="AH37" s="38">
        <f t="shared" ref="AH37" si="24">AH35+AH36</f>
        <v>2313.0300000000002</v>
      </c>
      <c r="AI37" s="38">
        <f t="shared" ref="AI37" si="25">AI35+AI36</f>
        <v>2364</v>
      </c>
      <c r="AJ37" s="38">
        <f t="shared" ref="AJ37" si="26">AJ35+AJ36</f>
        <v>2595.4900000000002</v>
      </c>
      <c r="AK37" s="38">
        <f t="shared" ref="AK37" si="27">AK35+AK36</f>
        <v>4067.7400000000002</v>
      </c>
      <c r="AL37" s="59">
        <f t="shared" ref="AL37" si="28">AL35+AL36</f>
        <v>5461.74</v>
      </c>
      <c r="AN37" s="18" t="s">
        <v>49</v>
      </c>
      <c r="AO37" s="22"/>
      <c r="AP37" s="22"/>
      <c r="AQ37" s="22"/>
      <c r="AR37" s="22"/>
      <c r="AS37" s="22"/>
    </row>
    <row r="38" spans="1:46" x14ac:dyDescent="0.3">
      <c r="A38" s="18" t="s">
        <v>50</v>
      </c>
      <c r="B38" s="22"/>
      <c r="C38" s="22"/>
      <c r="D38" s="22"/>
      <c r="E38" s="22"/>
      <c r="F38" s="22"/>
      <c r="G38" s="22"/>
      <c r="I38" s="1" t="s">
        <v>84</v>
      </c>
      <c r="J38" s="20">
        <v>0</v>
      </c>
      <c r="K38" s="20">
        <v>0</v>
      </c>
      <c r="L38" s="20">
        <v>731</v>
      </c>
      <c r="M38" s="20">
        <v>741</v>
      </c>
      <c r="N38" s="20">
        <v>1106</v>
      </c>
      <c r="P38" s="23" t="s">
        <v>93</v>
      </c>
      <c r="Q38" s="25">
        <f>Q36+Q37</f>
        <v>65273.26</v>
      </c>
      <c r="R38" s="25">
        <f t="shared" ref="R38:V38" si="29">R36+R37</f>
        <v>60347.34</v>
      </c>
      <c r="S38" s="25">
        <f t="shared" si="29"/>
        <v>62455.57</v>
      </c>
      <c r="T38" s="25">
        <f t="shared" si="29"/>
        <v>69155.260000000009</v>
      </c>
      <c r="U38" s="25">
        <f t="shared" si="29"/>
        <v>74507</v>
      </c>
      <c r="V38" s="25">
        <f t="shared" si="29"/>
        <v>70030.05</v>
      </c>
      <c r="X38" s="18" t="s">
        <v>48</v>
      </c>
      <c r="Y38" s="26"/>
      <c r="Z38" s="26"/>
      <c r="AA38" s="26"/>
      <c r="AB38" s="26"/>
      <c r="AC38" s="26"/>
      <c r="AD38" s="26"/>
      <c r="AF38" s="49" t="s">
        <v>102</v>
      </c>
      <c r="AG38" s="42">
        <v>79.59</v>
      </c>
      <c r="AH38" s="42">
        <v>44.49</v>
      </c>
      <c r="AI38" s="42">
        <v>45.94</v>
      </c>
      <c r="AJ38" s="42">
        <v>67.48</v>
      </c>
      <c r="AK38" s="42">
        <v>34.85</v>
      </c>
      <c r="AL38" s="58">
        <v>121.62</v>
      </c>
      <c r="AN38" s="34" t="s">
        <v>51</v>
      </c>
      <c r="AO38" s="72">
        <v>1979.6220000000001</v>
      </c>
      <c r="AP38" s="72">
        <v>1813.327</v>
      </c>
      <c r="AQ38" s="72">
        <v>1727.0219999999999</v>
      </c>
      <c r="AR38" s="72">
        <v>3188.9380000000001</v>
      </c>
      <c r="AS38" s="73">
        <v>840.68899999999996</v>
      </c>
    </row>
    <row r="39" spans="1:46" x14ac:dyDescent="0.3">
      <c r="A39" s="1" t="s">
        <v>51</v>
      </c>
      <c r="B39" s="21">
        <v>0</v>
      </c>
      <c r="C39" s="21">
        <v>0</v>
      </c>
      <c r="D39" s="21">
        <v>0</v>
      </c>
      <c r="E39" s="21">
        <v>0</v>
      </c>
      <c r="F39" s="21">
        <v>0</v>
      </c>
      <c r="G39" s="21">
        <v>0</v>
      </c>
      <c r="I39" s="1" t="s">
        <v>78</v>
      </c>
      <c r="J39" s="28">
        <v>394</v>
      </c>
      <c r="K39" s="28">
        <v>939</v>
      </c>
      <c r="L39" s="28">
        <v>296</v>
      </c>
      <c r="M39" s="28">
        <v>357</v>
      </c>
      <c r="N39" s="28">
        <v>718</v>
      </c>
      <c r="P39" s="1" t="s">
        <v>46</v>
      </c>
      <c r="Q39" s="21">
        <v>377.47</v>
      </c>
      <c r="R39" s="21">
        <v>346.81</v>
      </c>
      <c r="S39" s="21">
        <v>366.3</v>
      </c>
      <c r="T39" s="21">
        <v>383.53</v>
      </c>
      <c r="U39" s="21">
        <v>382.97</v>
      </c>
      <c r="V39" s="21">
        <v>367.89</v>
      </c>
      <c r="X39" s="18" t="s">
        <v>49</v>
      </c>
      <c r="Y39" s="26"/>
      <c r="Z39" s="26"/>
      <c r="AA39" s="26"/>
      <c r="AB39" s="26"/>
      <c r="AC39" s="26"/>
      <c r="AD39" s="26"/>
      <c r="AF39" s="52" t="s">
        <v>47</v>
      </c>
      <c r="AG39" s="38">
        <f>AG37+AG38</f>
        <v>2467.36</v>
      </c>
      <c r="AH39" s="38">
        <f t="shared" ref="AH39" si="30">AH37+AH38</f>
        <v>2357.52</v>
      </c>
      <c r="AI39" s="38">
        <f t="shared" ref="AI39" si="31">AI37+AI38</f>
        <v>2409.94</v>
      </c>
      <c r="AJ39" s="38">
        <f t="shared" ref="AJ39" si="32">AJ37+AJ38</f>
        <v>2662.9700000000003</v>
      </c>
      <c r="AK39" s="38">
        <f t="shared" ref="AK39" si="33">AK37+AK38</f>
        <v>4102.59</v>
      </c>
      <c r="AL39" s="59">
        <f t="shared" ref="AL39" si="34">AL37+AL38</f>
        <v>5583.36</v>
      </c>
      <c r="AN39" s="34" t="s">
        <v>78</v>
      </c>
      <c r="AO39" s="72">
        <v>24.439</v>
      </c>
      <c r="AP39" s="72">
        <v>31.263000000000002</v>
      </c>
      <c r="AQ39" s="72">
        <v>165.42500000000001</v>
      </c>
      <c r="AR39" s="72">
        <v>197.88499999999999</v>
      </c>
      <c r="AS39" s="73">
        <v>357.08600000000001</v>
      </c>
    </row>
    <row r="40" spans="1:46" x14ac:dyDescent="0.3">
      <c r="A40" s="1" t="s">
        <v>52</v>
      </c>
      <c r="B40" s="21">
        <v>221.11</v>
      </c>
      <c r="C40" s="21">
        <v>312.01</v>
      </c>
      <c r="D40" s="21">
        <v>507.15</v>
      </c>
      <c r="E40" s="21">
        <v>476.66</v>
      </c>
      <c r="F40" s="21">
        <v>399.24</v>
      </c>
      <c r="G40" s="21">
        <v>555.79</v>
      </c>
      <c r="I40" s="1" t="s">
        <v>54</v>
      </c>
      <c r="J40" s="21">
        <v>1082</v>
      </c>
      <c r="K40" s="21">
        <v>1227</v>
      </c>
      <c r="L40" s="21">
        <v>1578</v>
      </c>
      <c r="M40" s="21">
        <v>1580</v>
      </c>
      <c r="N40" s="21">
        <v>1576</v>
      </c>
      <c r="P40" s="23" t="s">
        <v>47</v>
      </c>
      <c r="Q40" s="25">
        <f>Q38+Q39</f>
        <v>65650.73</v>
      </c>
      <c r="R40" s="25">
        <f t="shared" ref="R40:V40" si="35">R38+R39</f>
        <v>60694.149999999994</v>
      </c>
      <c r="S40" s="25">
        <f t="shared" si="35"/>
        <v>62821.87</v>
      </c>
      <c r="T40" s="25">
        <f t="shared" si="35"/>
        <v>69538.790000000008</v>
      </c>
      <c r="U40" s="25">
        <f t="shared" si="35"/>
        <v>74889.97</v>
      </c>
      <c r="V40" s="25">
        <f t="shared" si="35"/>
        <v>70397.94</v>
      </c>
      <c r="X40" s="1" t="s">
        <v>51</v>
      </c>
      <c r="Y40" s="21">
        <v>17</v>
      </c>
      <c r="Z40" s="21">
        <v>9</v>
      </c>
      <c r="AA40" s="21">
        <v>2</v>
      </c>
      <c r="AB40" s="21">
        <v>0</v>
      </c>
      <c r="AC40" s="21">
        <v>3302</v>
      </c>
      <c r="AD40" s="21">
        <v>595</v>
      </c>
      <c r="AF40" s="56" t="s">
        <v>48</v>
      </c>
      <c r="AG40" s="40"/>
      <c r="AH40" s="40"/>
      <c r="AI40" s="40"/>
      <c r="AJ40" s="40"/>
      <c r="AK40" s="40"/>
      <c r="AL40" s="57"/>
      <c r="AN40" s="34" t="s">
        <v>54</v>
      </c>
      <c r="AO40" s="72">
        <v>203.90600000000001</v>
      </c>
      <c r="AP40" s="72">
        <v>208.54300000000001</v>
      </c>
      <c r="AQ40" s="72">
        <v>204.113</v>
      </c>
      <c r="AR40" s="72">
        <v>212.64400000000001</v>
      </c>
      <c r="AS40" s="73">
        <v>189.434</v>
      </c>
    </row>
    <row r="41" spans="1:46" x14ac:dyDescent="0.3">
      <c r="A41" s="1" t="s">
        <v>53</v>
      </c>
      <c r="B41" s="21">
        <v>0.47</v>
      </c>
      <c r="C41" s="21">
        <v>0.44</v>
      </c>
      <c r="D41" s="21">
        <v>0.41</v>
      </c>
      <c r="E41" s="21">
        <v>0.47</v>
      </c>
      <c r="F41" s="21">
        <v>0.37</v>
      </c>
      <c r="G41" s="21">
        <v>0.49</v>
      </c>
      <c r="I41" s="1" t="s">
        <v>85</v>
      </c>
      <c r="J41" s="20">
        <v>0</v>
      </c>
      <c r="K41" s="20">
        <v>0</v>
      </c>
      <c r="L41" s="20">
        <v>5988</v>
      </c>
      <c r="M41" s="20">
        <v>6141</v>
      </c>
      <c r="N41" s="20">
        <v>6557</v>
      </c>
      <c r="P41" s="18" t="s">
        <v>48</v>
      </c>
      <c r="Q41" s="26"/>
      <c r="R41" s="26"/>
      <c r="S41" s="26"/>
      <c r="T41" s="26"/>
      <c r="U41" s="26"/>
      <c r="V41" s="26"/>
      <c r="X41" s="1" t="s">
        <v>84</v>
      </c>
      <c r="Y41" s="21">
        <v>1056</v>
      </c>
      <c r="Z41" s="21">
        <v>1059</v>
      </c>
      <c r="AA41" s="21">
        <v>1138</v>
      </c>
      <c r="AB41" s="21">
        <v>1607</v>
      </c>
      <c r="AC41" s="21">
        <v>2032</v>
      </c>
      <c r="AD41" s="21">
        <v>2318</v>
      </c>
      <c r="AF41" s="56" t="s">
        <v>49</v>
      </c>
      <c r="AG41" s="40"/>
      <c r="AH41" s="40"/>
      <c r="AI41" s="40"/>
      <c r="AJ41" s="40"/>
      <c r="AK41" s="40"/>
      <c r="AL41" s="57"/>
      <c r="AN41" s="34" t="s">
        <v>55</v>
      </c>
      <c r="AO41" s="72">
        <v>225.94300000000001</v>
      </c>
      <c r="AP41" s="72">
        <v>311.14100000000002</v>
      </c>
      <c r="AQ41" s="72">
        <v>336.84800000000001</v>
      </c>
      <c r="AR41" s="72">
        <v>343.01100000000002</v>
      </c>
      <c r="AS41" s="73">
        <v>487.90899999999999</v>
      </c>
    </row>
    <row r="42" spans="1:46" x14ac:dyDescent="0.3">
      <c r="A42" s="1" t="s">
        <v>54</v>
      </c>
      <c r="B42" s="21">
        <v>1.48</v>
      </c>
      <c r="C42" s="21">
        <v>2.4500000000000002</v>
      </c>
      <c r="D42" s="21">
        <v>4.87</v>
      </c>
      <c r="E42" s="21">
        <v>6.41</v>
      </c>
      <c r="F42" s="21">
        <v>9.18</v>
      </c>
      <c r="G42" s="21">
        <v>12.67</v>
      </c>
      <c r="I42" s="1" t="s">
        <v>79</v>
      </c>
      <c r="J42" s="21">
        <v>601</v>
      </c>
      <c r="K42" s="21">
        <v>424</v>
      </c>
      <c r="L42" s="21">
        <v>1367</v>
      </c>
      <c r="M42" s="21">
        <v>1331</v>
      </c>
      <c r="N42" s="21">
        <v>4243</v>
      </c>
      <c r="P42" s="18" t="s">
        <v>49</v>
      </c>
      <c r="Q42" s="26"/>
      <c r="R42" s="26"/>
      <c r="S42" s="26"/>
      <c r="T42" s="26"/>
      <c r="U42" s="26"/>
      <c r="V42" s="26"/>
      <c r="X42" s="1" t="s">
        <v>78</v>
      </c>
      <c r="Y42" s="21">
        <v>4</v>
      </c>
      <c r="Z42" s="21">
        <v>3</v>
      </c>
      <c r="AA42" s="21">
        <v>4</v>
      </c>
      <c r="AB42" s="21">
        <v>4</v>
      </c>
      <c r="AC42" s="21">
        <v>8</v>
      </c>
      <c r="AD42" s="21">
        <v>6</v>
      </c>
      <c r="AF42" s="49" t="s">
        <v>51</v>
      </c>
      <c r="AG42" s="42">
        <v>299.74</v>
      </c>
      <c r="AH42" s="42">
        <v>0</v>
      </c>
      <c r="AI42" s="42">
        <v>497.38</v>
      </c>
      <c r="AJ42" s="42">
        <v>497.95</v>
      </c>
      <c r="AK42" s="42">
        <v>498.56</v>
      </c>
      <c r="AL42" s="58">
        <v>499.2</v>
      </c>
      <c r="AN42" s="34" t="s">
        <v>94</v>
      </c>
      <c r="AO42" s="72">
        <v>0.73399999999999999</v>
      </c>
      <c r="AP42" s="72">
        <v>0.67300000000000004</v>
      </c>
      <c r="AQ42" s="72">
        <v>0.59399999999999997</v>
      </c>
      <c r="AR42" s="72">
        <v>6.84</v>
      </c>
      <c r="AS42" s="73">
        <v>4.7309999999999999</v>
      </c>
      <c r="AT42" s="40"/>
    </row>
    <row r="43" spans="1:46" x14ac:dyDescent="0.3">
      <c r="A43" s="1" t="s">
        <v>55</v>
      </c>
      <c r="B43" s="21">
        <v>47.39</v>
      </c>
      <c r="C43" s="21">
        <v>51.19</v>
      </c>
      <c r="D43" s="21">
        <v>64.03</v>
      </c>
      <c r="E43" s="21">
        <v>76.959999999999994</v>
      </c>
      <c r="F43" s="21">
        <v>91.93</v>
      </c>
      <c r="G43" s="21">
        <v>112.48</v>
      </c>
      <c r="I43" s="23" t="s">
        <v>56</v>
      </c>
      <c r="J43" s="25">
        <f>SUM(J38:J42)</f>
        <v>2077</v>
      </c>
      <c r="K43" s="25">
        <f>SUM(K38:K42)</f>
        <v>2590</v>
      </c>
      <c r="L43" s="25">
        <f>SUM(L38:L42)</f>
        <v>9960</v>
      </c>
      <c r="M43" s="25">
        <f>SUM(M38:M42)</f>
        <v>10150</v>
      </c>
      <c r="N43" s="25">
        <f>SUM(N38:N42)</f>
        <v>14200</v>
      </c>
      <c r="P43" s="1" t="s">
        <v>51</v>
      </c>
      <c r="Q43" s="21">
        <v>5.9</v>
      </c>
      <c r="R43" s="21">
        <v>5.58</v>
      </c>
      <c r="S43" s="21">
        <v>4.8499999999999996</v>
      </c>
      <c r="T43" s="21">
        <v>3.49</v>
      </c>
      <c r="U43" s="21">
        <v>1.76</v>
      </c>
      <c r="V43" s="21">
        <v>0</v>
      </c>
      <c r="X43" s="1" t="s">
        <v>54</v>
      </c>
      <c r="Y43" s="21">
        <v>166</v>
      </c>
      <c r="Z43" s="21">
        <v>156</v>
      </c>
      <c r="AA43" s="21">
        <v>198</v>
      </c>
      <c r="AB43" s="21">
        <v>240</v>
      </c>
      <c r="AC43" s="21">
        <v>274</v>
      </c>
      <c r="AD43" s="21">
        <v>299</v>
      </c>
      <c r="AF43" s="49" t="s">
        <v>84</v>
      </c>
      <c r="AG43" s="42">
        <v>2227.1999999999998</v>
      </c>
      <c r="AH43" s="42">
        <v>2592.13</v>
      </c>
      <c r="AI43" s="42">
        <v>4126.01</v>
      </c>
      <c r="AJ43" s="42">
        <v>3750.22</v>
      </c>
      <c r="AK43" s="42">
        <v>845.2</v>
      </c>
      <c r="AL43" s="58">
        <v>1101.8</v>
      </c>
      <c r="AN43" s="35" t="s">
        <v>56</v>
      </c>
      <c r="AO43" s="67">
        <f>SUM(AO38:AO42)</f>
        <v>2434.6440000000002</v>
      </c>
      <c r="AP43" s="67">
        <f t="shared" ref="AP43:AS43" si="36">SUM(AP38:AP42)</f>
        <v>2364.9469999999997</v>
      </c>
      <c r="AQ43" s="67">
        <f t="shared" si="36"/>
        <v>2434.002</v>
      </c>
      <c r="AR43" s="67">
        <f t="shared" si="36"/>
        <v>3949.3180000000007</v>
      </c>
      <c r="AS43" s="67">
        <f t="shared" si="36"/>
        <v>1879.8489999999999</v>
      </c>
    </row>
    <row r="44" spans="1:46" x14ac:dyDescent="0.3">
      <c r="A44" s="23" t="s">
        <v>56</v>
      </c>
      <c r="B44" s="25">
        <f>SUM(B39:B43)</f>
        <v>270.45</v>
      </c>
      <c r="C44" s="25">
        <f t="shared" ref="C44:G44" si="37">SUM(C39:C43)</f>
        <v>366.09</v>
      </c>
      <c r="D44" s="25">
        <f t="shared" si="37"/>
        <v>576.45999999999992</v>
      </c>
      <c r="E44" s="25">
        <f t="shared" si="37"/>
        <v>560.50000000000011</v>
      </c>
      <c r="F44" s="25">
        <f t="shared" si="37"/>
        <v>500.72</v>
      </c>
      <c r="G44" s="25">
        <f t="shared" si="37"/>
        <v>681.43</v>
      </c>
      <c r="I44" s="18" t="s">
        <v>80</v>
      </c>
      <c r="J44" s="26"/>
      <c r="K44" s="26"/>
      <c r="L44" s="26"/>
      <c r="M44" s="26"/>
      <c r="N44" s="26"/>
      <c r="P44" s="1" t="s">
        <v>84</v>
      </c>
      <c r="Q44" s="21">
        <v>204</v>
      </c>
      <c r="R44" s="21">
        <v>206.96</v>
      </c>
      <c r="S44" s="21">
        <v>193.67</v>
      </c>
      <c r="T44" s="21">
        <v>213.37</v>
      </c>
      <c r="U44" s="21">
        <v>230.61</v>
      </c>
      <c r="V44" s="21">
        <v>137.21</v>
      </c>
      <c r="X44" s="1" t="s">
        <v>103</v>
      </c>
      <c r="Y44" s="21">
        <v>6</v>
      </c>
      <c r="Z44" s="21">
        <v>8</v>
      </c>
      <c r="AA44" s="21">
        <v>6</v>
      </c>
      <c r="AB44" s="21">
        <v>3</v>
      </c>
      <c r="AC44" s="21">
        <v>3</v>
      </c>
      <c r="AD44" s="21">
        <v>2</v>
      </c>
      <c r="AF44" s="49" t="s">
        <v>78</v>
      </c>
      <c r="AG44" s="42">
        <v>18.21</v>
      </c>
      <c r="AH44" s="42">
        <v>13.98</v>
      </c>
      <c r="AI44" s="42">
        <v>8.48</v>
      </c>
      <c r="AJ44" s="42">
        <v>8.06</v>
      </c>
      <c r="AK44" s="42">
        <v>5.3</v>
      </c>
      <c r="AL44" s="58">
        <v>46.47</v>
      </c>
      <c r="AN44" s="18" t="s">
        <v>57</v>
      </c>
      <c r="AO44" s="22"/>
      <c r="AP44" s="22"/>
      <c r="AQ44" s="22"/>
      <c r="AR44" s="22"/>
      <c r="AS44" s="22"/>
    </row>
    <row r="45" spans="1:46" x14ac:dyDescent="0.3">
      <c r="A45" s="18" t="s">
        <v>57</v>
      </c>
      <c r="B45" s="22"/>
      <c r="C45" s="22"/>
      <c r="D45" s="22"/>
      <c r="E45" s="22"/>
      <c r="F45" s="22"/>
      <c r="G45" s="22"/>
      <c r="I45" s="1" t="s">
        <v>51</v>
      </c>
      <c r="J45" s="21">
        <v>99</v>
      </c>
      <c r="K45" s="21">
        <v>0</v>
      </c>
      <c r="L45" s="21">
        <v>0</v>
      </c>
      <c r="M45" s="21">
        <v>0</v>
      </c>
      <c r="N45" s="21">
        <v>13</v>
      </c>
      <c r="P45" s="1" t="s">
        <v>78</v>
      </c>
      <c r="Q45" s="21">
        <v>127.87</v>
      </c>
      <c r="R45" s="21">
        <v>283.5</v>
      </c>
      <c r="S45" s="21">
        <v>144.5</v>
      </c>
      <c r="T45" s="21">
        <v>416.87</v>
      </c>
      <c r="U45" s="21">
        <v>433.96</v>
      </c>
      <c r="V45" s="21">
        <v>301.33999999999997</v>
      </c>
      <c r="X45" s="1" t="s">
        <v>94</v>
      </c>
      <c r="Y45" s="21">
        <v>0</v>
      </c>
      <c r="Z45" s="21">
        <v>1</v>
      </c>
      <c r="AA45" s="21">
        <v>1</v>
      </c>
      <c r="AB45" s="21">
        <v>1</v>
      </c>
      <c r="AC45" s="21">
        <v>9</v>
      </c>
      <c r="AD45" s="21">
        <v>10</v>
      </c>
      <c r="AF45" s="49" t="s">
        <v>54</v>
      </c>
      <c r="AG45" s="42">
        <v>6.9</v>
      </c>
      <c r="AH45" s="42">
        <v>8.66</v>
      </c>
      <c r="AI45" s="42">
        <v>21.26</v>
      </c>
      <c r="AJ45" s="42">
        <v>58.9</v>
      </c>
      <c r="AK45" s="42">
        <v>160.04</v>
      </c>
      <c r="AL45" s="58">
        <v>165.78</v>
      </c>
      <c r="AN45" s="34" t="s">
        <v>51</v>
      </c>
      <c r="AO45" s="72">
        <v>713.85799999999995</v>
      </c>
      <c r="AP45" s="72">
        <v>1528.568</v>
      </c>
      <c r="AQ45" s="72">
        <v>1967.79</v>
      </c>
      <c r="AR45" s="72">
        <v>2005.4490000000001</v>
      </c>
      <c r="AS45" s="73">
        <v>1523.576</v>
      </c>
    </row>
    <row r="46" spans="1:46" x14ac:dyDescent="0.3">
      <c r="A46" s="18" t="s">
        <v>50</v>
      </c>
      <c r="B46" s="22"/>
      <c r="C46" s="22"/>
      <c r="D46" s="22"/>
      <c r="E46" s="22"/>
      <c r="F46" s="22"/>
      <c r="G46" s="22"/>
      <c r="I46" s="1" t="s">
        <v>84</v>
      </c>
      <c r="J46" s="20">
        <v>0</v>
      </c>
      <c r="K46" s="20">
        <v>0</v>
      </c>
      <c r="L46" s="20">
        <v>278</v>
      </c>
      <c r="M46" s="20">
        <v>302</v>
      </c>
      <c r="N46" s="20">
        <v>365</v>
      </c>
      <c r="P46" s="1" t="s">
        <v>54</v>
      </c>
      <c r="Q46" s="21">
        <v>175.37</v>
      </c>
      <c r="R46" s="21">
        <v>187.5</v>
      </c>
      <c r="S46" s="21">
        <v>221.05</v>
      </c>
      <c r="T46" s="21">
        <v>259.20999999999998</v>
      </c>
      <c r="U46" s="21">
        <v>288.3</v>
      </c>
      <c r="V46" s="21">
        <v>303.11</v>
      </c>
      <c r="X46" s="23" t="s">
        <v>56</v>
      </c>
      <c r="Y46" s="25">
        <f>SUM(Y40:Y45)</f>
        <v>1249</v>
      </c>
      <c r="Z46" s="25">
        <f t="shared" ref="Z46:AD46" si="38">SUM(Z40:Z45)</f>
        <v>1236</v>
      </c>
      <c r="AA46" s="25">
        <f t="shared" si="38"/>
        <v>1349</v>
      </c>
      <c r="AB46" s="25">
        <f t="shared" si="38"/>
        <v>1855</v>
      </c>
      <c r="AC46" s="25">
        <f t="shared" si="38"/>
        <v>5628</v>
      </c>
      <c r="AD46" s="25">
        <f t="shared" si="38"/>
        <v>3230</v>
      </c>
      <c r="AF46" s="49" t="s">
        <v>103</v>
      </c>
      <c r="AG46" s="42">
        <v>0</v>
      </c>
      <c r="AH46" s="42">
        <v>0</v>
      </c>
      <c r="AI46" s="42">
        <v>0</v>
      </c>
      <c r="AJ46" s="42">
        <v>0</v>
      </c>
      <c r="AK46" s="42">
        <v>0</v>
      </c>
      <c r="AL46" s="58">
        <v>0</v>
      </c>
      <c r="AN46" s="63" t="s">
        <v>84</v>
      </c>
      <c r="AO46" s="72">
        <v>0</v>
      </c>
      <c r="AP46" s="72">
        <v>0</v>
      </c>
      <c r="AQ46" s="72">
        <v>0</v>
      </c>
      <c r="AR46" s="72">
        <v>39.037999999999997</v>
      </c>
      <c r="AS46" s="72">
        <v>104.90300000000001</v>
      </c>
    </row>
    <row r="47" spans="1:46" x14ac:dyDescent="0.3">
      <c r="A47" s="1" t="s">
        <v>51</v>
      </c>
      <c r="B47" s="21">
        <v>3.73</v>
      </c>
      <c r="C47" s="21">
        <v>0</v>
      </c>
      <c r="D47" s="21">
        <v>0</v>
      </c>
      <c r="E47" s="21">
        <v>0</v>
      </c>
      <c r="F47" s="21">
        <v>0</v>
      </c>
      <c r="G47" s="21">
        <v>0</v>
      </c>
      <c r="I47" s="1" t="s">
        <v>81</v>
      </c>
      <c r="J47" s="21">
        <v>0</v>
      </c>
      <c r="K47" s="21">
        <v>0</v>
      </c>
      <c r="L47" s="21">
        <v>67</v>
      </c>
      <c r="M47" s="21">
        <v>60</v>
      </c>
      <c r="N47" s="21">
        <v>250</v>
      </c>
      <c r="P47" s="1" t="s">
        <v>55</v>
      </c>
      <c r="Q47" s="21">
        <v>1627.2</v>
      </c>
      <c r="R47" s="21">
        <v>1736.39</v>
      </c>
      <c r="S47" s="21">
        <v>1673.47</v>
      </c>
      <c r="T47" s="21">
        <v>1629</v>
      </c>
      <c r="U47" s="21">
        <v>2141.44</v>
      </c>
      <c r="V47" s="21">
        <v>2582.46</v>
      </c>
      <c r="X47" s="18" t="s">
        <v>57</v>
      </c>
      <c r="Y47" s="26"/>
      <c r="Z47" s="26"/>
      <c r="AA47" s="26"/>
      <c r="AB47" s="26"/>
      <c r="AC47" s="26"/>
      <c r="AD47" s="26"/>
      <c r="AF47" s="49" t="s">
        <v>94</v>
      </c>
      <c r="AG47" s="42">
        <v>0</v>
      </c>
      <c r="AH47" s="42">
        <v>0</v>
      </c>
      <c r="AI47" s="42">
        <v>9.5</v>
      </c>
      <c r="AJ47" s="42">
        <v>9.4499999999999993</v>
      </c>
      <c r="AK47" s="42">
        <v>8.59</v>
      </c>
      <c r="AL47" s="58">
        <v>12.34</v>
      </c>
      <c r="AN47" s="34" t="s">
        <v>116</v>
      </c>
      <c r="AO47" s="72">
        <v>9.3699999999999992</v>
      </c>
      <c r="AP47" s="72">
        <v>34.284999999999997</v>
      </c>
      <c r="AQ47" s="72">
        <v>65.911000000000001</v>
      </c>
      <c r="AR47" s="72">
        <v>76.742999999999995</v>
      </c>
      <c r="AS47" s="73">
        <v>64.575000000000003</v>
      </c>
    </row>
    <row r="48" spans="1:46" x14ac:dyDescent="0.3">
      <c r="A48" s="1" t="s">
        <v>52</v>
      </c>
      <c r="B48" s="21">
        <v>74.349999999999994</v>
      </c>
      <c r="C48" s="21">
        <v>80.7</v>
      </c>
      <c r="D48" s="21">
        <v>139.79</v>
      </c>
      <c r="E48" s="21">
        <v>166.32</v>
      </c>
      <c r="F48" s="21">
        <v>192.92</v>
      </c>
      <c r="G48" s="21">
        <v>263.83</v>
      </c>
      <c r="I48" s="1" t="s">
        <v>82</v>
      </c>
      <c r="J48" s="21">
        <v>7206</v>
      </c>
      <c r="K48" s="21">
        <v>7535</v>
      </c>
      <c r="L48" s="21">
        <v>8735</v>
      </c>
      <c r="M48" s="21">
        <v>9008</v>
      </c>
      <c r="N48" s="21">
        <v>10236</v>
      </c>
      <c r="P48" s="1" t="s">
        <v>94</v>
      </c>
      <c r="Q48" s="21">
        <v>16.2</v>
      </c>
      <c r="R48" s="21">
        <v>15.54</v>
      </c>
      <c r="S48" s="21">
        <v>36.43</v>
      </c>
      <c r="T48" s="21">
        <v>82.84</v>
      </c>
      <c r="U48" s="21">
        <v>149.72</v>
      </c>
      <c r="V48" s="21">
        <v>34.51</v>
      </c>
      <c r="X48" s="18" t="s">
        <v>50</v>
      </c>
      <c r="Y48" s="26"/>
      <c r="Z48" s="26"/>
      <c r="AA48" s="26"/>
      <c r="AB48" s="26"/>
      <c r="AC48" s="26"/>
      <c r="AD48" s="26"/>
      <c r="AF48" s="52" t="s">
        <v>56</v>
      </c>
      <c r="AG48" s="38">
        <f>SUM(AG42:AG47)</f>
        <v>2552.0499999999997</v>
      </c>
      <c r="AH48" s="38">
        <f t="shared" ref="AH48" si="39">SUM(AH42:AH47)</f>
        <v>2614.77</v>
      </c>
      <c r="AI48" s="38">
        <f t="shared" ref="AI48" si="40">SUM(AI42:AI47)</f>
        <v>4662.63</v>
      </c>
      <c r="AJ48" s="38">
        <f t="shared" ref="AJ48" si="41">SUM(AJ42:AJ47)</f>
        <v>4324.58</v>
      </c>
      <c r="AK48" s="38">
        <f t="shared" ref="AK48" si="42">SUM(AK42:AK47)</f>
        <v>1517.6899999999998</v>
      </c>
      <c r="AL48" s="59">
        <f t="shared" ref="AL48" si="43">SUM(AL42:AL47)</f>
        <v>1825.59</v>
      </c>
      <c r="AN48" s="34" t="s">
        <v>122</v>
      </c>
      <c r="AO48" s="72">
        <v>502.01499999999999</v>
      </c>
      <c r="AP48" s="72">
        <v>677.46799999999996</v>
      </c>
      <c r="AQ48" s="72">
        <v>758.35</v>
      </c>
      <c r="AR48" s="72">
        <v>681.505</v>
      </c>
      <c r="AS48" s="73">
        <v>1495.8520000000001</v>
      </c>
    </row>
    <row r="49" spans="1:45" ht="28.8" x14ac:dyDescent="0.3">
      <c r="A49" s="4" t="s">
        <v>58</v>
      </c>
      <c r="B49" s="21">
        <v>17.47</v>
      </c>
      <c r="C49" s="21">
        <v>21.95</v>
      </c>
      <c r="D49" s="21">
        <v>32.39</v>
      </c>
      <c r="E49" s="21">
        <v>76.290000000000006</v>
      </c>
      <c r="F49" s="21">
        <v>230.6</v>
      </c>
      <c r="G49" s="21">
        <v>289.52999999999997</v>
      </c>
      <c r="I49" s="1" t="s">
        <v>78</v>
      </c>
      <c r="J49" s="21">
        <v>492</v>
      </c>
      <c r="K49" s="21">
        <v>932</v>
      </c>
      <c r="L49" s="21">
        <v>928</v>
      </c>
      <c r="M49" s="21">
        <v>899</v>
      </c>
      <c r="N49" s="21">
        <v>865</v>
      </c>
      <c r="P49" s="23" t="s">
        <v>56</v>
      </c>
      <c r="Q49" s="25">
        <f>SUM(Q43:Q48)</f>
        <v>2156.54</v>
      </c>
      <c r="R49" s="25">
        <f t="shared" ref="R49:V49" si="44">SUM(R43:R48)</f>
        <v>2435.4700000000003</v>
      </c>
      <c r="S49" s="25">
        <f t="shared" si="44"/>
        <v>2273.9699999999998</v>
      </c>
      <c r="T49" s="25">
        <f t="shared" si="44"/>
        <v>2604.7800000000002</v>
      </c>
      <c r="U49" s="25">
        <f t="shared" si="44"/>
        <v>3245.7899999999995</v>
      </c>
      <c r="V49" s="25">
        <f t="shared" si="44"/>
        <v>3358.63</v>
      </c>
      <c r="X49" s="1" t="s">
        <v>51</v>
      </c>
      <c r="Y49" s="21">
        <v>706</v>
      </c>
      <c r="Z49" s="21">
        <v>156</v>
      </c>
      <c r="AA49" s="21">
        <v>516</v>
      </c>
      <c r="AB49" s="21">
        <v>2195</v>
      </c>
      <c r="AC49" s="21">
        <v>4536</v>
      </c>
      <c r="AD49" s="21">
        <v>9691</v>
      </c>
      <c r="AF49" s="56" t="s">
        <v>57</v>
      </c>
      <c r="AG49" s="40"/>
      <c r="AH49" s="40"/>
      <c r="AI49" s="40"/>
      <c r="AJ49" s="40"/>
      <c r="AK49" s="40"/>
      <c r="AL49" s="57"/>
      <c r="AN49" s="34" t="s">
        <v>78</v>
      </c>
      <c r="AO49" s="72">
        <v>854.351</v>
      </c>
      <c r="AP49" s="72">
        <v>392.96600000000001</v>
      </c>
      <c r="AQ49" s="72">
        <v>559.39</v>
      </c>
      <c r="AR49" s="72">
        <v>763.83900000000006</v>
      </c>
      <c r="AS49" s="73">
        <v>704.34100000000001</v>
      </c>
    </row>
    <row r="50" spans="1:45" x14ac:dyDescent="0.3">
      <c r="A50" s="1" t="s">
        <v>59</v>
      </c>
      <c r="B50" s="21">
        <v>415.98</v>
      </c>
      <c r="C50" s="21">
        <v>556.17999999999995</v>
      </c>
      <c r="D50" s="21">
        <v>556.80999999999995</v>
      </c>
      <c r="E50" s="21">
        <v>677.5</v>
      </c>
      <c r="F50" s="21">
        <v>754.21</v>
      </c>
      <c r="G50" s="21">
        <v>781.28</v>
      </c>
      <c r="I50" s="1" t="s">
        <v>65</v>
      </c>
      <c r="J50" s="21">
        <v>347</v>
      </c>
      <c r="K50" s="21">
        <v>428</v>
      </c>
      <c r="L50" s="21">
        <v>588</v>
      </c>
      <c r="M50" s="21">
        <v>665</v>
      </c>
      <c r="N50" s="21">
        <v>807</v>
      </c>
      <c r="P50" s="18" t="s">
        <v>57</v>
      </c>
      <c r="Q50" s="26"/>
      <c r="R50" s="26"/>
      <c r="S50" s="26"/>
      <c r="T50" s="26"/>
      <c r="U50" s="26"/>
      <c r="V50" s="26"/>
      <c r="X50" s="1" t="s">
        <v>104</v>
      </c>
      <c r="Y50" s="21">
        <v>1585</v>
      </c>
      <c r="Z50" s="21">
        <v>4210</v>
      </c>
      <c r="AA50" s="21">
        <v>5398</v>
      </c>
      <c r="AB50" s="21">
        <v>5299</v>
      </c>
      <c r="AC50" s="21">
        <v>5341</v>
      </c>
      <c r="AD50" s="21">
        <v>7810</v>
      </c>
      <c r="AF50" s="56" t="s">
        <v>50</v>
      </c>
      <c r="AG50" s="40"/>
      <c r="AH50" s="40"/>
      <c r="AI50" s="40"/>
      <c r="AJ50" s="40"/>
      <c r="AK50" s="40"/>
      <c r="AL50" s="57"/>
      <c r="AN50" s="34" t="s">
        <v>65</v>
      </c>
      <c r="AO50" s="72">
        <v>318.29199999999997</v>
      </c>
      <c r="AP50" s="72">
        <v>309.67599999999999</v>
      </c>
      <c r="AQ50" s="72">
        <v>488.97699999999998</v>
      </c>
      <c r="AR50" s="72">
        <v>465.09300000000002</v>
      </c>
      <c r="AS50" s="73">
        <v>491.65499999999997</v>
      </c>
    </row>
    <row r="51" spans="1:45" x14ac:dyDescent="0.3">
      <c r="A51" s="1" t="s">
        <v>60</v>
      </c>
      <c r="B51" s="21">
        <v>177.94</v>
      </c>
      <c r="C51" s="21">
        <v>269.77999999999997</v>
      </c>
      <c r="D51" s="21">
        <v>282.92</v>
      </c>
      <c r="E51" s="21">
        <v>289.45999999999998</v>
      </c>
      <c r="F51" s="21">
        <v>389.85</v>
      </c>
      <c r="G51" s="21">
        <v>448.64</v>
      </c>
      <c r="I51" s="1" t="s">
        <v>54</v>
      </c>
      <c r="J51" s="21">
        <v>523</v>
      </c>
      <c r="K51" s="21">
        <v>422</v>
      </c>
      <c r="L51" s="21">
        <v>507</v>
      </c>
      <c r="M51" s="21">
        <v>346</v>
      </c>
      <c r="N51" s="21">
        <v>340</v>
      </c>
      <c r="P51" s="18" t="s">
        <v>50</v>
      </c>
      <c r="Q51" s="26"/>
      <c r="R51" s="26"/>
      <c r="S51" s="26"/>
      <c r="T51" s="26"/>
      <c r="U51" s="26"/>
      <c r="V51" s="26"/>
      <c r="X51" s="1" t="s">
        <v>84</v>
      </c>
      <c r="Y51" s="21">
        <v>187</v>
      </c>
      <c r="Z51" s="21">
        <v>197</v>
      </c>
      <c r="AA51" s="21">
        <v>221</v>
      </c>
      <c r="AB51" s="21">
        <v>266</v>
      </c>
      <c r="AC51" s="21">
        <v>317</v>
      </c>
      <c r="AD51" s="21">
        <v>363</v>
      </c>
      <c r="AF51" s="63" t="s">
        <v>119</v>
      </c>
      <c r="AG51" s="41">
        <v>0</v>
      </c>
      <c r="AH51" s="41">
        <v>0</v>
      </c>
      <c r="AI51" s="41">
        <v>101.97</v>
      </c>
      <c r="AJ51" s="41">
        <v>215.97</v>
      </c>
      <c r="AK51" s="41">
        <v>409.23</v>
      </c>
      <c r="AL51" s="41">
        <v>636.19000000000005</v>
      </c>
      <c r="AN51" s="34" t="s">
        <v>54</v>
      </c>
      <c r="AO51" s="72">
        <v>33.171999999999997</v>
      </c>
      <c r="AP51" s="72">
        <v>49.74</v>
      </c>
      <c r="AQ51" s="72">
        <v>29.190999999999999</v>
      </c>
      <c r="AR51" s="72">
        <v>82.543000000000006</v>
      </c>
      <c r="AS51" s="73">
        <v>73.900000000000006</v>
      </c>
    </row>
    <row r="52" spans="1:45" x14ac:dyDescent="0.3">
      <c r="A52" s="1" t="s">
        <v>61</v>
      </c>
      <c r="B52" s="21">
        <v>0.45</v>
      </c>
      <c r="C52" s="21">
        <v>112.66</v>
      </c>
      <c r="D52" s="21">
        <v>58.37</v>
      </c>
      <c r="E52" s="21">
        <v>121.18</v>
      </c>
      <c r="F52" s="21">
        <v>95.74</v>
      </c>
      <c r="G52" s="21">
        <v>138.62</v>
      </c>
      <c r="I52" s="23" t="s">
        <v>62</v>
      </c>
      <c r="J52" s="25">
        <f>SUM(J45:J51)</f>
        <v>8667</v>
      </c>
      <c r="K52" s="25">
        <f>SUM(K45:K51)</f>
        <v>9317</v>
      </c>
      <c r="L52" s="25">
        <f>SUM(L45:L51)</f>
        <v>11103</v>
      </c>
      <c r="M52" s="25">
        <f>SUM(M45:M51)</f>
        <v>11280</v>
      </c>
      <c r="N52" s="25">
        <f>SUM(N45:N51)</f>
        <v>12876</v>
      </c>
      <c r="P52" s="1" t="s">
        <v>51</v>
      </c>
      <c r="Q52" s="21">
        <v>1.42</v>
      </c>
      <c r="R52" s="21">
        <v>3.88</v>
      </c>
      <c r="S52" s="21">
        <v>0.74</v>
      </c>
      <c r="T52" s="21">
        <v>35.32</v>
      </c>
      <c r="U52" s="21">
        <v>9.52</v>
      </c>
      <c r="V52" s="21">
        <v>91.26</v>
      </c>
      <c r="X52" s="1" t="s">
        <v>105</v>
      </c>
      <c r="Y52" s="21">
        <v>68</v>
      </c>
      <c r="Z52" s="21">
        <v>167</v>
      </c>
      <c r="AA52" s="21">
        <v>242</v>
      </c>
      <c r="AB52" s="21">
        <v>181</v>
      </c>
      <c r="AC52" s="21">
        <v>207</v>
      </c>
      <c r="AD52" s="21">
        <v>217</v>
      </c>
      <c r="AF52" s="49" t="s">
        <v>116</v>
      </c>
      <c r="AG52" s="41">
        <v>18.87</v>
      </c>
      <c r="AH52" s="41">
        <v>9.59</v>
      </c>
      <c r="AI52" s="41">
        <v>7.14</v>
      </c>
      <c r="AJ52" s="41">
        <v>35.880000000000003</v>
      </c>
      <c r="AK52" s="41">
        <v>34.21</v>
      </c>
      <c r="AL52" s="51">
        <v>31.25</v>
      </c>
      <c r="AN52" s="34" t="s">
        <v>97</v>
      </c>
      <c r="AO52" s="72">
        <v>3.8919999999999999</v>
      </c>
      <c r="AP52" s="72">
        <v>13.941000000000001</v>
      </c>
      <c r="AQ52" s="72">
        <v>75.567999999999998</v>
      </c>
      <c r="AR52" s="72">
        <v>39.002000000000002</v>
      </c>
      <c r="AS52" s="73">
        <v>65.623000000000005</v>
      </c>
    </row>
    <row r="53" spans="1:45" x14ac:dyDescent="0.3">
      <c r="A53" s="1" t="s">
        <v>65</v>
      </c>
      <c r="B53" s="21">
        <v>20.7</v>
      </c>
      <c r="C53" s="21">
        <v>40.729999999999997</v>
      </c>
      <c r="D53" s="21">
        <v>36.44</v>
      </c>
      <c r="E53" s="21">
        <v>50.87</v>
      </c>
      <c r="F53" s="21">
        <v>61.04</v>
      </c>
      <c r="G53" s="21">
        <v>49.14</v>
      </c>
      <c r="I53" s="23" t="s">
        <v>83</v>
      </c>
      <c r="J53" s="25">
        <f>SUM(J35,J43,J52)</f>
        <v>18629</v>
      </c>
      <c r="K53" s="25">
        <f>SUM(K35,K43,K52)</f>
        <v>20153</v>
      </c>
      <c r="L53" s="25">
        <f>SUM(L35,L43,L52)</f>
        <v>68757</v>
      </c>
      <c r="M53" s="25">
        <f>SUM(M35,M43,M52)</f>
        <v>70517</v>
      </c>
      <c r="N53" s="25">
        <f>SUM(N35,N43,N52)</f>
        <v>78499</v>
      </c>
      <c r="P53" s="1" t="s">
        <v>95</v>
      </c>
      <c r="Q53" s="21">
        <v>37.93</v>
      </c>
      <c r="R53" s="21">
        <v>61.15</v>
      </c>
      <c r="S53" s="21">
        <v>101.42</v>
      </c>
      <c r="T53" s="21">
        <v>137.88</v>
      </c>
      <c r="U53" s="21">
        <v>207.23</v>
      </c>
      <c r="V53" s="21">
        <v>180.64</v>
      </c>
      <c r="X53" s="1" t="s">
        <v>106</v>
      </c>
      <c r="Y53" s="21">
        <v>528</v>
      </c>
      <c r="Z53" s="21">
        <v>622</v>
      </c>
      <c r="AA53" s="21">
        <v>1052</v>
      </c>
      <c r="AB53" s="21">
        <v>1033</v>
      </c>
      <c r="AC53" s="21">
        <v>1203</v>
      </c>
      <c r="AD53" s="21">
        <v>1746</v>
      </c>
      <c r="AF53" s="49" t="s">
        <v>117</v>
      </c>
      <c r="AG53" s="41">
        <v>278.77999999999997</v>
      </c>
      <c r="AH53" s="41">
        <v>264.98</v>
      </c>
      <c r="AI53" s="41">
        <v>370.89</v>
      </c>
      <c r="AJ53" s="41">
        <v>629.34</v>
      </c>
      <c r="AK53" s="41">
        <v>739.7</v>
      </c>
      <c r="AL53" s="51">
        <v>896.94</v>
      </c>
      <c r="AN53" s="35" t="s">
        <v>62</v>
      </c>
      <c r="AO53" s="67">
        <f>SUM(AO45:AO52)</f>
        <v>2434.9499999999998</v>
      </c>
      <c r="AP53" s="67">
        <f>SUM(AP45:AP52)</f>
        <v>3006.6439999999993</v>
      </c>
      <c r="AQ53" s="67">
        <f>SUM(AQ45:AQ52)</f>
        <v>3945.1769999999997</v>
      </c>
      <c r="AR53" s="67">
        <f>SUM(AR45:AR52)</f>
        <v>4153.2120000000004</v>
      </c>
      <c r="AS53" s="69">
        <f>SUM(AS45:AS52)</f>
        <v>4524.4249999999993</v>
      </c>
    </row>
    <row r="54" spans="1:45" x14ac:dyDescent="0.3">
      <c r="A54" s="1" t="s">
        <v>54</v>
      </c>
      <c r="B54" s="21">
        <v>15.18</v>
      </c>
      <c r="C54" s="21">
        <v>23.77</v>
      </c>
      <c r="D54" s="21">
        <v>111.57</v>
      </c>
      <c r="E54" s="21">
        <v>85.39</v>
      </c>
      <c r="F54" s="21">
        <v>254.78</v>
      </c>
      <c r="G54" s="21">
        <v>241.12</v>
      </c>
      <c r="P54" s="1" t="s">
        <v>96</v>
      </c>
      <c r="Q54" s="21">
        <v>3591.9</v>
      </c>
      <c r="R54" s="21">
        <v>4257.58</v>
      </c>
      <c r="S54" s="21">
        <v>4315.84</v>
      </c>
      <c r="T54" s="21">
        <v>4521.1099999999997</v>
      </c>
      <c r="U54" s="21">
        <v>4590.6000000000004</v>
      </c>
      <c r="V54" s="21">
        <v>4626.66</v>
      </c>
      <c r="X54" s="1" t="s">
        <v>78</v>
      </c>
      <c r="Y54" s="21">
        <v>219</v>
      </c>
      <c r="Z54" s="21">
        <v>239</v>
      </c>
      <c r="AA54" s="21">
        <v>440</v>
      </c>
      <c r="AB54" s="21">
        <v>568</v>
      </c>
      <c r="AC54" s="21">
        <v>670</v>
      </c>
      <c r="AD54" s="21">
        <v>1330</v>
      </c>
      <c r="AF54" s="49" t="s">
        <v>78</v>
      </c>
      <c r="AG54" s="41">
        <v>139.04</v>
      </c>
      <c r="AH54" s="41">
        <v>421.48</v>
      </c>
      <c r="AI54" s="41">
        <v>85.93</v>
      </c>
      <c r="AJ54" s="41">
        <v>79.489999999999995</v>
      </c>
      <c r="AK54" s="41">
        <v>159.62</v>
      </c>
      <c r="AL54" s="51">
        <v>242.91</v>
      </c>
      <c r="AN54" s="35" t="s">
        <v>118</v>
      </c>
      <c r="AO54" s="67">
        <f>AO43+AO53</f>
        <v>4869.5940000000001</v>
      </c>
      <c r="AP54" s="67">
        <f>AP43+AP53</f>
        <v>5371.5909999999985</v>
      </c>
      <c r="AQ54" s="67">
        <f>AQ43+AQ53</f>
        <v>6379.1790000000001</v>
      </c>
      <c r="AR54" s="67">
        <f>AR43+AR53</f>
        <v>8102.5300000000007</v>
      </c>
      <c r="AS54" s="69">
        <f>AS43+AS53</f>
        <v>6404.2739999999994</v>
      </c>
    </row>
    <row r="55" spans="1:45" x14ac:dyDescent="0.3">
      <c r="A55" s="23" t="s">
        <v>62</v>
      </c>
      <c r="B55" s="25">
        <f>SUM(B47:B54)</f>
        <v>725.80000000000007</v>
      </c>
      <c r="C55" s="25">
        <f t="shared" ref="C55:G55" si="45">SUM(C47:C54)</f>
        <v>1105.77</v>
      </c>
      <c r="D55" s="25">
        <f t="shared" si="45"/>
        <v>1218.29</v>
      </c>
      <c r="E55" s="25">
        <f t="shared" si="45"/>
        <v>1467.01</v>
      </c>
      <c r="F55" s="25">
        <f t="shared" si="45"/>
        <v>1979.1399999999999</v>
      </c>
      <c r="G55" s="25">
        <f t="shared" si="45"/>
        <v>2212.16</v>
      </c>
      <c r="P55" s="1" t="s">
        <v>84</v>
      </c>
      <c r="Q55" s="21">
        <v>63.87</v>
      </c>
      <c r="R55" s="21">
        <v>54.06</v>
      </c>
      <c r="S55" s="21">
        <v>50.18</v>
      </c>
      <c r="T55" s="21">
        <v>53.86</v>
      </c>
      <c r="U55" s="21">
        <v>61.54</v>
      </c>
      <c r="V55" s="21">
        <v>56.07</v>
      </c>
      <c r="X55" s="1" t="s">
        <v>65</v>
      </c>
      <c r="Y55" s="21">
        <v>2206</v>
      </c>
      <c r="Z55" s="21">
        <v>2013</v>
      </c>
      <c r="AA55" s="21">
        <v>2523</v>
      </c>
      <c r="AB55" s="21">
        <v>3517</v>
      </c>
      <c r="AC55" s="21">
        <v>4092</v>
      </c>
      <c r="AD55" s="21">
        <v>4441</v>
      </c>
      <c r="AF55" s="49" t="s">
        <v>65</v>
      </c>
      <c r="AG55" s="41">
        <v>41.28</v>
      </c>
      <c r="AH55" s="41">
        <v>46.17</v>
      </c>
      <c r="AI55" s="41">
        <v>71.900000000000006</v>
      </c>
      <c r="AJ55" s="41">
        <v>118.44</v>
      </c>
      <c r="AK55" s="41">
        <v>150.05000000000001</v>
      </c>
      <c r="AL55" s="51">
        <v>172.6</v>
      </c>
      <c r="AN55" s="36" t="s">
        <v>83</v>
      </c>
      <c r="AO55" s="70">
        <f>AO35+AO54</f>
        <v>8458.1909999999989</v>
      </c>
      <c r="AP55" s="70">
        <f>AP35+AP54</f>
        <v>9568.2879999999986</v>
      </c>
      <c r="AQ55" s="70">
        <f>AQ35+AQ54</f>
        <v>11594.666000000001</v>
      </c>
      <c r="AR55" s="70">
        <f>AR35+AR54</f>
        <v>15187.183000000001</v>
      </c>
      <c r="AS55" s="71">
        <f>AS35+AS54</f>
        <v>23143.910000000003</v>
      </c>
    </row>
    <row r="56" spans="1:45" x14ac:dyDescent="0.3">
      <c r="A56" s="23" t="s">
        <v>63</v>
      </c>
      <c r="B56" s="25">
        <f>B35+B44+B55</f>
        <v>12076.449999999999</v>
      </c>
      <c r="C56" s="25">
        <f t="shared" ref="C56:G56" si="46">C35+C44+C55</f>
        <v>13655.970000000001</v>
      </c>
      <c r="D56" s="25">
        <f t="shared" si="46"/>
        <v>15472.64</v>
      </c>
      <c r="E56" s="25">
        <f t="shared" si="46"/>
        <v>18106.29</v>
      </c>
      <c r="F56" s="25">
        <f t="shared" si="46"/>
        <v>21177.200000000001</v>
      </c>
      <c r="G56" s="25">
        <f t="shared" si="46"/>
        <v>24320.29</v>
      </c>
      <c r="P56" s="1" t="s">
        <v>78</v>
      </c>
      <c r="Q56" s="21">
        <v>1394.88</v>
      </c>
      <c r="R56" s="21">
        <v>1491.85</v>
      </c>
      <c r="S56" s="21">
        <v>1812.85</v>
      </c>
      <c r="T56" s="21">
        <v>2407.71</v>
      </c>
      <c r="U56" s="21">
        <v>2179</v>
      </c>
      <c r="V56" s="21">
        <v>1921.5</v>
      </c>
      <c r="X56" s="1" t="s">
        <v>54</v>
      </c>
      <c r="Y56" s="21">
        <v>120</v>
      </c>
      <c r="Z56" s="21">
        <v>30</v>
      </c>
      <c r="AA56" s="21">
        <v>38</v>
      </c>
      <c r="AB56" s="21">
        <v>132</v>
      </c>
      <c r="AC56" s="21">
        <v>100</v>
      </c>
      <c r="AD56" s="21">
        <v>155</v>
      </c>
      <c r="AF56" s="49" t="s">
        <v>54</v>
      </c>
      <c r="AG56" s="41">
        <v>7.23</v>
      </c>
      <c r="AH56" s="41">
        <v>6.45</v>
      </c>
      <c r="AI56" s="41">
        <v>9.59</v>
      </c>
      <c r="AJ56" s="41">
        <v>12.42</v>
      </c>
      <c r="AK56" s="41">
        <v>18.71</v>
      </c>
      <c r="AL56" s="51">
        <v>27.08</v>
      </c>
    </row>
    <row r="57" spans="1:45" x14ac:dyDescent="0.3">
      <c r="P57" s="1" t="s">
        <v>65</v>
      </c>
      <c r="Q57" s="21">
        <v>4072.72</v>
      </c>
      <c r="R57" s="21">
        <v>4294.3999999999996</v>
      </c>
      <c r="S57" s="21">
        <v>5116.03</v>
      </c>
      <c r="T57" s="21">
        <v>5571.35</v>
      </c>
      <c r="U57" s="21">
        <v>5594.72</v>
      </c>
      <c r="V57" s="21">
        <v>6148.27</v>
      </c>
      <c r="X57" s="1" t="s">
        <v>97</v>
      </c>
      <c r="Y57" s="21">
        <v>9</v>
      </c>
      <c r="Z57" s="21">
        <v>80</v>
      </c>
      <c r="AA57" s="21">
        <v>82</v>
      </c>
      <c r="AB57" s="21">
        <v>73</v>
      </c>
      <c r="AC57" s="21">
        <v>63</v>
      </c>
      <c r="AD57" s="21">
        <v>40</v>
      </c>
      <c r="AF57" s="49" t="s">
        <v>97</v>
      </c>
      <c r="AG57" s="41">
        <v>2.0699999999999998</v>
      </c>
      <c r="AH57" s="41">
        <v>2.77</v>
      </c>
      <c r="AI57" s="41">
        <v>6.03</v>
      </c>
      <c r="AJ57" s="41">
        <v>2.44</v>
      </c>
      <c r="AK57" s="41">
        <v>29.95</v>
      </c>
      <c r="AL57" s="51">
        <v>3.72</v>
      </c>
    </row>
    <row r="58" spans="1:45" x14ac:dyDescent="0.3">
      <c r="A58" s="1" t="s">
        <v>495</v>
      </c>
      <c r="B58" s="115">
        <f>B49+B50</f>
        <v>433.45000000000005</v>
      </c>
      <c r="C58" s="115">
        <f t="shared" ref="C58:G58" si="47">C49+C50</f>
        <v>578.13</v>
      </c>
      <c r="D58" s="115">
        <f t="shared" si="47"/>
        <v>589.19999999999993</v>
      </c>
      <c r="E58" s="115">
        <f t="shared" si="47"/>
        <v>753.79</v>
      </c>
      <c r="F58" s="115">
        <f t="shared" si="47"/>
        <v>984.81000000000006</v>
      </c>
      <c r="G58" s="115">
        <f t="shared" si="47"/>
        <v>1070.81</v>
      </c>
      <c r="P58" s="1" t="s">
        <v>54</v>
      </c>
      <c r="Q58" s="21">
        <v>148.18</v>
      </c>
      <c r="R58" s="21">
        <v>194.01</v>
      </c>
      <c r="S58" s="21">
        <v>79.56</v>
      </c>
      <c r="T58" s="21">
        <v>100.56</v>
      </c>
      <c r="U58" s="21">
        <v>106.91</v>
      </c>
      <c r="V58" s="21">
        <v>80.06</v>
      </c>
      <c r="X58" s="23" t="s">
        <v>62</v>
      </c>
      <c r="Y58" s="25">
        <f>SUM(Y49:Y57)</f>
        <v>5628</v>
      </c>
      <c r="Z58" s="25">
        <f t="shared" ref="Z58:AD58" si="48">SUM(Z49:Z57)</f>
        <v>7714</v>
      </c>
      <c r="AA58" s="25">
        <f t="shared" si="48"/>
        <v>10512</v>
      </c>
      <c r="AB58" s="25">
        <f t="shared" si="48"/>
        <v>13264</v>
      </c>
      <c r="AC58" s="25">
        <f t="shared" si="48"/>
        <v>16529</v>
      </c>
      <c r="AD58" s="25">
        <f t="shared" si="48"/>
        <v>25793</v>
      </c>
      <c r="AF58" s="52" t="s">
        <v>62</v>
      </c>
      <c r="AG58" s="33">
        <f>SUM(AG51:AG57)</f>
        <v>487.26999999999992</v>
      </c>
      <c r="AH58" s="33">
        <f t="shared" ref="AH58:AL58" si="49">SUM(AH51:AH57)</f>
        <v>751.43999999999994</v>
      </c>
      <c r="AI58" s="33">
        <f t="shared" si="49"/>
        <v>653.45000000000005</v>
      </c>
      <c r="AJ58" s="33">
        <f t="shared" si="49"/>
        <v>1093.9800000000002</v>
      </c>
      <c r="AK58" s="33">
        <f t="shared" si="49"/>
        <v>1541.4700000000003</v>
      </c>
      <c r="AL58" s="33">
        <f t="shared" si="49"/>
        <v>2010.69</v>
      </c>
    </row>
    <row r="59" spans="1:45" x14ac:dyDescent="0.3">
      <c r="A59" s="1" t="s">
        <v>25</v>
      </c>
      <c r="B59" s="115">
        <f>B6+B7+B8+B12+B14+B16</f>
        <v>4514.3200000000006</v>
      </c>
      <c r="C59" s="115">
        <f t="shared" ref="C59:G59" si="50">C6+C7+C8+C12+C14+C16</f>
        <v>3554.93</v>
      </c>
      <c r="D59" s="115">
        <f t="shared" si="50"/>
        <v>4165.7800000000007</v>
      </c>
      <c r="E59" s="115">
        <f t="shared" si="50"/>
        <v>2829.36</v>
      </c>
      <c r="F59" s="115">
        <f t="shared" si="50"/>
        <v>2867.88</v>
      </c>
      <c r="G59" s="115">
        <f t="shared" si="50"/>
        <v>3295.38</v>
      </c>
      <c r="P59" s="1" t="s">
        <v>97</v>
      </c>
      <c r="Q59" s="21">
        <v>248.87</v>
      </c>
      <c r="R59" s="21">
        <v>332.75</v>
      </c>
      <c r="S59" s="21">
        <v>687.09</v>
      </c>
      <c r="T59" s="21">
        <v>911.62</v>
      </c>
      <c r="U59" s="21">
        <v>940.88</v>
      </c>
      <c r="V59" s="21">
        <v>1229.6500000000001</v>
      </c>
      <c r="X59" s="23" t="s">
        <v>83</v>
      </c>
      <c r="Y59" s="25">
        <f>Y37+Y46+Y58</f>
        <v>13550</v>
      </c>
      <c r="Z59" s="25">
        <f t="shared" ref="Z59:AD59" si="51">Z37+Z46+Z58</f>
        <v>16452</v>
      </c>
      <c r="AA59" s="25">
        <f t="shared" si="51"/>
        <v>21194</v>
      </c>
      <c r="AB59" s="25">
        <f t="shared" si="51"/>
        <v>27023</v>
      </c>
      <c r="AC59" s="25">
        <f t="shared" si="51"/>
        <v>31550</v>
      </c>
      <c r="AD59" s="25">
        <f t="shared" si="51"/>
        <v>40647</v>
      </c>
      <c r="AF59" s="52" t="s">
        <v>118</v>
      </c>
      <c r="AG59" s="33">
        <f t="shared" ref="AG59:AL59" si="52">AG48+AG58</f>
        <v>3039.3199999999997</v>
      </c>
      <c r="AH59" s="33">
        <f t="shared" si="52"/>
        <v>3366.21</v>
      </c>
      <c r="AI59" s="33">
        <f t="shared" si="52"/>
        <v>5316.08</v>
      </c>
      <c r="AJ59" s="33">
        <f t="shared" si="52"/>
        <v>5418.56</v>
      </c>
      <c r="AK59" s="33">
        <f t="shared" si="52"/>
        <v>3059.16</v>
      </c>
      <c r="AL59" s="53">
        <f t="shared" si="52"/>
        <v>3836.2799999999997</v>
      </c>
    </row>
    <row r="60" spans="1:45" ht="15" thickBot="1" x14ac:dyDescent="0.35">
      <c r="C60" s="143">
        <f>(C59-B59)/B59</f>
        <v>-0.21252148717857852</v>
      </c>
      <c r="D60" s="143">
        <f t="shared" ref="D60:G60" si="53">(D59-C59)/C59</f>
        <v>0.17183179415628461</v>
      </c>
      <c r="E60" s="143">
        <f t="shared" si="53"/>
        <v>-0.32080906816970661</v>
      </c>
      <c r="F60" s="143">
        <f t="shared" si="53"/>
        <v>1.361438629230638E-2</v>
      </c>
      <c r="G60" s="143">
        <f t="shared" si="53"/>
        <v>0.1490648144273819</v>
      </c>
      <c r="P60" s="23" t="s">
        <v>62</v>
      </c>
      <c r="Q60" s="25">
        <f>SUM(Q52:Q59)</f>
        <v>9559.77</v>
      </c>
      <c r="R60" s="25">
        <f t="shared" ref="R60:V60" si="54">SUM(R52:R59)</f>
        <v>10689.68</v>
      </c>
      <c r="S60" s="25">
        <f t="shared" si="54"/>
        <v>12163.710000000001</v>
      </c>
      <c r="T60" s="25">
        <f t="shared" si="54"/>
        <v>13739.41</v>
      </c>
      <c r="U60" s="25">
        <f t="shared" si="54"/>
        <v>13690.4</v>
      </c>
      <c r="V60" s="25">
        <f t="shared" si="54"/>
        <v>14334.109999999999</v>
      </c>
      <c r="AF60" s="60" t="s">
        <v>83</v>
      </c>
      <c r="AG60" s="61">
        <f t="shared" ref="AG60:AL60" si="55">AG39+AG59</f>
        <v>5506.68</v>
      </c>
      <c r="AH60" s="61">
        <f t="shared" si="55"/>
        <v>5723.73</v>
      </c>
      <c r="AI60" s="61">
        <f t="shared" si="55"/>
        <v>7726.02</v>
      </c>
      <c r="AJ60" s="61">
        <f t="shared" si="55"/>
        <v>8081.5300000000007</v>
      </c>
      <c r="AK60" s="61">
        <f t="shared" si="55"/>
        <v>7161.75</v>
      </c>
      <c r="AL60" s="62">
        <f t="shared" si="55"/>
        <v>9419.64</v>
      </c>
    </row>
    <row r="61" spans="1:45" x14ac:dyDescent="0.3">
      <c r="C61" s="144">
        <f>AVERAGE(C60:G60)</f>
        <v>-3.976391209446245E-2</v>
      </c>
      <c r="P61" s="23" t="s">
        <v>83</v>
      </c>
      <c r="Q61" s="25">
        <f>Q40+Q49+Q60</f>
        <v>77367.039999999994</v>
      </c>
      <c r="R61" s="25">
        <f t="shared" ref="R61:V61" si="56">R40+R49+R60</f>
        <v>73819.299999999988</v>
      </c>
      <c r="S61" s="25">
        <f t="shared" si="56"/>
        <v>77259.55</v>
      </c>
      <c r="T61" s="25">
        <f t="shared" si="56"/>
        <v>85882.98000000001</v>
      </c>
      <c r="U61" s="25">
        <f t="shared" si="56"/>
        <v>91826.159999999989</v>
      </c>
      <c r="V61" s="25">
        <f t="shared" si="56"/>
        <v>88090.680000000008</v>
      </c>
    </row>
    <row r="62" spans="1:45" x14ac:dyDescent="0.3">
      <c r="A62" s="1" t="s">
        <v>39</v>
      </c>
      <c r="B62" s="115">
        <f>B24+B25+B26+B21</f>
        <v>274.85000000000002</v>
      </c>
      <c r="C62" s="115">
        <f t="shared" ref="C62:G62" si="57">C24+C25+C26+C21</f>
        <v>1577.77</v>
      </c>
      <c r="D62" s="115">
        <f t="shared" si="57"/>
        <v>538.17999999999995</v>
      </c>
      <c r="E62" s="115">
        <f t="shared" si="57"/>
        <v>1935.6000000000001</v>
      </c>
      <c r="F62" s="115">
        <f t="shared" si="57"/>
        <v>1771.23</v>
      </c>
      <c r="G62" s="115">
        <f t="shared" si="57"/>
        <v>838.56000000000006</v>
      </c>
    </row>
    <row r="63" spans="1:45" x14ac:dyDescent="0.3">
      <c r="A63" s="1" t="s">
        <v>555</v>
      </c>
      <c r="B63" s="115">
        <f>'Income Statement'!B4</f>
        <v>24870.2</v>
      </c>
      <c r="C63" s="115">
        <f>'Income Statement'!C4</f>
        <v>24143.06</v>
      </c>
      <c r="D63" s="115">
        <f>'Income Statement'!D4</f>
        <v>30976.27</v>
      </c>
      <c r="E63" s="115">
        <f>'Income Statement'!E4</f>
        <v>42839.56</v>
      </c>
      <c r="F63" s="115">
        <f>'Income Statement'!F4</f>
        <v>50788.83</v>
      </c>
      <c r="G63" s="115">
        <f>'Income Statement'!G4</f>
        <v>59358.05</v>
      </c>
    </row>
    <row r="64" spans="1:45" x14ac:dyDescent="0.3">
      <c r="A64" s="1" t="s">
        <v>567</v>
      </c>
      <c r="B64" s="143">
        <f>B62/B63</f>
        <v>1.1051378758514207E-2</v>
      </c>
      <c r="C64" s="143">
        <f t="shared" ref="C64:G64" si="58">C62/C63</f>
        <v>6.5350871016350037E-2</v>
      </c>
      <c r="D64" s="143">
        <f t="shared" si="58"/>
        <v>1.7373944635684025E-2</v>
      </c>
      <c r="E64" s="143">
        <f t="shared" si="58"/>
        <v>4.5182536888800917E-2</v>
      </c>
      <c r="F64" s="143">
        <f t="shared" si="58"/>
        <v>3.4874400532558046E-2</v>
      </c>
      <c r="G64" s="143">
        <f t="shared" si="58"/>
        <v>1.4127148718665793E-2</v>
      </c>
    </row>
    <row r="65" spans="1:2" x14ac:dyDescent="0.3">
      <c r="A65" s="1" t="s">
        <v>557</v>
      </c>
      <c r="B65" s="144">
        <f>AVERAGE(B64:G64)</f>
        <v>3.1326713425095506E-2</v>
      </c>
    </row>
  </sheetData>
  <pageMargins left="0.7" right="0.7" top="0.75" bottom="0.75" header="0.3" footer="0.3"/>
  <drawing r:id="rId1"/>
  <tableParts count="6">
    <tablePart r:id="rId2"/>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5B8F0-76B0-4EEE-8FBB-55C1CC98D03F}">
  <dimension ref="A1:AS28"/>
  <sheetViews>
    <sheetView topLeftCell="A6" workbookViewId="0"/>
  </sheetViews>
  <sheetFormatPr defaultRowHeight="14.4" x14ac:dyDescent="0.3"/>
  <cols>
    <col min="1" max="1" width="50.5546875" style="1" bestFit="1" customWidth="1"/>
    <col min="2" max="7" width="8.88671875" style="3"/>
    <col min="8" max="8" width="8.88671875" style="1"/>
    <col min="9" max="9" width="50.5546875" style="1" bestFit="1" customWidth="1"/>
    <col min="10" max="15" width="8.88671875" style="1"/>
    <col min="16" max="16" width="50.5546875" style="1" bestFit="1" customWidth="1"/>
    <col min="17" max="23" width="8.88671875" style="1"/>
    <col min="24" max="24" width="50.5546875" style="1" bestFit="1" customWidth="1"/>
    <col min="25" max="31" width="8.88671875" style="1"/>
    <col min="32" max="32" width="50.5546875" style="1" bestFit="1" customWidth="1"/>
    <col min="33" max="39" width="8.88671875" style="1"/>
    <col min="40" max="40" width="50.5546875" style="1" bestFit="1" customWidth="1"/>
    <col min="41" max="16384" width="8.88671875" style="1"/>
  </cols>
  <sheetData>
    <row r="1" spans="1:45" ht="42.6" customHeight="1" x14ac:dyDescent="0.3">
      <c r="A1" s="79" t="s">
        <v>485</v>
      </c>
      <c r="F1" s="280" t="e" vm="13">
        <v>#VALUE!</v>
      </c>
      <c r="G1" s="280"/>
      <c r="I1" s="79" t="s">
        <v>485</v>
      </c>
      <c r="M1" s="280" t="e" vm="6">
        <v>#VALUE!</v>
      </c>
      <c r="N1" s="280"/>
      <c r="P1" s="79" t="s">
        <v>485</v>
      </c>
      <c r="U1" s="280" t="e" vm="2">
        <v>#VALUE!</v>
      </c>
      <c r="V1" s="280"/>
      <c r="X1" s="79" t="s">
        <v>485</v>
      </c>
      <c r="AC1" s="280" t="e" vm="5">
        <v>#VALUE!</v>
      </c>
      <c r="AD1" s="280"/>
      <c r="AF1" s="79" t="s">
        <v>485</v>
      </c>
      <c r="AK1" s="280" t="e" vm="14">
        <v>#VALUE!</v>
      </c>
      <c r="AL1" s="280"/>
      <c r="AN1" s="79" t="s">
        <v>485</v>
      </c>
      <c r="AR1" s="280" t="e" vm="4">
        <v>#VALUE!</v>
      </c>
      <c r="AS1" s="280"/>
    </row>
    <row r="2" spans="1:45" x14ac:dyDescent="0.3">
      <c r="A2" s="23" t="s">
        <v>1</v>
      </c>
      <c r="B2" s="75" t="s">
        <v>27</v>
      </c>
      <c r="C2" s="75" t="s">
        <v>28</v>
      </c>
      <c r="D2" s="75" t="s">
        <v>29</v>
      </c>
      <c r="E2" s="75" t="s">
        <v>30</v>
      </c>
      <c r="F2" s="75" t="s">
        <v>31</v>
      </c>
      <c r="G2" s="75" t="s">
        <v>32</v>
      </c>
      <c r="I2" s="23" t="s">
        <v>1</v>
      </c>
      <c r="J2" s="75" t="s">
        <v>27</v>
      </c>
      <c r="K2" s="75" t="s">
        <v>28</v>
      </c>
      <c r="L2" s="75" t="s">
        <v>29</v>
      </c>
      <c r="M2" s="75" t="s">
        <v>30</v>
      </c>
      <c r="N2" s="75" t="s">
        <v>31</v>
      </c>
      <c r="P2" s="23" t="s">
        <v>1</v>
      </c>
      <c r="Q2" s="75" t="s">
        <v>27</v>
      </c>
      <c r="R2" s="75" t="s">
        <v>28</v>
      </c>
      <c r="S2" s="75" t="s">
        <v>29</v>
      </c>
      <c r="T2" s="75" t="s">
        <v>30</v>
      </c>
      <c r="U2" s="75" t="s">
        <v>31</v>
      </c>
      <c r="V2" s="75" t="s">
        <v>32</v>
      </c>
      <c r="X2" s="23" t="s">
        <v>1</v>
      </c>
      <c r="Y2" s="75" t="s">
        <v>27</v>
      </c>
      <c r="Z2" s="75" t="s">
        <v>28</v>
      </c>
      <c r="AA2" s="75" t="s">
        <v>29</v>
      </c>
      <c r="AB2" s="75" t="s">
        <v>30</v>
      </c>
      <c r="AC2" s="75" t="s">
        <v>31</v>
      </c>
      <c r="AD2" s="75" t="s">
        <v>32</v>
      </c>
      <c r="AF2" s="23" t="s">
        <v>1</v>
      </c>
      <c r="AG2" s="75" t="s">
        <v>27</v>
      </c>
      <c r="AH2" s="75" t="s">
        <v>28</v>
      </c>
      <c r="AI2" s="75" t="s">
        <v>29</v>
      </c>
      <c r="AJ2" s="75" t="s">
        <v>30</v>
      </c>
      <c r="AK2" s="75" t="s">
        <v>31</v>
      </c>
      <c r="AL2" s="75" t="s">
        <v>32</v>
      </c>
      <c r="AN2" s="23" t="s">
        <v>1</v>
      </c>
      <c r="AO2" s="75" t="s">
        <v>27</v>
      </c>
      <c r="AP2" s="75" t="s">
        <v>28</v>
      </c>
      <c r="AQ2" s="75" t="s">
        <v>29</v>
      </c>
      <c r="AR2" s="75" t="s">
        <v>30</v>
      </c>
      <c r="AS2" s="75" t="s">
        <v>31</v>
      </c>
    </row>
    <row r="3" spans="1:45" x14ac:dyDescent="0.3">
      <c r="A3" s="18" t="s">
        <v>12</v>
      </c>
      <c r="B3" s="64"/>
      <c r="C3" s="64"/>
      <c r="D3" s="64"/>
      <c r="E3" s="64"/>
      <c r="F3" s="64"/>
      <c r="G3" s="64"/>
      <c r="I3" s="18" t="s">
        <v>12</v>
      </c>
      <c r="J3" s="64"/>
      <c r="K3" s="64"/>
      <c r="L3" s="64"/>
      <c r="M3" s="64"/>
      <c r="N3" s="64"/>
      <c r="P3" s="18" t="s">
        <v>12</v>
      </c>
      <c r="Q3" s="64"/>
      <c r="R3" s="64"/>
      <c r="S3" s="64"/>
      <c r="T3" s="64"/>
      <c r="U3" s="64"/>
      <c r="V3" s="64"/>
      <c r="X3" s="18" t="s">
        <v>12</v>
      </c>
      <c r="Y3" s="64"/>
      <c r="Z3" s="64"/>
      <c r="AA3" s="64"/>
      <c r="AB3" s="64"/>
      <c r="AC3" s="64"/>
      <c r="AD3" s="64"/>
      <c r="AF3" s="18" t="s">
        <v>12</v>
      </c>
      <c r="AG3" s="64"/>
      <c r="AH3" s="64"/>
      <c r="AI3" s="64"/>
      <c r="AJ3" s="64"/>
      <c r="AK3" s="64"/>
      <c r="AL3" s="64"/>
      <c r="AN3" s="18" t="s">
        <v>12</v>
      </c>
      <c r="AO3" s="64"/>
      <c r="AP3" s="64"/>
      <c r="AQ3" s="64"/>
      <c r="AR3" s="64"/>
      <c r="AS3" s="64"/>
    </row>
    <row r="4" spans="1:45" x14ac:dyDescent="0.3">
      <c r="A4" s="34" t="s">
        <v>486</v>
      </c>
      <c r="B4" s="96">
        <f>'Balance Sheet'!B5/'Balance Sheet'!B28</f>
        <v>0.42291898695394758</v>
      </c>
      <c r="C4" s="96">
        <f>'Balance Sheet'!C5/'Balance Sheet'!C28</f>
        <v>0.43486475146035031</v>
      </c>
      <c r="D4" s="96">
        <f>'Balance Sheet'!D5/'Balance Sheet'!D28</f>
        <v>0.5022064754301786</v>
      </c>
      <c r="E4" s="96">
        <f>'Balance Sheet'!E5/'Balance Sheet'!E28</f>
        <v>0.53713095618777462</v>
      </c>
      <c r="F4" s="96">
        <f>'Balance Sheet'!F5/'Balance Sheet'!F28</f>
        <v>0.5552759571614756</v>
      </c>
      <c r="G4" s="96">
        <f>'Balance Sheet'!G5/'Balance Sheet'!G28</f>
        <v>0.59003531619071992</v>
      </c>
      <c r="I4" s="34" t="s">
        <v>486</v>
      </c>
      <c r="J4" s="96">
        <f>'Balance Sheet'!J5/'Balance Sheet'!J29</f>
        <v>0.22502549787965001</v>
      </c>
      <c r="K4" s="96">
        <f>'Balance Sheet'!K5/'Balance Sheet'!K29</f>
        <v>0.24611720339403562</v>
      </c>
      <c r="L4" s="96">
        <f>'Balance Sheet'!L5/'Balance Sheet'!L29</f>
        <v>8.8950943176694733E-2</v>
      </c>
      <c r="M4" s="96">
        <f>'Balance Sheet'!M5/'Balance Sheet'!M29</f>
        <v>8.7482451040174714E-2</v>
      </c>
      <c r="N4" s="96">
        <f>'Balance Sheet'!N5/'Balance Sheet'!N29</f>
        <v>0.10230703575841731</v>
      </c>
      <c r="P4" s="34" t="s">
        <v>486</v>
      </c>
      <c r="Q4" s="96">
        <f>'Balance Sheet'!Q5/'Balance Sheet'!Q33</f>
        <v>0.2537646716982927</v>
      </c>
      <c r="R4" s="96">
        <f>'Balance Sheet'!R5/'Balance Sheet'!R33</f>
        <v>0.25947062624543987</v>
      </c>
      <c r="S4" s="96">
        <f>'Balance Sheet'!S5/'Balance Sheet'!S33</f>
        <v>0.26155252004444751</v>
      </c>
      <c r="T4" s="96">
        <f>'Balance Sheet'!T5/'Balance Sheet'!T33</f>
        <v>0.24588183732838276</v>
      </c>
      <c r="U4" s="96">
        <f>'Balance Sheet'!U5/'Balance Sheet'!U33</f>
        <v>0.25136987106942077</v>
      </c>
      <c r="V4" s="96">
        <f>'Balance Sheet'!V5/'Balance Sheet'!V33</f>
        <v>0.19785169100749364</v>
      </c>
      <c r="X4" s="34" t="s">
        <v>486</v>
      </c>
      <c r="Y4" s="96">
        <f>'Balance Sheet'!Y5/'Balance Sheet'!Y30</f>
        <v>9.4833948339483401E-2</v>
      </c>
      <c r="Z4" s="96">
        <f>'Balance Sheet'!Z5/'Balance Sheet'!Z30</f>
        <v>7.3911986384634087E-2</v>
      </c>
      <c r="AA4" s="96">
        <f>'Balance Sheet'!AA5/'Balance Sheet'!AA30</f>
        <v>5.7469095026894401E-2</v>
      </c>
      <c r="AB4" s="96">
        <f>'Balance Sheet'!AB5/'Balance Sheet'!AB30</f>
        <v>4.9698405062354289E-2</v>
      </c>
      <c r="AC4" s="96">
        <f>'Balance Sheet'!AC5/'Balance Sheet'!AC30</f>
        <v>5.5055467511885899E-2</v>
      </c>
      <c r="AD4" s="96">
        <f>'Balance Sheet'!AD5/'Balance Sheet'!AD30</f>
        <v>4.5612222304229094E-2</v>
      </c>
      <c r="AF4" s="34" t="s">
        <v>486</v>
      </c>
      <c r="AG4" s="96">
        <f>'Balance Sheet'!AG5/'Balance Sheet'!AG32</f>
        <v>0.1188810680845809</v>
      </c>
      <c r="AH4" s="96">
        <f>'Balance Sheet'!AH5/'Balance Sheet'!AH32</f>
        <v>0.11189381749313822</v>
      </c>
      <c r="AI4" s="96">
        <f>'Balance Sheet'!AI5/'Balance Sheet'!AI32</f>
        <v>9.3830976362991536E-2</v>
      </c>
      <c r="AJ4" s="96">
        <f>'Balance Sheet'!AJ5/'Balance Sheet'!AJ32</f>
        <v>0.10779889451626114</v>
      </c>
      <c r="AK4" s="96">
        <f>'Balance Sheet'!AK5/'Balance Sheet'!AK32</f>
        <v>0.16006143749781826</v>
      </c>
      <c r="AL4" s="96">
        <f>'Balance Sheet'!AL5/'Balance Sheet'!AL32</f>
        <v>0.21956677749892772</v>
      </c>
      <c r="AN4" s="34" t="s">
        <v>486</v>
      </c>
      <c r="AO4" s="96">
        <f>'Balance Sheet'!AO5/'Balance Sheet'!AO28</f>
        <v>0.68892458523100697</v>
      </c>
      <c r="AP4" s="96">
        <f>'Balance Sheet'!AP5/'Balance Sheet'!AP28</f>
        <v>0.53801202059301456</v>
      </c>
      <c r="AQ4" s="96">
        <f>'Balance Sheet'!AQ5/'Balance Sheet'!AQ28</f>
        <v>0.46836496706085429</v>
      </c>
      <c r="AR4" s="96">
        <f>'Balance Sheet'!AR5/'Balance Sheet'!AR28</f>
        <v>0.44795219758660965</v>
      </c>
      <c r="AS4" s="96">
        <f>'Balance Sheet'!AS5/'Balance Sheet'!AS28</f>
        <v>0.4589782366073839</v>
      </c>
    </row>
    <row r="5" spans="1:45" x14ac:dyDescent="0.3">
      <c r="A5" s="34" t="s">
        <v>487</v>
      </c>
      <c r="B5" s="96">
        <f>'Balance Sheet'!B7/'Balance Sheet'!B28</f>
        <v>5.9399078371541313E-2</v>
      </c>
      <c r="C5" s="96">
        <f>'Balance Sheet'!C7/'Balance Sheet'!C28</f>
        <v>7.0316498937827196E-2</v>
      </c>
      <c r="D5" s="96">
        <f>'Balance Sheet'!D7/'Balance Sheet'!D28</f>
        <v>8.9748743588682983E-2</v>
      </c>
      <c r="E5" s="96">
        <f>'Balance Sheet'!E7/'Balance Sheet'!E28</f>
        <v>8.3112281219158313E-2</v>
      </c>
      <c r="F5" s="96">
        <f>'Balance Sheet'!F7/'Balance Sheet'!F28</f>
        <v>7.267721889579358E-2</v>
      </c>
      <c r="G5" s="96">
        <f>'Balance Sheet'!G7/'Balance Sheet'!G28</f>
        <v>7.1616333522338774E-2</v>
      </c>
      <c r="I5" s="34" t="s">
        <v>487</v>
      </c>
      <c r="J5" s="96">
        <v>0</v>
      </c>
      <c r="K5" s="96">
        <v>1</v>
      </c>
      <c r="L5" s="96">
        <v>2</v>
      </c>
      <c r="M5" s="96">
        <v>3</v>
      </c>
      <c r="N5" s="96">
        <v>4</v>
      </c>
      <c r="P5" s="34" t="s">
        <v>487</v>
      </c>
      <c r="Q5" s="96">
        <f>'Balance Sheet'!Q11/'Balance Sheet'!Q33</f>
        <v>1.2500995261006552E-2</v>
      </c>
      <c r="R5" s="96">
        <f>'Balance Sheet'!R11/'Balance Sheet'!R33</f>
        <v>1.3237595046281934E-2</v>
      </c>
      <c r="S5" s="96">
        <f>'Balance Sheet'!S11/'Balance Sheet'!S33</f>
        <v>1.1223596306217158E-2</v>
      </c>
      <c r="T5" s="96">
        <f>'Balance Sheet'!T11/'Balance Sheet'!T33</f>
        <v>1.0186886898169323E-2</v>
      </c>
      <c r="U5" s="96">
        <f>'Balance Sheet'!U11/'Balance Sheet'!U33</f>
        <v>1.0227150955675376E-2</v>
      </c>
      <c r="V5" s="96">
        <f>'Balance Sheet'!V11/'Balance Sheet'!V33</f>
        <v>6.605579614097655E-3</v>
      </c>
      <c r="X5" s="34" t="s">
        <v>487</v>
      </c>
      <c r="Y5" s="96">
        <f>'Balance Sheet'!Y7/'Balance Sheet'!Y30</f>
        <v>6.9003690036900364E-2</v>
      </c>
      <c r="Z5" s="96">
        <f>'Balance Sheet'!Z7/'Balance Sheet'!Z30</f>
        <v>5.573790420617554E-2</v>
      </c>
      <c r="AA5" s="96">
        <f>'Balance Sheet'!AA7/'Balance Sheet'!AA30</f>
        <v>4.5909219590450127E-2</v>
      </c>
      <c r="AB5" s="96">
        <f>'Balance Sheet'!AB7/'Balance Sheet'!AB30</f>
        <v>4.7552085260703848E-2</v>
      </c>
      <c r="AC5" s="96">
        <f>'Balance Sheet'!AC7/'Balance Sheet'!AC30</f>
        <v>4.890649762282092E-2</v>
      </c>
      <c r="AD5" s="96">
        <f>'Balance Sheet'!AD7/'Balance Sheet'!AD30</f>
        <v>4.3644057372007772E-2</v>
      </c>
      <c r="AF5" s="34" t="s">
        <v>487</v>
      </c>
      <c r="AG5" s="96">
        <f>'Balance Sheet'!AG10/'Balance Sheet'!AG32</f>
        <v>0.36057479279711185</v>
      </c>
      <c r="AH5" s="96">
        <f>'Balance Sheet'!AH10/'Balance Sheet'!AH32</f>
        <v>0.40506627671116557</v>
      </c>
      <c r="AI5" s="96">
        <f>'Balance Sheet'!AI10/'Balance Sheet'!AI32</f>
        <v>0.50015531929764601</v>
      </c>
      <c r="AJ5" s="96">
        <f>'Balance Sheet'!AJ10/'Balance Sheet'!AJ32</f>
        <v>0.43930295377236728</v>
      </c>
      <c r="AK5" s="96">
        <f>'Balance Sheet'!AK10/'Balance Sheet'!AK32</f>
        <v>0.1678542255733585</v>
      </c>
      <c r="AL5" s="96">
        <f>'Balance Sheet'!AL10/'Balance Sheet'!AL32</f>
        <v>0.18331379967811931</v>
      </c>
      <c r="AN5" s="34" t="s">
        <v>487</v>
      </c>
      <c r="AO5" s="96">
        <f>'Balance Sheet'!AO7/'Balance Sheet'!AO28</f>
        <v>0</v>
      </c>
      <c r="AP5" s="96">
        <f>'Balance Sheet'!AP7/'Balance Sheet'!AP28</f>
        <v>5.9779333722261477E-2</v>
      </c>
      <c r="AQ5" s="96">
        <f>'Balance Sheet'!AQ7/'Balance Sheet'!AQ28</f>
        <v>7.8798575653823047E-2</v>
      </c>
      <c r="AR5" s="96">
        <f>'Balance Sheet'!AR7/'Balance Sheet'!AR28</f>
        <v>6.8130278011399481E-2</v>
      </c>
      <c r="AS5" s="96">
        <f>'Balance Sheet'!AS7/'Balance Sheet'!AS28</f>
        <v>5.889765385364875E-2</v>
      </c>
    </row>
    <row r="6" spans="1:45" x14ac:dyDescent="0.3">
      <c r="A6" s="34" t="s">
        <v>19</v>
      </c>
      <c r="B6" s="96">
        <f>'Balance Sheet'!B10/'Balance Sheet'!B28</f>
        <v>2.363277287613496E-3</v>
      </c>
      <c r="C6" s="96">
        <f>'Balance Sheet'!C10/'Balance Sheet'!C28</f>
        <v>1.6271271832026578E-3</v>
      </c>
      <c r="D6" s="96">
        <f>'Balance Sheet'!D10/'Balance Sheet'!D28</f>
        <v>8.7961718232958282E-4</v>
      </c>
      <c r="E6" s="96">
        <f>'Balance Sheet'!E10/'Balance Sheet'!E28</f>
        <v>1.2801968785950307E-3</v>
      </c>
      <c r="F6" s="96">
        <f>'Balance Sheet'!F10/'Balance Sheet'!F28</f>
        <v>1.4331450805583363E-3</v>
      </c>
      <c r="G6" s="96">
        <f>'Balance Sheet'!G10/'Balance Sheet'!G28</f>
        <v>1.1915976330874347E-3</v>
      </c>
      <c r="I6" s="34" t="s">
        <v>19</v>
      </c>
      <c r="J6" s="96">
        <f>'Balance Sheet'!J8/'Balance Sheet'!J29</f>
        <v>2.1793977132427936E-2</v>
      </c>
      <c r="K6" s="96">
        <f>'Balance Sheet'!K8/'Balance Sheet'!K29</f>
        <v>1.9947402371855306E-2</v>
      </c>
      <c r="L6" s="96">
        <f>'Balance Sheet'!L8/'Balance Sheet'!L29</f>
        <v>0.4062131855665605</v>
      </c>
      <c r="M6" s="96">
        <f>'Balance Sheet'!M8/'Balance Sheet'!M29</f>
        <v>0.39574854290454786</v>
      </c>
      <c r="N6" s="96">
        <f>'Balance Sheet'!N8/'Balance Sheet'!N29</f>
        <v>0.35983897884049476</v>
      </c>
      <c r="P6" s="34" t="s">
        <v>19</v>
      </c>
      <c r="Q6" s="96">
        <f>('Balance Sheet'!Q9+'Balance Sheet'!Q10)/'Balance Sheet'!Q33</f>
        <v>6.8533414401866239E-3</v>
      </c>
      <c r="R6" s="96">
        <f>('Balance Sheet'!R9+'Balance Sheet'!R10)/'Balance Sheet'!R33</f>
        <v>2.7335669669043189E-2</v>
      </c>
      <c r="S6" s="96">
        <f>('Balance Sheet'!S9+'Balance Sheet'!S10)/'Balance Sheet'!S33</f>
        <v>2.6406961987223577E-2</v>
      </c>
      <c r="T6" s="96">
        <f>('Balance Sheet'!T9+'Balance Sheet'!T10)/'Balance Sheet'!T33</f>
        <v>3.1972698658732777E-2</v>
      </c>
      <c r="U6" s="96">
        <f>('Balance Sheet'!U9+'Balance Sheet'!U10)/'Balance Sheet'!U33</f>
        <v>2.9269981451908691E-2</v>
      </c>
      <c r="V6" s="96">
        <f>('Balance Sheet'!V9+'Balance Sheet'!V10)/'Balance Sheet'!V33</f>
        <v>3.0968656389075439E-2</v>
      </c>
      <c r="X6" s="34" t="s">
        <v>19</v>
      </c>
      <c r="Y6" s="96">
        <f>('Balance Sheet'!Y10+'Balance Sheet'!Y11)/'Balance Sheet'!Y30</f>
        <v>2.014760147601476E-2</v>
      </c>
      <c r="Z6" s="96">
        <f>('Balance Sheet'!Z10+'Balance Sheet'!Z11)/'Balance Sheet'!Z30</f>
        <v>1.5560418186238755E-2</v>
      </c>
      <c r="AA6" s="96">
        <f>('Balance Sheet'!AA10+'Balance Sheet'!AA11)/'Balance Sheet'!AA30</f>
        <v>1.1559875436444277E-2</v>
      </c>
      <c r="AB6" s="96">
        <f>('Balance Sheet'!AB10+'Balance Sheet'!AB11)/'Balance Sheet'!AB30</f>
        <v>9.5104170521407693E-3</v>
      </c>
      <c r="AC6" s="96">
        <f>('Balance Sheet'!AC10+'Balance Sheet'!AC11)/'Balance Sheet'!AC30</f>
        <v>9.952456418383519E-3</v>
      </c>
      <c r="AD6" s="96">
        <f>('Balance Sheet'!AD10+'Balance Sheet'!AD11)/'Balance Sheet'!AD30</f>
        <v>7.9218638521908139E-3</v>
      </c>
      <c r="AF6" s="34" t="s">
        <v>19</v>
      </c>
      <c r="AG6" s="96">
        <f>('Balance Sheet'!AG9)/'Balance Sheet'!AG32</f>
        <v>7.6761315347904724E-3</v>
      </c>
      <c r="AH6" s="96">
        <f>('Balance Sheet'!AH9)/'Balance Sheet'!AH32</f>
        <v>6.9150711162126784E-3</v>
      </c>
      <c r="AI6" s="96">
        <f>('Balance Sheet'!AI9)/'Balance Sheet'!AI32</f>
        <v>5.5047747740751369E-3</v>
      </c>
      <c r="AJ6" s="96">
        <f>('Balance Sheet'!AJ9)/'Balance Sheet'!AJ32</f>
        <v>6.3366713976190144E-3</v>
      </c>
      <c r="AK6" s="96">
        <f>('Balance Sheet'!AK9)/'Balance Sheet'!AK32</f>
        <v>6.6143051628442763E-3</v>
      </c>
      <c r="AL6" s="96">
        <f>('Balance Sheet'!AL9)/'Balance Sheet'!AL32</f>
        <v>4.8929683087676383E-3</v>
      </c>
      <c r="AN6" s="34" t="s">
        <v>19</v>
      </c>
      <c r="AO6" s="96">
        <f>'Balance Sheet'!AO9/'Balance Sheet'!AO28</f>
        <v>6.5875593479273756E-2</v>
      </c>
      <c r="AP6" s="96">
        <f>'Balance Sheet'!AP9/'Balance Sheet'!AP28</f>
        <v>5.8294762306810036E-2</v>
      </c>
      <c r="AQ6" s="96">
        <f>'Balance Sheet'!AQ9/'Balance Sheet'!AQ28</f>
        <v>4.7417668919474319E-2</v>
      </c>
      <c r="AR6" s="96">
        <f>'Balance Sheet'!AR9/'Balance Sheet'!AR28</f>
        <v>3.6023797171601868E-2</v>
      </c>
      <c r="AS6" s="96">
        <f>'Balance Sheet'!AS9/'Balance Sheet'!AS28</f>
        <v>4.8182264794496686E-2</v>
      </c>
    </row>
    <row r="7" spans="1:45" x14ac:dyDescent="0.3">
      <c r="A7" s="34" t="s">
        <v>488</v>
      </c>
      <c r="B7" s="96">
        <f>'Balance Sheet'!B13/'Balance Sheet'!B28</f>
        <v>0</v>
      </c>
      <c r="C7" s="96">
        <f>'Balance Sheet'!C13/'Balance Sheet'!C28</f>
        <v>0</v>
      </c>
      <c r="D7" s="96">
        <f>'Balance Sheet'!D13/'Balance Sheet'!D28</f>
        <v>6.4630211780277951E-7</v>
      </c>
      <c r="E7" s="96">
        <f>'Balance Sheet'!E13/'Balance Sheet'!E28</f>
        <v>5.5228510724548345E-7</v>
      </c>
      <c r="F7" s="96">
        <f>'Balance Sheet'!F13/'Balance Sheet'!F28</f>
        <v>1.1085507054757002E-2</v>
      </c>
      <c r="G7" s="96">
        <f>'Balance Sheet'!G13/'Balance Sheet'!G28</f>
        <v>6.9127465174140621E-3</v>
      </c>
      <c r="I7" s="34" t="s">
        <v>488</v>
      </c>
      <c r="J7" s="96">
        <f>'Balance Sheet'!J11/'Balance Sheet'!J29</f>
        <v>1.0735949326319179E-4</v>
      </c>
      <c r="K7" s="96">
        <f>'Balance Sheet'!K11/'Balance Sheet'!K29</f>
        <v>9.9240807820175653E-5</v>
      </c>
      <c r="L7" s="96">
        <f>'Balance Sheet'!L11/'Balance Sheet'!L29</f>
        <v>2.9087947408991083E-5</v>
      </c>
      <c r="M7" s="96">
        <f>'Balance Sheet'!M11/'Balance Sheet'!M29</f>
        <v>2.8361955273196536E-5</v>
      </c>
      <c r="N7" s="96">
        <f>'Balance Sheet'!N11/'Balance Sheet'!N29</f>
        <v>2.5478031567281113E-5</v>
      </c>
      <c r="P7" s="34" t="s">
        <v>488</v>
      </c>
      <c r="Q7" s="96">
        <f>'Balance Sheet'!Q14/'Balance Sheet'!Q33</f>
        <v>0.13505123138344899</v>
      </c>
      <c r="R7" s="96">
        <f>'Balance Sheet'!R14/'Balance Sheet'!R33</f>
        <v>0.13224170372788688</v>
      </c>
      <c r="S7" s="96">
        <f>'Balance Sheet'!S14/'Balance Sheet'!S33</f>
        <v>0.15930056543171681</v>
      </c>
      <c r="T7" s="96">
        <f>'Balance Sheet'!T14/'Balance Sheet'!T33</f>
        <v>0.13791525117438896</v>
      </c>
      <c r="U7" s="96">
        <f>'Balance Sheet'!U14/'Balance Sheet'!U33</f>
        <v>0.19188290134314664</v>
      </c>
      <c r="V7" s="96">
        <f>'Balance Sheet'!V14/'Balance Sheet'!V33</f>
        <v>0.15575472910414589</v>
      </c>
      <c r="X7" s="34" t="s">
        <v>488</v>
      </c>
      <c r="Y7" s="96">
        <f>'Balance Sheet'!Y12/'Balance Sheet'!Y30</f>
        <v>3.2472324723247232E-3</v>
      </c>
      <c r="Z7" s="96">
        <f>'Balance Sheet'!Z12/'Balance Sheet'!Z30</f>
        <v>1.1548747872599076E-3</v>
      </c>
      <c r="AA7" s="96">
        <f>'Balance Sheet'!AA12/'Balance Sheet'!AA30</f>
        <v>1.3164103048032462E-2</v>
      </c>
      <c r="AB7" s="96">
        <f>'Balance Sheet'!AB12/'Balance Sheet'!AB30</f>
        <v>1.2988935351367354E-2</v>
      </c>
      <c r="AC7" s="96">
        <f>'Balance Sheet'!AC12/'Balance Sheet'!AC30</f>
        <v>2.1521394611727418E-2</v>
      </c>
      <c r="AD7" s="96">
        <f>'Balance Sheet'!AD12/'Balance Sheet'!AD30</f>
        <v>1.6015942135950992E-2</v>
      </c>
      <c r="AF7" s="34" t="s">
        <v>488</v>
      </c>
      <c r="AG7" s="96">
        <f>'Balance Sheet'!AG11/'Balance Sheet'!AG32</f>
        <v>0.13363950692613333</v>
      </c>
      <c r="AH7" s="96">
        <f>'Balance Sheet'!AH11/'Balance Sheet'!AH32</f>
        <v>0.14267444481133804</v>
      </c>
      <c r="AI7" s="96">
        <f>'Balance Sheet'!AI11/'Balance Sheet'!AI32</f>
        <v>9.8031069036839114E-2</v>
      </c>
      <c r="AJ7" s="96">
        <f>'Balance Sheet'!AJ11/'Balance Sheet'!AJ32</f>
        <v>6.9804851309096166E-2</v>
      </c>
      <c r="AK7" s="96">
        <f>'Balance Sheet'!AK11/'Balance Sheet'!AK32</f>
        <v>9.7219255070338947E-2</v>
      </c>
      <c r="AL7" s="96">
        <f>'Balance Sheet'!AL11/'Balance Sheet'!AL32</f>
        <v>8.9765638601899844E-2</v>
      </c>
      <c r="AN7" s="34" t="s">
        <v>488</v>
      </c>
      <c r="AO7" s="96">
        <f>'Balance Sheet'!AO12/'Balance Sheet'!AO28</f>
        <v>1.1822590677201541E-7</v>
      </c>
      <c r="AP7" s="96">
        <f>'Balance Sheet'!AP12/'Balance Sheet'!AP28</f>
        <v>1.0436354414421373E-7</v>
      </c>
      <c r="AQ7" s="96">
        <f>'Balance Sheet'!AQ12/'Balance Sheet'!AQ28</f>
        <v>8.607153422423684E-8</v>
      </c>
      <c r="AR7" s="96">
        <f>'Balance Sheet'!AR12/'Balance Sheet'!AR28</f>
        <v>2.0747758158968648E-4</v>
      </c>
      <c r="AS7" s="96">
        <f>'Balance Sheet'!AS12/'Balance Sheet'!AS28</f>
        <v>2.6162390019663913E-4</v>
      </c>
    </row>
    <row r="8" spans="1:45" x14ac:dyDescent="0.3">
      <c r="A8" s="35" t="s">
        <v>489</v>
      </c>
      <c r="B8" s="97">
        <f>'Balance Sheet'!B17/'Balance Sheet'!B28</f>
        <v>0.8055993276169735</v>
      </c>
      <c r="C8" s="97">
        <f>'Balance Sheet'!C17/'Balance Sheet'!C28</f>
        <v>0.70261138535014356</v>
      </c>
      <c r="D8" s="97">
        <f>'Balance Sheet'!D17/'Balance Sheet'!D28</f>
        <v>0.77748787537227004</v>
      </c>
      <c r="E8" s="97">
        <f>'Balance Sheet'!E17/'Balance Sheet'!E28</f>
        <v>0.69909353445347799</v>
      </c>
      <c r="F8" s="97">
        <f>'Balance Sheet'!F17/'Balance Sheet'!F28</f>
        <v>0.70713644863343594</v>
      </c>
      <c r="G8" s="97">
        <f>'Balance Sheet'!G17/'Balance Sheet'!G28</f>
        <v>0.73716596307034177</v>
      </c>
      <c r="I8" s="35" t="s">
        <v>73</v>
      </c>
      <c r="J8" s="97">
        <f>'Balance Sheet'!J17/'Balance Sheet'!J29</f>
        <v>0.36045949863116644</v>
      </c>
      <c r="K8" s="97">
        <f>'Balance Sheet'!K17/'Balance Sheet'!K29</f>
        <v>0.38862700342380785</v>
      </c>
      <c r="L8" s="97">
        <f>'Balance Sheet'!L17/'Balance Sheet'!L29</f>
        <v>0.79322832584318692</v>
      </c>
      <c r="M8" s="97">
        <f>'Balance Sheet'!M17/'Balance Sheet'!M29</f>
        <v>0.77988286512472171</v>
      </c>
      <c r="N8" s="97">
        <f>'Balance Sheet'!N17/'Balance Sheet'!N29</f>
        <v>0.72835322742964881</v>
      </c>
      <c r="P8" s="35" t="s">
        <v>73</v>
      </c>
      <c r="Q8" s="97">
        <f>'Balance Sheet'!Q20/'Balance Sheet'!Q33</f>
        <v>0.48937487785433093</v>
      </c>
      <c r="R8" s="97">
        <f>'Balance Sheet'!R20/'Balance Sheet'!R33</f>
        <v>0.52597775920389389</v>
      </c>
      <c r="S8" s="97">
        <f>'Balance Sheet'!S20/'Balance Sheet'!S33</f>
        <v>0.55691626472067202</v>
      </c>
      <c r="T8" s="97">
        <f>'Balance Sheet'!T20/'Balance Sheet'!T33</f>
        <v>0.5380819431468129</v>
      </c>
      <c r="U8" s="97">
        <f>'Balance Sheet'!U20/'Balance Sheet'!U33</f>
        <v>0.55279040308339145</v>
      </c>
      <c r="V8" s="97">
        <f>'Balance Sheet'!V20/'Balance Sheet'!V33</f>
        <v>0.50172617579975554</v>
      </c>
      <c r="X8" s="35" t="s">
        <v>73</v>
      </c>
      <c r="Y8" s="97">
        <f>'Balance Sheet'!Y18/'Balance Sheet'!Y30</f>
        <v>0.25306273062730628</v>
      </c>
      <c r="Z8" s="97">
        <f>'Balance Sheet'!Z18/'Balance Sheet'!Z30</f>
        <v>0.19784828592268416</v>
      </c>
      <c r="AA8" s="97">
        <f>'Balance Sheet'!AA18/'Balance Sheet'!AA30</f>
        <v>0.17646503727470039</v>
      </c>
      <c r="AB8" s="97">
        <f>'Balance Sheet'!AB18/'Balance Sheet'!AB30</f>
        <v>0.17081745180031824</v>
      </c>
      <c r="AC8" s="97">
        <f>'Balance Sheet'!AC18/'Balance Sheet'!AC30</f>
        <v>0.18833597464342314</v>
      </c>
      <c r="AD8" s="97">
        <f>'Balance Sheet'!AD18/'Balance Sheet'!AD30</f>
        <v>0.15285260904863829</v>
      </c>
      <c r="AF8" s="35" t="s">
        <v>73</v>
      </c>
      <c r="AG8" s="97">
        <f>'Balance Sheet'!AG16/'Balance Sheet'!AG32</f>
        <v>0.69065571269803216</v>
      </c>
      <c r="AH8" s="97">
        <f>'Balance Sheet'!AH16/'Balance Sheet'!AH32</f>
        <v>0.75481897294246947</v>
      </c>
      <c r="AI8" s="97">
        <f>'Balance Sheet'!AI16/'Balance Sheet'!AI32</f>
        <v>0.76916187118335178</v>
      </c>
      <c r="AJ8" s="97">
        <f>'Balance Sheet'!AJ16/'Balance Sheet'!AJ32</f>
        <v>0.70577601023568548</v>
      </c>
      <c r="AK8" s="97">
        <f>'Balance Sheet'!AK16/'Balance Sheet'!AK32</f>
        <v>0.56576953956784304</v>
      </c>
      <c r="AL8" s="97">
        <f>'Balance Sheet'!AL16/'Balance Sheet'!AL32</f>
        <v>0.61002225138115684</v>
      </c>
      <c r="AN8" s="35" t="s">
        <v>73</v>
      </c>
      <c r="AO8" s="97">
        <f>'Balance Sheet'!AO17/'Balance Sheet'!AO28</f>
        <v>0.7872316730041663</v>
      </c>
      <c r="AP8" s="97">
        <f>'Balance Sheet'!AP17/'Balance Sheet'!AP28</f>
        <v>0.7342786235283435</v>
      </c>
      <c r="AQ8" s="97">
        <f>'Balance Sheet'!AQ17/'Balance Sheet'!AQ28</f>
        <v>0.70700991535467117</v>
      </c>
      <c r="AR8" s="97">
        <f>'Balance Sheet'!AR17/'Balance Sheet'!AR28</f>
        <v>0.72110496067638086</v>
      </c>
      <c r="AS8" s="97">
        <f>'Balance Sheet'!AS17/'Balance Sheet'!AS28</f>
        <v>0.66021411248142592</v>
      </c>
    </row>
    <row r="9" spans="1:45" x14ac:dyDescent="0.3">
      <c r="A9" s="34" t="s">
        <v>34</v>
      </c>
      <c r="B9" s="96">
        <f>'Balance Sheet'!B19/'Balance Sheet'!B28</f>
        <v>0.16125599824451725</v>
      </c>
      <c r="C9" s="96">
        <f>'Balance Sheet'!C19/'Balance Sheet'!C28</f>
        <v>0.16463715137042628</v>
      </c>
      <c r="D9" s="96">
        <f>'Balance Sheet'!D19/'Balance Sheet'!D28</f>
        <v>0.17725869664129712</v>
      </c>
      <c r="E9" s="96">
        <f>'Balance Sheet'!E19/'Balance Sheet'!E28</f>
        <v>0.17913256996485807</v>
      </c>
      <c r="F9" s="96">
        <f>'Balance Sheet'!F19/'Balance Sheet'!F28</f>
        <v>0.18544991783616341</v>
      </c>
      <c r="G9" s="96">
        <f>'Balance Sheet'!G19/'Balance Sheet'!G28</f>
        <v>0.2074140563290981</v>
      </c>
      <c r="I9" s="34" t="s">
        <v>34</v>
      </c>
      <c r="J9" s="96">
        <f>'Balance Sheet'!J19/'Balance Sheet'!J29</f>
        <v>0.13817166782972784</v>
      </c>
      <c r="K9" s="96">
        <f>'Balance Sheet'!K19/'Balance Sheet'!K29</f>
        <v>0.13729965761921303</v>
      </c>
      <c r="L9" s="96">
        <f>'Balance Sheet'!L19/'Balance Sheet'!L29</f>
        <v>5.2052881888389545E-2</v>
      </c>
      <c r="M9" s="96">
        <f>'Balance Sheet'!M19/'Balance Sheet'!M29</f>
        <v>5.8085284399506505E-2</v>
      </c>
      <c r="N9" s="96">
        <f>'Balance Sheet'!N19/'Balance Sheet'!N29</f>
        <v>5.1236321481802315E-2</v>
      </c>
      <c r="P9" s="34" t="s">
        <v>34</v>
      </c>
      <c r="Q9" s="96">
        <f>'Balance Sheet'!Q22/'Balance Sheet'!Q33</f>
        <v>0.11476949238069535</v>
      </c>
      <c r="R9" s="96">
        <f>'Balance Sheet'!R22/'Balance Sheet'!R33</f>
        <v>0.14084609309489524</v>
      </c>
      <c r="S9" s="96">
        <f>'Balance Sheet'!S22/'Balance Sheet'!S33</f>
        <v>0.14061886200476184</v>
      </c>
      <c r="T9" s="96">
        <f>'Balance Sheet'!T22/'Balance Sheet'!T33</f>
        <v>0.13706048324370748</v>
      </c>
      <c r="U9" s="96">
        <f>'Balance Sheet'!U22/'Balance Sheet'!U33</f>
        <v>0.15412688497482632</v>
      </c>
      <c r="V9" s="96">
        <f>'Balance Sheet'!V22/'Balance Sheet'!V33</f>
        <v>0.17751662264384838</v>
      </c>
      <c r="X9" s="34" t="s">
        <v>34</v>
      </c>
      <c r="Y9" s="96">
        <f>'Balance Sheet'!Y20/'Balance Sheet'!Y30</f>
        <v>0.59800738007380072</v>
      </c>
      <c r="Z9" s="96">
        <f>'Balance Sheet'!Z20/'Balance Sheet'!Z30</f>
        <v>0.51106248480427907</v>
      </c>
      <c r="AA9" s="96">
        <f>'Balance Sheet'!AA20/'Balance Sheet'!AA30</f>
        <v>0.6421156931206945</v>
      </c>
      <c r="AB9" s="96">
        <f>'Balance Sheet'!AB20/'Balance Sheet'!AB30</f>
        <v>0.61369944121674125</v>
      </c>
      <c r="AC9" s="96">
        <f>'Balance Sheet'!AC20/'Balance Sheet'!AC30</f>
        <v>0.60383518225039623</v>
      </c>
      <c r="AD9" s="96">
        <f>'Balance Sheet'!AD20/'Balance Sheet'!AD30</f>
        <v>0.69338450562157106</v>
      </c>
      <c r="AF9" s="34" t="s">
        <v>34</v>
      </c>
      <c r="AG9" s="96">
        <f>'Balance Sheet'!AG18/'Balance Sheet'!AG32</f>
        <v>0.11037685138776902</v>
      </c>
      <c r="AH9" s="96">
        <f>'Balance Sheet'!AH18/'Balance Sheet'!AH32</f>
        <v>7.4844550668882001E-2</v>
      </c>
      <c r="AI9" s="96">
        <f>'Balance Sheet'!AI18/'Balance Sheet'!AI32</f>
        <v>0.11231915009280324</v>
      </c>
      <c r="AJ9" s="96">
        <f>'Balance Sheet'!AJ18/'Balance Sheet'!AJ32</f>
        <v>0.16842850301861156</v>
      </c>
      <c r="AK9" s="96">
        <f>'Balance Sheet'!AK18/'Balance Sheet'!AK32</f>
        <v>0.2209976611861626</v>
      </c>
      <c r="AL9" s="96">
        <f>'Balance Sheet'!AL18/'Balance Sheet'!AL32</f>
        <v>0.21710489997494592</v>
      </c>
      <c r="AN9" s="34" t="s">
        <v>34</v>
      </c>
      <c r="AO9" s="96">
        <f>'Balance Sheet'!AO19/'Balance Sheet'!AO28</f>
        <v>0.10980869511347499</v>
      </c>
      <c r="AP9" s="96">
        <f>'Balance Sheet'!AP19/'Balance Sheet'!AP28</f>
        <v>0.15112749154916202</v>
      </c>
      <c r="AQ9" s="96">
        <f>'Balance Sheet'!AQ19/'Balance Sheet'!AQ28</f>
        <v>0.17161674101669247</v>
      </c>
      <c r="AR9" s="96">
        <f>'Balance Sheet'!AR19/'Balance Sheet'!AR28</f>
        <v>0.14160183623256531</v>
      </c>
      <c r="AS9" s="96">
        <f>'Balance Sheet'!AS19/'Balance Sheet'!AS28</f>
        <v>0.1206033898334378</v>
      </c>
    </row>
    <row r="10" spans="1:45" x14ac:dyDescent="0.3">
      <c r="A10" s="34" t="s">
        <v>35</v>
      </c>
      <c r="B10" s="96">
        <f>'Balance Sheet'!B22/'Balance Sheet'!B28</f>
        <v>1.6188532225943884E-3</v>
      </c>
      <c r="C10" s="96">
        <f>'Balance Sheet'!C22/'Balance Sheet'!C28</f>
        <v>3.1912782468034129E-3</v>
      </c>
      <c r="D10" s="96">
        <f>'Balance Sheet'!D22/'Balance Sheet'!D28</f>
        <v>4.3231148659827918E-3</v>
      </c>
      <c r="E10" s="96">
        <f>'Balance Sheet'!E22/'Balance Sheet'!E28</f>
        <v>3.4330042266379249E-3</v>
      </c>
      <c r="F10" s="96">
        <f>'Balance Sheet'!F22/'Balance Sheet'!F28</f>
        <v>7.8560905124379042E-3</v>
      </c>
      <c r="G10" s="96">
        <f>'Balance Sheet'!G22/'Balance Sheet'!G28</f>
        <v>6.3235265697900818E-3</v>
      </c>
      <c r="I10" s="34" t="s">
        <v>35</v>
      </c>
      <c r="J10" s="96">
        <f>'Balance Sheet'!J22/'Balance Sheet'!J29</f>
        <v>9.748241988297815E-2</v>
      </c>
      <c r="K10" s="96">
        <f>'Balance Sheet'!K22/'Balance Sheet'!K29</f>
        <v>5.7013844092690912E-2</v>
      </c>
      <c r="L10" s="96">
        <f>'Balance Sheet'!L22/'Balance Sheet'!L29</f>
        <v>2.5568305772503162E-2</v>
      </c>
      <c r="M10" s="96">
        <f>'Balance Sheet'!M22/'Balance Sheet'!M29</f>
        <v>3.1708665995433725E-2</v>
      </c>
      <c r="N10" s="96">
        <f>'Balance Sheet'!N22/'Balance Sheet'!N29</f>
        <v>3.8178830303570749E-2</v>
      </c>
      <c r="P10" s="34" t="s">
        <v>35</v>
      </c>
      <c r="Q10" s="96">
        <f>('Balance Sheet'!Q26)/'Balance Sheet'!Q33</f>
        <v>3.3121252260664286E-2</v>
      </c>
      <c r="R10" s="96">
        <f>('Balance Sheet'!R26)/'Balance Sheet'!R33</f>
        <v>3.3889511279570517E-2</v>
      </c>
      <c r="S10" s="96">
        <f>('Balance Sheet'!S26)/'Balance Sheet'!S33</f>
        <v>3.1865316326590037E-2</v>
      </c>
      <c r="T10" s="96">
        <f>('Balance Sheet'!T26)/'Balance Sheet'!T33</f>
        <v>3.4420914230250101E-2</v>
      </c>
      <c r="U10" s="96">
        <f>('Balance Sheet'!U26)/'Balance Sheet'!U33</f>
        <v>4.3841754898604056E-2</v>
      </c>
      <c r="V10" s="96">
        <f>('Balance Sheet'!V26)/'Balance Sheet'!V33</f>
        <v>5.3577404556304942E-2</v>
      </c>
      <c r="X10" s="34" t="s">
        <v>35</v>
      </c>
      <c r="Y10" s="96">
        <f>'Balance Sheet'!Y22/'Balance Sheet'!Y30</f>
        <v>2.3025830258302581E-2</v>
      </c>
      <c r="Z10" s="96">
        <f>'Balance Sheet'!Z22/'Balance Sheet'!Z30</f>
        <v>2.224653537563822E-2</v>
      </c>
      <c r="AA10" s="96">
        <f>'Balance Sheet'!AA22/'Balance Sheet'!AA30</f>
        <v>2.6658488251391905E-2</v>
      </c>
      <c r="AB10" s="96">
        <f>'Balance Sheet'!AB22/'Balance Sheet'!AB30</f>
        <v>2.4941716315731045E-2</v>
      </c>
      <c r="AC10" s="96">
        <f>'Balance Sheet'!AC22/'Balance Sheet'!AC30</f>
        <v>3.22662440570523E-2</v>
      </c>
      <c r="AD10" s="96">
        <f>'Balance Sheet'!AD22/'Balance Sheet'!AD30</f>
        <v>2.6275001845154623E-2</v>
      </c>
      <c r="AF10" s="34" t="s">
        <v>35</v>
      </c>
      <c r="AG10" s="96">
        <f>'Balance Sheet'!AG20/'Balance Sheet'!AG32</f>
        <v>3.1089513100452542E-3</v>
      </c>
      <c r="AH10" s="96">
        <f>'Balance Sheet'!AH20/'Balance Sheet'!AH32</f>
        <v>3.6287525791747683E-3</v>
      </c>
      <c r="AI10" s="96">
        <f>'Balance Sheet'!AI20/'Balance Sheet'!AI32</f>
        <v>2.3634419791820362E-3</v>
      </c>
      <c r="AJ10" s="96">
        <f>'Balance Sheet'!AJ20/'Balance Sheet'!AJ32</f>
        <v>4.2553823347806661E-3</v>
      </c>
      <c r="AK10" s="96">
        <f>'Balance Sheet'!AK20/'Balance Sheet'!AK32</f>
        <v>1.1413411526512374E-2</v>
      </c>
      <c r="AL10" s="96">
        <f>'Balance Sheet'!AL20/'Balance Sheet'!AL32</f>
        <v>6.6828456289200009E-3</v>
      </c>
      <c r="AN10" s="34" t="s">
        <v>35</v>
      </c>
      <c r="AO10" s="96">
        <f>'Balance Sheet'!AO20/'Balance Sheet'!AO28</f>
        <v>2.8586669579753012E-2</v>
      </c>
      <c r="AP10" s="96">
        <f>'Balance Sheet'!AP20/'Balance Sheet'!AP28</f>
        <v>2.3090329778363141E-2</v>
      </c>
      <c r="AQ10" s="96">
        <f>'Balance Sheet'!AQ20/'Balance Sheet'!AQ28</f>
        <v>2.576448091161461E-2</v>
      </c>
      <c r="AR10" s="96">
        <f>'Balance Sheet'!AR20/'Balance Sheet'!AR28</f>
        <v>2.3663703795496503E-2</v>
      </c>
      <c r="AS10" s="96">
        <f>'Balance Sheet'!AS20/'Balance Sheet'!AS28</f>
        <v>3.6547065729170214E-2</v>
      </c>
    </row>
    <row r="11" spans="1:45" x14ac:dyDescent="0.3">
      <c r="A11" s="34" t="s">
        <v>490</v>
      </c>
      <c r="B11" s="96">
        <f>('Balance Sheet'!B23+'Balance Sheet'!B24)/'Balance Sheet'!B28</f>
        <v>8.9330887802292914E-3</v>
      </c>
      <c r="C11" s="96">
        <f>('Balance Sheet'!C23+'Balance Sheet'!C24)/'Balance Sheet'!C28</f>
        <v>0.10585699880711513</v>
      </c>
      <c r="D11" s="96">
        <f>('Balance Sheet'!D23+'Balance Sheet'!D24)/'Balance Sheet'!D28</f>
        <v>1.9297288633355392E-2</v>
      </c>
      <c r="E11" s="96">
        <f>('Balance Sheet'!E23+'Balance Sheet'!E24)/'Balance Sheet'!E28</f>
        <v>7.7779968508703182E-2</v>
      </c>
      <c r="F11" s="96">
        <f>('Balance Sheet'!F23+'Balance Sheet'!F24)/'Balance Sheet'!F28</f>
        <v>3.0135239786185146E-2</v>
      </c>
      <c r="G11" s="96">
        <f>('Balance Sheet'!G23+'Balance Sheet'!G24)/'Balance Sheet'!G28</f>
        <v>1.4728442794062083E-2</v>
      </c>
      <c r="I11" s="34" t="s">
        <v>490</v>
      </c>
      <c r="J11" s="96">
        <f>('Balance Sheet'!J23+'Balance Sheet'!J24)/'Balance Sheet'!J29</f>
        <v>0.20167480809490579</v>
      </c>
      <c r="K11" s="96">
        <f>('Balance Sheet'!K23+'Balance Sheet'!K24)/'Balance Sheet'!K29</f>
        <v>0.25370912519227906</v>
      </c>
      <c r="L11" s="96">
        <f>('Balance Sheet'!L23+'Balance Sheet'!L24)/'Balance Sheet'!L29</f>
        <v>6.5026106432799574E-2</v>
      </c>
      <c r="M11" s="96">
        <f>('Balance Sheet'!M23+'Balance Sheet'!M24)/'Balance Sheet'!M29</f>
        <v>5.4540039990356934E-2</v>
      </c>
      <c r="N11" s="96">
        <f>('Balance Sheet'!N23+'Balance Sheet'!N24)/'Balance Sheet'!N29</f>
        <v>9.6294220308538958E-2</v>
      </c>
      <c r="P11" s="34" t="s">
        <v>490</v>
      </c>
      <c r="Q11" s="96">
        <f>('Balance Sheet'!Q27+'Balance Sheet'!Q28)/'Balance Sheet'!Q33</f>
        <v>9.4063022512028444E-2</v>
      </c>
      <c r="R11" s="96">
        <f>('Balance Sheet'!R27+'Balance Sheet'!R28)/'Balance Sheet'!R33</f>
        <v>6.3113846920791722E-2</v>
      </c>
      <c r="S11" s="96">
        <f>('Balance Sheet'!S27+'Balance Sheet'!S28)/'Balance Sheet'!S33</f>
        <v>6.02439439525599E-2</v>
      </c>
      <c r="T11" s="96">
        <f>('Balance Sheet'!T27+'Balance Sheet'!T28)/'Balance Sheet'!T33</f>
        <v>5.6823728478850762E-2</v>
      </c>
      <c r="U11" s="96">
        <f>('Balance Sheet'!U27+'Balance Sheet'!U28)/'Balance Sheet'!U33</f>
        <v>7.8601566263905617E-2</v>
      </c>
      <c r="V11" s="96">
        <f>('Balance Sheet'!V27+'Balance Sheet'!V28)/'Balance Sheet'!V33</f>
        <v>4.5548064789600905E-2</v>
      </c>
      <c r="X11" s="34" t="s">
        <v>490</v>
      </c>
      <c r="Y11" s="96">
        <f>('Balance Sheet'!Y23+'Balance Sheet'!Y24)/'Balance Sheet'!Y30</f>
        <v>2.811808118081181E-2</v>
      </c>
      <c r="Z11" s="96">
        <f>('Balance Sheet'!Z23+'Balance Sheet'!Z24)/'Balance Sheet'!Z30</f>
        <v>3.4038414782397275E-2</v>
      </c>
      <c r="AA11" s="96">
        <f>('Balance Sheet'!AA23+'Balance Sheet'!AA24)/'Balance Sheet'!AA30</f>
        <v>7.4219118618476923E-2</v>
      </c>
      <c r="AB11" s="96">
        <f>('Balance Sheet'!AB23+'Balance Sheet'!AB24)/'Balance Sheet'!AB30</f>
        <v>4.9698405062354289E-2</v>
      </c>
      <c r="AC11" s="96">
        <f>('Balance Sheet'!AC23+'Balance Sheet'!AC24)/'Balance Sheet'!AC30</f>
        <v>4.8367670364500792E-2</v>
      </c>
      <c r="AD11" s="96">
        <f>('Balance Sheet'!AD23+'Balance Sheet'!AD24)/'Balance Sheet'!AD30</f>
        <v>3.8969665657982142E-2</v>
      </c>
      <c r="AF11" s="34" t="s">
        <v>490</v>
      </c>
      <c r="AG11" s="96">
        <f>('Balance Sheet'!AG22+'Balance Sheet'!AG23)/'Balance Sheet'!AG32</f>
        <v>1.1151910043801345E-2</v>
      </c>
      <c r="AH11" s="96">
        <f>('Balance Sheet'!AH22+'Balance Sheet'!AH23)/'Balance Sheet'!AH32</f>
        <v>1.4233725210658084E-2</v>
      </c>
      <c r="AI11" s="96">
        <f>('Balance Sheet'!AI22+'Balance Sheet'!AI23)/'Balance Sheet'!AI32</f>
        <v>1.1127333348865259E-2</v>
      </c>
      <c r="AJ11" s="96">
        <f>('Balance Sheet'!AJ22+'Balance Sheet'!AJ23)/'Balance Sheet'!AJ32</f>
        <v>1.0678670994230052E-2</v>
      </c>
      <c r="AK11" s="96">
        <f>('Balance Sheet'!AK22+'Balance Sheet'!AK23)/'Balance Sheet'!AK32</f>
        <v>4.154850420637414E-2</v>
      </c>
      <c r="AL11" s="96">
        <f>('Balance Sheet'!AL22+'Balance Sheet'!AL23)/'Balance Sheet'!AL32</f>
        <v>3.6077811890900285E-2</v>
      </c>
      <c r="AN11" s="34" t="s">
        <v>490</v>
      </c>
      <c r="AO11" s="96">
        <f>('Balance Sheet'!AO21+'Balance Sheet'!AO22)/'Balance Sheet'!AO28</f>
        <v>2.2468833582021529E-2</v>
      </c>
      <c r="AP11" s="96">
        <f>('Balance Sheet'!AP21+'Balance Sheet'!AP22)/'Balance Sheet'!AP28</f>
        <v>3.5131064956913517E-2</v>
      </c>
      <c r="AQ11" s="96">
        <f>('Balance Sheet'!AQ21+'Balance Sheet'!AQ22)/'Balance Sheet'!AQ28</f>
        <v>2.4553368353545373E-2</v>
      </c>
      <c r="AR11" s="96">
        <f>('Balance Sheet'!AR21+'Balance Sheet'!AR22)/'Balance Sheet'!AR28</f>
        <v>3.0279611432877312E-2</v>
      </c>
      <c r="AS11" s="96">
        <f>('Balance Sheet'!AS21+'Balance Sheet'!AS22)/'Balance Sheet'!AS28</f>
        <v>0.10586171480964106</v>
      </c>
    </row>
    <row r="12" spans="1:45" x14ac:dyDescent="0.3">
      <c r="A12" s="34" t="s">
        <v>39</v>
      </c>
      <c r="B12" s="96">
        <f>'Balance Sheet'!B26/'Balance Sheet'!B28</f>
        <v>1.2346343503264618E-2</v>
      </c>
      <c r="C12" s="96">
        <f>'Balance Sheet'!C26/'Balance Sheet'!C28</f>
        <v>1.1191442277626563E-2</v>
      </c>
      <c r="D12" s="96">
        <f>'Balance Sheet'!D26/'Balance Sheet'!D28</f>
        <v>1.301200053772336E-2</v>
      </c>
      <c r="E12" s="96">
        <f>'Balance Sheet'!E26/'Balance Sheet'!E28</f>
        <v>1.1899534920711186E-2</v>
      </c>
      <c r="F12" s="96">
        <f>'Balance Sheet'!F26/'Balance Sheet'!F28</f>
        <v>1.1097784409648112E-2</v>
      </c>
      <c r="G12" s="96">
        <f>'Balance Sheet'!G26/'Balance Sheet'!G28</f>
        <v>1.2591543933069882E-2</v>
      </c>
      <c r="I12" s="34" t="s">
        <v>39</v>
      </c>
      <c r="J12" s="96">
        <f>'Balance Sheet'!J26/'Balance Sheet'!J29</f>
        <v>2.3619088517902197E-2</v>
      </c>
      <c r="K12" s="96">
        <f>'Balance Sheet'!K26/'Balance Sheet'!K29</f>
        <v>2.9821862749962784E-2</v>
      </c>
      <c r="L12" s="96">
        <f>'Balance Sheet'!L26/'Balance Sheet'!L29</f>
        <v>7.2283549311342845E-3</v>
      </c>
      <c r="M12" s="96">
        <f>'Balance Sheet'!M26/'Balance Sheet'!M29</f>
        <v>9.7565126139796069E-3</v>
      </c>
      <c r="N12" s="96">
        <f>'Balance Sheet'!N26/'Balance Sheet'!N29</f>
        <v>9.0829182537357171E-3</v>
      </c>
      <c r="P12" s="34" t="s">
        <v>39</v>
      </c>
      <c r="Q12" s="96">
        <f>'Balance Sheet'!Q31/'Balance Sheet'!Q33</f>
        <v>1.1979323387961529E-2</v>
      </c>
      <c r="R12" s="96">
        <f>'Balance Sheet'!R31/'Balance Sheet'!R33</f>
        <v>1.4836634863782236E-2</v>
      </c>
      <c r="S12" s="96">
        <f>'Balance Sheet'!S31/'Balance Sheet'!S33</f>
        <v>1.6905094580540524E-2</v>
      </c>
      <c r="T12" s="96">
        <f>'Balance Sheet'!T31/'Balance Sheet'!T33</f>
        <v>1.8184631736027732E-2</v>
      </c>
      <c r="U12" s="96">
        <f>'Balance Sheet'!U31/'Balance Sheet'!U33</f>
        <v>1.5063136692201873E-2</v>
      </c>
      <c r="V12" s="96">
        <f>'Balance Sheet'!V31/'Balance Sheet'!V33</f>
        <v>1.55731571149184E-2</v>
      </c>
      <c r="X12" s="34" t="s">
        <v>39</v>
      </c>
      <c r="Y12" s="96">
        <f>'Balance Sheet'!Y27/'Balance Sheet'!Y30</f>
        <v>5.1365313653136534E-2</v>
      </c>
      <c r="Z12" s="96">
        <f>'Balance Sheet'!Z27/'Balance Sheet'!Z30</f>
        <v>4.5708728422076343E-2</v>
      </c>
      <c r="AA12" s="96">
        <f>'Balance Sheet'!AA27/'Balance Sheet'!AA30</f>
        <v>4.6145135415683686E-2</v>
      </c>
      <c r="AB12" s="96">
        <f>'Balance Sheet'!AB27/'Balance Sheet'!AB30</f>
        <v>4.7663101802168525E-2</v>
      </c>
      <c r="AC12" s="96">
        <f>'Balance Sheet'!AC27/'Balance Sheet'!AC30</f>
        <v>5.4548335974643425E-2</v>
      </c>
      <c r="AD12" s="96">
        <f>'Balance Sheet'!AD27/'Balance Sheet'!AD30</f>
        <v>4.8146234654464042E-2</v>
      </c>
      <c r="AF12" s="34" t="s">
        <v>39</v>
      </c>
      <c r="AG12" s="96">
        <f>'Balance Sheet'!AG29/'Balance Sheet'!AG32</f>
        <v>1.5123450064285558E-2</v>
      </c>
      <c r="AH12" s="96">
        <f>'Balance Sheet'!AH29/'Balance Sheet'!AH32</f>
        <v>1.8524633412128105E-2</v>
      </c>
      <c r="AI12" s="96">
        <f>'Balance Sheet'!AI29/'Balance Sheet'!AI32</f>
        <v>1.969966425145158E-2</v>
      </c>
      <c r="AJ12" s="96">
        <f>'Balance Sheet'!AJ29/'Balance Sheet'!AJ32</f>
        <v>2.3264159138182989E-2</v>
      </c>
      <c r="AK12" s="96">
        <f>'Balance Sheet'!AK29/'Balance Sheet'!AK32</f>
        <v>3.5414528571927249E-2</v>
      </c>
      <c r="AL12" s="96">
        <f>'Balance Sheet'!AL29/'Balance Sheet'!AL32</f>
        <v>4.2741548509284855E-2</v>
      </c>
      <c r="AN12" s="34" t="s">
        <v>39</v>
      </c>
      <c r="AO12" s="96">
        <f>'Balance Sheet'!AO26/'Balance Sheet'!AO28</f>
        <v>2.9767628162498672E-2</v>
      </c>
      <c r="AP12" s="96">
        <f>'Balance Sheet'!AP26/'Balance Sheet'!AP28</f>
        <v>3.0629865297973576E-2</v>
      </c>
      <c r="AQ12" s="96">
        <f>'Balance Sheet'!AQ26/'Balance Sheet'!AQ28</f>
        <v>3.6824328773292142E-2</v>
      </c>
      <c r="AR12" s="96">
        <f>'Balance Sheet'!AR26/'Balance Sheet'!AR28</f>
        <v>3.4681612778353958E-2</v>
      </c>
      <c r="AS12" s="96">
        <f>'Balance Sheet'!AS26/'Balance Sheet'!AS28</f>
        <v>4.0457986571845461E-2</v>
      </c>
    </row>
    <row r="13" spans="1:45" x14ac:dyDescent="0.3">
      <c r="A13" s="35" t="s">
        <v>40</v>
      </c>
      <c r="B13" s="97">
        <f>'Balance Sheet'!B27/'Balance Sheet'!B28</f>
        <v>0.1944006723830265</v>
      </c>
      <c r="C13" s="97">
        <f>'Balance Sheet'!C27/'Balance Sheet'!C28</f>
        <v>0.29738861464985644</v>
      </c>
      <c r="D13" s="97">
        <f>'Balance Sheet'!D27/'Balance Sheet'!D28</f>
        <v>0.2225121246277299</v>
      </c>
      <c r="E13" s="97">
        <f>'Balance Sheet'!E27/'Balance Sheet'!E28</f>
        <v>0.30090646554652195</v>
      </c>
      <c r="F13" s="97">
        <f>'Balance Sheet'!F27/'Balance Sheet'!F28</f>
        <v>0.29286355136656406</v>
      </c>
      <c r="G13" s="97">
        <f>'Balance Sheet'!G27/'Balance Sheet'!G28</f>
        <v>0.26283403692965834</v>
      </c>
      <c r="I13" s="35" t="s">
        <v>40</v>
      </c>
      <c r="J13" s="97">
        <f>'Balance Sheet'!J28/'Balance Sheet'!J29</f>
        <v>0.63954050136883356</v>
      </c>
      <c r="K13" s="97">
        <f>'Balance Sheet'!K28/'Balance Sheet'!K29</f>
        <v>0.61137299657619215</v>
      </c>
      <c r="L13" s="97">
        <f>'Balance Sheet'!L28/'Balance Sheet'!L29</f>
        <v>0.20677167415681313</v>
      </c>
      <c r="M13" s="97">
        <f>'Balance Sheet'!M28/'Balance Sheet'!M29</f>
        <v>0.22011713487527831</v>
      </c>
      <c r="N13" s="97">
        <f>'Balance Sheet'!N28/'Balance Sheet'!N29</f>
        <v>0.27164677257035119</v>
      </c>
      <c r="P13" s="35" t="s">
        <v>40</v>
      </c>
      <c r="Q13" s="97">
        <f>'Balance Sheet'!Q32/'Balance Sheet'!Q33</f>
        <v>0.51062512214566902</v>
      </c>
      <c r="R13" s="97">
        <f>'Balance Sheet'!R32/'Balance Sheet'!R33</f>
        <v>0.47402224079610611</v>
      </c>
      <c r="S13" s="97">
        <f>'Balance Sheet'!S32/'Balance Sheet'!S33</f>
        <v>0.44308373527932787</v>
      </c>
      <c r="T13" s="97">
        <f>'Balance Sheet'!T32/'Balance Sheet'!T33</f>
        <v>0.46191805685318715</v>
      </c>
      <c r="U13" s="97">
        <f>'Balance Sheet'!U32/'Balance Sheet'!U33</f>
        <v>0.44720959691660844</v>
      </c>
      <c r="V13" s="97">
        <f>'Balance Sheet'!V32/'Balance Sheet'!V33</f>
        <v>0.49827382420024457</v>
      </c>
      <c r="X13" s="35" t="s">
        <v>40</v>
      </c>
      <c r="Y13" s="97">
        <f>'Balance Sheet'!Y29/'Balance Sheet'!Y30</f>
        <v>0.74693726937269378</v>
      </c>
      <c r="Z13" s="97">
        <f>'Balance Sheet'!Z29/'Balance Sheet'!Z30</f>
        <v>0.80215171407731578</v>
      </c>
      <c r="AA13" s="97">
        <f>'Balance Sheet'!AA29/'Balance Sheet'!AA30</f>
        <v>0.82353496272529958</v>
      </c>
      <c r="AB13" s="97">
        <f>'Balance Sheet'!AB29/'Balance Sheet'!AB30</f>
        <v>0.82918254819968173</v>
      </c>
      <c r="AC13" s="97">
        <f>'Balance Sheet'!AC29/'Balance Sheet'!AC30</f>
        <v>0.81166402535657689</v>
      </c>
      <c r="AD13" s="97">
        <f>'Balance Sheet'!AD29/'Balance Sheet'!AD30</f>
        <v>0.84714739095136171</v>
      </c>
      <c r="AF13" s="35" t="s">
        <v>40</v>
      </c>
      <c r="AG13" s="97">
        <f>'Balance Sheet'!AG31/'Balance Sheet'!AG32</f>
        <v>0.30934428730196772</v>
      </c>
      <c r="AH13" s="97">
        <f>'Balance Sheet'!AH31/'Balance Sheet'!AH32</f>
        <v>0.24518102705753059</v>
      </c>
      <c r="AI13" s="97">
        <f>'Balance Sheet'!AI31/'Balance Sheet'!AI32</f>
        <v>0.23083812881664814</v>
      </c>
      <c r="AJ13" s="97">
        <f>'Balance Sheet'!AJ31/'Balance Sheet'!AJ32</f>
        <v>0.29422398976431441</v>
      </c>
      <c r="AK13" s="97">
        <f>'Balance Sheet'!AK31/'Balance Sheet'!AK32</f>
        <v>0.43423046043215691</v>
      </c>
      <c r="AL13" s="97">
        <f>'Balance Sheet'!AL31/'Balance Sheet'!AL32</f>
        <v>0.3899777486188431</v>
      </c>
      <c r="AN13" s="35" t="s">
        <v>40</v>
      </c>
      <c r="AO13" s="97">
        <f>'Balance Sheet'!AO27/'Balance Sheet'!AO28</f>
        <v>0.21276832699583359</v>
      </c>
      <c r="AP13" s="97">
        <f>'Balance Sheet'!AP27/'Balance Sheet'!AP28</f>
        <v>0.26572137647165645</v>
      </c>
      <c r="AQ13" s="97">
        <f>'Balance Sheet'!AQ27/'Balance Sheet'!AQ28</f>
        <v>0.29299008464532894</v>
      </c>
      <c r="AR13" s="97">
        <f>'Balance Sheet'!AR27/'Balance Sheet'!AR28</f>
        <v>0.27889503932361914</v>
      </c>
      <c r="AS13" s="97">
        <f>'Balance Sheet'!AS27/'Balance Sheet'!AS28</f>
        <v>0.33978588751857397</v>
      </c>
    </row>
    <row r="14" spans="1:45" x14ac:dyDescent="0.3">
      <c r="A14" s="35" t="s">
        <v>76</v>
      </c>
      <c r="B14" s="97">
        <f>B8+B13</f>
        <v>1</v>
      </c>
      <c r="C14" s="97">
        <f t="shared" ref="C14:G14" si="0">C8+C13</f>
        <v>1</v>
      </c>
      <c r="D14" s="97">
        <f t="shared" si="0"/>
        <v>1</v>
      </c>
      <c r="E14" s="97">
        <f t="shared" si="0"/>
        <v>1</v>
      </c>
      <c r="F14" s="97">
        <f t="shared" si="0"/>
        <v>1</v>
      </c>
      <c r="G14" s="97">
        <f t="shared" si="0"/>
        <v>1</v>
      </c>
      <c r="I14" s="35" t="s">
        <v>76</v>
      </c>
      <c r="J14" s="97">
        <f>J8+J13</f>
        <v>1</v>
      </c>
      <c r="K14" s="97">
        <f t="shared" ref="K14:N14" si="1">K8+K13</f>
        <v>1</v>
      </c>
      <c r="L14" s="97">
        <f t="shared" si="1"/>
        <v>1</v>
      </c>
      <c r="M14" s="97">
        <f t="shared" si="1"/>
        <v>1</v>
      </c>
      <c r="N14" s="97">
        <f t="shared" si="1"/>
        <v>1</v>
      </c>
      <c r="P14" s="35" t="s">
        <v>76</v>
      </c>
      <c r="Q14" s="97">
        <f>Q8+Q13</f>
        <v>1</v>
      </c>
      <c r="R14" s="97">
        <f t="shared" ref="R14:V14" si="2">R8+R13</f>
        <v>1</v>
      </c>
      <c r="S14" s="97">
        <f t="shared" si="2"/>
        <v>0.99999999999999989</v>
      </c>
      <c r="T14" s="97">
        <f t="shared" si="2"/>
        <v>1</v>
      </c>
      <c r="U14" s="97">
        <f t="shared" si="2"/>
        <v>0.99999999999999989</v>
      </c>
      <c r="V14" s="97">
        <f t="shared" si="2"/>
        <v>1</v>
      </c>
      <c r="X14" s="35" t="s">
        <v>76</v>
      </c>
      <c r="Y14" s="97">
        <f>Y8+Y13</f>
        <v>1</v>
      </c>
      <c r="Z14" s="97">
        <f t="shared" ref="Z14:AD14" si="3">Z8+Z13</f>
        <v>1</v>
      </c>
      <c r="AA14" s="97">
        <f t="shared" si="3"/>
        <v>1</v>
      </c>
      <c r="AB14" s="97">
        <f t="shared" si="3"/>
        <v>1</v>
      </c>
      <c r="AC14" s="97">
        <f t="shared" si="3"/>
        <v>1</v>
      </c>
      <c r="AD14" s="97">
        <f t="shared" si="3"/>
        <v>1</v>
      </c>
      <c r="AF14" s="35" t="s">
        <v>76</v>
      </c>
      <c r="AG14" s="97">
        <f>AG8+AG13</f>
        <v>0.99999999999999989</v>
      </c>
      <c r="AH14" s="97">
        <f t="shared" ref="AH14:AL14" si="4">AH8+AH13</f>
        <v>1</v>
      </c>
      <c r="AI14" s="97">
        <f t="shared" si="4"/>
        <v>0.99999999999999989</v>
      </c>
      <c r="AJ14" s="97">
        <f t="shared" si="4"/>
        <v>0.99999999999999989</v>
      </c>
      <c r="AK14" s="97">
        <f t="shared" si="4"/>
        <v>1</v>
      </c>
      <c r="AL14" s="97">
        <f t="shared" si="4"/>
        <v>1</v>
      </c>
      <c r="AN14" s="35" t="s">
        <v>76</v>
      </c>
      <c r="AO14" s="97">
        <f>AO8+AO13</f>
        <v>0.99999999999999989</v>
      </c>
      <c r="AP14" s="97">
        <f t="shared" ref="AP14:AS14" si="5">AP8+AP13</f>
        <v>1</v>
      </c>
      <c r="AQ14" s="97">
        <f t="shared" si="5"/>
        <v>1</v>
      </c>
      <c r="AR14" s="97">
        <f t="shared" si="5"/>
        <v>1</v>
      </c>
      <c r="AS14" s="97">
        <f t="shared" si="5"/>
        <v>0.99999999999999989</v>
      </c>
    </row>
    <row r="15" spans="1:45" x14ac:dyDescent="0.3">
      <c r="A15" s="18" t="s">
        <v>491</v>
      </c>
      <c r="B15" s="99"/>
      <c r="C15" s="99"/>
      <c r="D15" s="99"/>
      <c r="E15" s="99"/>
      <c r="F15" s="99"/>
      <c r="G15" s="99"/>
      <c r="I15" s="18" t="s">
        <v>491</v>
      </c>
      <c r="J15" s="99"/>
      <c r="K15" s="99"/>
      <c r="L15" s="99"/>
      <c r="M15" s="99"/>
      <c r="N15" s="99"/>
      <c r="P15" s="18" t="s">
        <v>491</v>
      </c>
      <c r="Q15" s="99"/>
      <c r="R15" s="99"/>
      <c r="S15" s="99"/>
      <c r="T15" s="99"/>
      <c r="U15" s="99"/>
      <c r="V15" s="99"/>
      <c r="X15" s="18" t="s">
        <v>491</v>
      </c>
      <c r="Y15" s="99"/>
      <c r="Z15" s="99"/>
      <c r="AA15" s="99"/>
      <c r="AB15" s="99"/>
      <c r="AC15" s="99"/>
      <c r="AD15" s="99"/>
      <c r="AF15" s="18" t="s">
        <v>491</v>
      </c>
      <c r="AG15" s="99"/>
      <c r="AH15" s="99"/>
      <c r="AI15" s="99"/>
      <c r="AJ15" s="99"/>
      <c r="AK15" s="99"/>
      <c r="AL15" s="99"/>
      <c r="AN15" s="18" t="s">
        <v>491</v>
      </c>
      <c r="AO15" s="99"/>
      <c r="AP15" s="99"/>
      <c r="AQ15" s="99"/>
      <c r="AR15" s="99"/>
      <c r="AS15" s="99"/>
    </row>
    <row r="16" spans="1:45" x14ac:dyDescent="0.3">
      <c r="A16" s="34" t="s">
        <v>77</v>
      </c>
      <c r="B16" s="96">
        <f>'Balance Sheet'!B31/'Balance Sheet'!B56</f>
        <v>5.3639107519179892E-2</v>
      </c>
      <c r="C16" s="96">
        <f>'Balance Sheet'!C31/'Balance Sheet'!C56</f>
        <v>4.7434931388982249E-2</v>
      </c>
      <c r="D16" s="96">
        <f>'Balance Sheet'!D31/'Balance Sheet'!D56</f>
        <v>4.1865512284910658E-2</v>
      </c>
      <c r="E16" s="96">
        <f>'Balance Sheet'!E31/'Balance Sheet'!E56</f>
        <v>3.5803027566663294E-2</v>
      </c>
      <c r="F16" s="96">
        <f>'Balance Sheet'!F31/'Balance Sheet'!F56</f>
        <v>3.0727858262659842E-2</v>
      </c>
      <c r="G16" s="96">
        <f>'Balance Sheet'!G31/'Balance Sheet'!G56</f>
        <v>2.6756671075879441E-2</v>
      </c>
      <c r="I16" s="34" t="s">
        <v>77</v>
      </c>
      <c r="J16" s="96">
        <f>'Balance Sheet'!J32/'Balance Sheet'!J53</f>
        <v>1.1594825272424714E-2</v>
      </c>
      <c r="K16" s="96">
        <f>'Balance Sheet'!K32/'Balance Sheet'!K53</f>
        <v>1.0718007244578972E-2</v>
      </c>
      <c r="L16" s="96">
        <f>'Balance Sheet'!L32/'Balance Sheet'!L53</f>
        <v>3.4178338205564525E-3</v>
      </c>
      <c r="M16" s="96">
        <f>'Balance Sheet'!M32/'Balance Sheet'!M53</f>
        <v>3.3325297446005929E-3</v>
      </c>
      <c r="N16" s="96">
        <f>'Balance Sheet'!N32/'Balance Sheet'!N53</f>
        <v>2.9936687091555308E-3</v>
      </c>
      <c r="P16" s="34" t="s">
        <v>77</v>
      </c>
      <c r="Q16" s="96">
        <f>'Balance Sheet'!Q36/'Balance Sheet'!Q61</f>
        <v>1.5888161160101253E-2</v>
      </c>
      <c r="R16" s="96">
        <f>'Balance Sheet'!R36/'Balance Sheet'!R61</f>
        <v>1.6674230180996032E-2</v>
      </c>
      <c r="S16" s="96">
        <f>'Balance Sheet'!S36/'Balance Sheet'!S61</f>
        <v>1.5950520032798534E-2</v>
      </c>
      <c r="T16" s="96">
        <f>'Balance Sheet'!T36/'Balance Sheet'!T61</f>
        <v>1.4470853247057797E-2</v>
      </c>
      <c r="U16" s="96">
        <f>'Balance Sheet'!U36/'Balance Sheet'!U61</f>
        <v>1.3596016647107972E-2</v>
      </c>
      <c r="V16" s="96">
        <f>'Balance Sheet'!V36/'Balance Sheet'!V61</f>
        <v>1.4205929617071863E-2</v>
      </c>
      <c r="X16" s="34" t="s">
        <v>77</v>
      </c>
      <c r="Y16" s="96">
        <f>'Balance Sheet'!Y33/'Balance Sheet'!Y59</f>
        <v>6.5682656826568262E-3</v>
      </c>
      <c r="Z16" s="96">
        <f>'Balance Sheet'!Z33/'Balance Sheet'!Z59</f>
        <v>5.409676635059567E-3</v>
      </c>
      <c r="AA16" s="96">
        <f>'Balance Sheet'!AA33/'Balance Sheet'!AA59</f>
        <v>4.1993016891573084E-3</v>
      </c>
      <c r="AB16" s="96">
        <f>'Balance Sheet'!AB33/'Balance Sheet'!AB59</f>
        <v>3.2934907301187875E-3</v>
      </c>
      <c r="AC16" s="96">
        <f>'Balance Sheet'!AC33/'Balance Sheet'!AC59</f>
        <v>2.820919175911252E-3</v>
      </c>
      <c r="AD16" s="96">
        <f>'Balance Sheet'!AD33/'Balance Sheet'!AD59</f>
        <v>2.1895834870962185E-3</v>
      </c>
      <c r="AF16" s="34" t="s">
        <v>77</v>
      </c>
      <c r="AG16" s="96">
        <f>'Balance Sheet'!AG35/'Balance Sheet'!AG60</f>
        <v>6.4557955065484094E-3</v>
      </c>
      <c r="AH16" s="96">
        <f>'Balance Sheet'!AH35/'Balance Sheet'!AH60</f>
        <v>6.2109847948802616E-3</v>
      </c>
      <c r="AI16" s="96">
        <f>'Balance Sheet'!AI35/'Balance Sheet'!AI60</f>
        <v>4.6013341927667794E-3</v>
      </c>
      <c r="AJ16" s="96">
        <f>'Balance Sheet'!AJ35/'Balance Sheet'!AJ60</f>
        <v>4.3989195115281378E-3</v>
      </c>
      <c r="AK16" s="96">
        <f>'Balance Sheet'!AK35/'Balance Sheet'!AK60</f>
        <v>4.9638705623625511E-3</v>
      </c>
      <c r="AL16" s="96">
        <f>'Balance Sheet'!AL35/'Balance Sheet'!AL60</f>
        <v>3.7740295807483087E-3</v>
      </c>
      <c r="AN16" s="34" t="s">
        <v>77</v>
      </c>
      <c r="AO16" s="96">
        <f>'Balance Sheet'!AO31/'Balance Sheet'!AO55</f>
        <v>3.4131293559107385E-2</v>
      </c>
      <c r="AP16" s="96">
        <f>'Balance Sheet'!AP31/'Balance Sheet'!AP55</f>
        <v>4.5257103465113101E-2</v>
      </c>
      <c r="AQ16" s="96">
        <f>'Balance Sheet'!AQ31/'Balance Sheet'!AQ55</f>
        <v>5.6021449863238829E-2</v>
      </c>
      <c r="AR16" s="96">
        <f>'Balance Sheet'!AR31/'Balance Sheet'!AR55</f>
        <v>4.2773370150343215E-2</v>
      </c>
      <c r="AS16" s="96">
        <f>'Balance Sheet'!AS31/'Balance Sheet'!AS55</f>
        <v>2.9221596523664323E-2</v>
      </c>
    </row>
    <row r="17" spans="1:45" x14ac:dyDescent="0.3">
      <c r="A17" s="34" t="s">
        <v>44</v>
      </c>
      <c r="B17" s="96">
        <f>'Balance Sheet'!B32/'Balance Sheet'!B56</f>
        <v>0.86382753209759489</v>
      </c>
      <c r="C17" s="96">
        <f>'Balance Sheet'!C32/'Balance Sheet'!C56</f>
        <v>0.84475434553532258</v>
      </c>
      <c r="D17" s="96">
        <f>'Balance Sheet'!D32/'Balance Sheet'!D56</f>
        <v>0.84212325756949047</v>
      </c>
      <c r="E17" s="96">
        <f>'Balance Sheet'!E32/'Balance Sheet'!E56</f>
        <v>0.85221434098316107</v>
      </c>
      <c r="F17" s="96">
        <f>'Balance Sheet'!F32/'Balance Sheet'!F56</f>
        <v>0.85219434108380709</v>
      </c>
      <c r="G17" s="96">
        <f>'Balance Sheet'!G32/'Balance Sheet'!G56</f>
        <v>0.85430806951726312</v>
      </c>
      <c r="I17" s="34" t="s">
        <v>44</v>
      </c>
      <c r="J17" s="96">
        <f>('Balance Sheet'!J33+'Balance Sheet'!J34)/'Balance Sheet'!J53</f>
        <v>0.41166997691770896</v>
      </c>
      <c r="K17" s="96">
        <f>('Balance Sheet'!K33+'Balance Sheet'!K34)/'Balance Sheet'!K53</f>
        <v>0.39845184339800527</v>
      </c>
      <c r="L17" s="96">
        <f>('Balance Sheet'!L33+'Balance Sheet'!L34)/'Balance Sheet'!L53</f>
        <v>0.69024244804165391</v>
      </c>
      <c r="M17" s="96">
        <f>('Balance Sheet'!M33+'Balance Sheet'!M34)/'Balance Sheet'!M53</f>
        <v>0.6927691195030985</v>
      </c>
      <c r="N17" s="96">
        <f>('Balance Sheet'!N33+'Balance Sheet'!N34)/'Balance Sheet'!N53</f>
        <v>0.65208473993299276</v>
      </c>
      <c r="P17" s="34" t="s">
        <v>44</v>
      </c>
      <c r="Q17" s="96">
        <f>'Balance Sheet'!Q37/'Balance Sheet'!Q61</f>
        <v>0.82779488526380229</v>
      </c>
      <c r="R17" s="96">
        <f>'Balance Sheet'!R37/'Balance Sheet'!R61</f>
        <v>0.80082661309440772</v>
      </c>
      <c r="S17" s="96">
        <f>'Balance Sheet'!S37/'Balance Sheet'!S61</f>
        <v>0.79243588656677388</v>
      </c>
      <c r="T17" s="96">
        <f>'Balance Sheet'!T37/'Balance Sheet'!T61</f>
        <v>0.7907557469477654</v>
      </c>
      <c r="U17" s="96">
        <f>'Balance Sheet'!U37/'Balance Sheet'!U61</f>
        <v>0.79779585686693211</v>
      </c>
      <c r="V17" s="96">
        <f>'Balance Sheet'!V37/'Balance Sheet'!V61</f>
        <v>0.78077090561680296</v>
      </c>
      <c r="X17" s="34" t="s">
        <v>44</v>
      </c>
      <c r="Y17" s="96">
        <f>'Balance Sheet'!Y34/'Balance Sheet'!Y59</f>
        <v>0.48560885608856086</v>
      </c>
      <c r="Z17" s="96">
        <f>'Balance Sheet'!Z34/'Balance Sheet'!Z59</f>
        <v>0.45027960126428396</v>
      </c>
      <c r="AA17" s="96">
        <f>'Balance Sheet'!AA34/'Balance Sheet'!AA59</f>
        <v>0.43474568274039821</v>
      </c>
      <c r="AB17" s="96">
        <f>'Balance Sheet'!AB34/'Balance Sheet'!AB59</f>
        <v>0.43525885356918181</v>
      </c>
      <c r="AC17" s="96">
        <f>'Balance Sheet'!AC34/'Balance Sheet'!AC59</f>
        <v>0.29489698890649763</v>
      </c>
      <c r="AD17" s="96">
        <f>'Balance Sheet'!AD34/'Balance Sheet'!AD59</f>
        <v>0.2837847811646616</v>
      </c>
      <c r="AF17" s="34" t="s">
        <v>44</v>
      </c>
      <c r="AG17" s="96">
        <f>'Balance Sheet'!AG36/'Balance Sheet'!AG60</f>
        <v>0.42715756136183686</v>
      </c>
      <c r="AH17" s="96">
        <f>'Balance Sheet'!AH36/'Balance Sheet'!AH60</f>
        <v>0.39790136851318986</v>
      </c>
      <c r="AI17" s="96">
        <f>'Balance Sheet'!AI36/'Balance Sheet'!AI60</f>
        <v>0.30137768217012117</v>
      </c>
      <c r="AJ17" s="96">
        <f>'Balance Sheet'!AJ36/'Balance Sheet'!AJ60</f>
        <v>0.31676427607148644</v>
      </c>
      <c r="AK17" s="96">
        <f>'Balance Sheet'!AK36/'Balance Sheet'!AK60</f>
        <v>0.56301741892693824</v>
      </c>
      <c r="AL17" s="96">
        <f>'Balance Sheet'!AL36/'Balance Sheet'!AL60</f>
        <v>0.57605067709593993</v>
      </c>
      <c r="AN17" s="34" t="s">
        <v>44</v>
      </c>
      <c r="AO17" s="96">
        <f>'Balance Sheet'!AO32/'Balance Sheet'!AO55</f>
        <v>0.38248367765636887</v>
      </c>
      <c r="AP17" s="96">
        <f>'Balance Sheet'!AP32/'Balance Sheet'!AP55</f>
        <v>0.38114185108140564</v>
      </c>
      <c r="AQ17" s="96">
        <f>'Balance Sheet'!AQ32/'Balance Sheet'!AQ55</f>
        <v>0.38404124793245442</v>
      </c>
      <c r="AR17" s="96">
        <f>'Balance Sheet'!AR32/'Balance Sheet'!AR55</f>
        <v>0.41396031113867526</v>
      </c>
      <c r="AS17" s="96">
        <f>'Balance Sheet'!AS32/'Balance Sheet'!AS55</f>
        <v>0.68845441414177633</v>
      </c>
    </row>
    <row r="18" spans="1:45" s="23" customFormat="1" x14ac:dyDescent="0.3">
      <c r="A18" s="35" t="s">
        <v>47</v>
      </c>
      <c r="B18" s="97">
        <f>'Balance Sheet'!B35/'Balance Sheet'!B56</f>
        <v>0.91750473028083579</v>
      </c>
      <c r="C18" s="97">
        <f>'Balance Sheet'!C35/'Balance Sheet'!C56</f>
        <v>0.89221856814272438</v>
      </c>
      <c r="D18" s="97">
        <f>'Balance Sheet'!D35/'Balance Sheet'!D56</f>
        <v>0.88400492740734626</v>
      </c>
      <c r="E18" s="97">
        <f>'Balance Sheet'!E35/'Balance Sheet'!E56</f>
        <v>0.88802178690388811</v>
      </c>
      <c r="F18" s="97">
        <f>'Balance Sheet'!F35/'Balance Sheet'!F56</f>
        <v>0.88289953346051409</v>
      </c>
      <c r="G18" s="97">
        <f>'Balance Sheet'!G35/'Balance Sheet'!G56</f>
        <v>0.88102156676585686</v>
      </c>
      <c r="I18" s="35" t="s">
        <v>47</v>
      </c>
      <c r="J18" s="97">
        <f>'Balance Sheet'!J35/'Balance Sheet'!J53</f>
        <v>0.42326480219013368</v>
      </c>
      <c r="K18" s="97">
        <f>'Balance Sheet'!K35/'Balance Sheet'!K53</f>
        <v>0.40916985064258421</v>
      </c>
      <c r="L18" s="97">
        <f>'Balance Sheet'!L35/'Balance Sheet'!L53</f>
        <v>0.6936602818622104</v>
      </c>
      <c r="M18" s="97">
        <f>'Balance Sheet'!M35/'Balance Sheet'!M53</f>
        <v>0.69610164924769913</v>
      </c>
      <c r="N18" s="97">
        <f>'Balance Sheet'!N35/'Balance Sheet'!N53</f>
        <v>0.65507840864214828</v>
      </c>
      <c r="P18" s="35" t="s">
        <v>47</v>
      </c>
      <c r="Q18" s="97">
        <f>'Balance Sheet'!Q40/'Balance Sheet'!Q61</f>
        <v>0.84856199746041727</v>
      </c>
      <c r="R18" s="97">
        <f>'Balance Sheet'!R40/'Balance Sheet'!R61</f>
        <v>0.82219893713432668</v>
      </c>
      <c r="S18" s="97">
        <f>'Balance Sheet'!S40/'Balance Sheet'!S61</f>
        <v>0.81312756804822184</v>
      </c>
      <c r="T18" s="97">
        <f>'Balance Sheet'!T40/'Balance Sheet'!T61</f>
        <v>0.80969232786286638</v>
      </c>
      <c r="U18" s="97">
        <f>'Balance Sheet'!U40/'Balance Sheet'!U61</f>
        <v>0.81556247152227657</v>
      </c>
      <c r="V18" s="97">
        <f>'Balance Sheet'!V40/'Balance Sheet'!V61</f>
        <v>0.79915309996471817</v>
      </c>
      <c r="X18" s="35" t="s">
        <v>47</v>
      </c>
      <c r="Y18" s="97">
        <f>'Balance Sheet'!Y37/'Balance Sheet'!Y59</f>
        <v>0.49247232472324726</v>
      </c>
      <c r="Z18" s="97">
        <f>'Balance Sheet'!Z37/'Balance Sheet'!Z59</f>
        <v>0.45599319231704349</v>
      </c>
      <c r="AA18" s="97">
        <f>'Balance Sheet'!AA37/'Balance Sheet'!AA59</f>
        <v>0.44036047938095685</v>
      </c>
      <c r="AB18" s="97">
        <f>'Balance Sheet'!AB37/'Balance Sheet'!AB59</f>
        <v>0.44051363653184322</v>
      </c>
      <c r="AC18" s="97">
        <f>'Balance Sheet'!AC37/'Balance Sheet'!AC59</f>
        <v>0.29771790808240889</v>
      </c>
      <c r="AD18" s="97">
        <f>'Balance Sheet'!AD37/'Balance Sheet'!AD59</f>
        <v>0.2859743646517578</v>
      </c>
      <c r="AF18" s="35" t="s">
        <v>47</v>
      </c>
      <c r="AG18" s="97">
        <f>'Balance Sheet'!AG39/'Balance Sheet'!AG60</f>
        <v>0.44806671170287721</v>
      </c>
      <c r="AH18" s="97">
        <f>'Balance Sheet'!AH39/'Balance Sheet'!AH60</f>
        <v>0.41188525664208481</v>
      </c>
      <c r="AI18" s="97">
        <f>'Balance Sheet'!AI39/'Balance Sheet'!AI60</f>
        <v>0.31192515680777422</v>
      </c>
      <c r="AJ18" s="97">
        <f>'Balance Sheet'!AJ39/'Balance Sheet'!AJ60</f>
        <v>0.32951309962346237</v>
      </c>
      <c r="AK18" s="97">
        <f>'Balance Sheet'!AK39/'Balance Sheet'!AK60</f>
        <v>0.57284741857786159</v>
      </c>
      <c r="AL18" s="97">
        <f>'Balance Sheet'!AL39/'Balance Sheet'!AL60</f>
        <v>0.59273602812846349</v>
      </c>
      <c r="AN18" s="35" t="s">
        <v>47</v>
      </c>
      <c r="AO18" s="97">
        <f>'Balance Sheet'!AO35/'Balance Sheet'!AO55</f>
        <v>0.42427476513594931</v>
      </c>
      <c r="AP18" s="97">
        <f>'Balance Sheet'!AP35/'Balance Sheet'!AP55</f>
        <v>0.43860479534060853</v>
      </c>
      <c r="AQ18" s="97">
        <f>'Balance Sheet'!AQ35/'Balance Sheet'!AQ55</f>
        <v>0.44981778690304658</v>
      </c>
      <c r="AR18" s="97">
        <f>'Balance Sheet'!AR35/'Balance Sheet'!AR55</f>
        <v>0.46648894663348689</v>
      </c>
      <c r="AS18" s="97">
        <f>'Balance Sheet'!AS35/'Balance Sheet'!AS55</f>
        <v>0.72328469994914424</v>
      </c>
    </row>
    <row r="19" spans="1:45" x14ac:dyDescent="0.3">
      <c r="A19" s="34" t="s">
        <v>492</v>
      </c>
      <c r="B19" s="96">
        <f>'Balance Sheet'!B39/'Balance Sheet'!B56</f>
        <v>0</v>
      </c>
      <c r="C19" s="96">
        <f>'Balance Sheet'!C39/'Balance Sheet'!C56</f>
        <v>0</v>
      </c>
      <c r="D19" s="96">
        <f>'Balance Sheet'!D39/'Balance Sheet'!D56</f>
        <v>0</v>
      </c>
      <c r="E19" s="96">
        <f>'Balance Sheet'!E39/'Balance Sheet'!E56</f>
        <v>0</v>
      </c>
      <c r="F19" s="96">
        <f>'Balance Sheet'!F39/'Balance Sheet'!F56</f>
        <v>0</v>
      </c>
      <c r="G19" s="96">
        <f>'Balance Sheet'!G39/'Balance Sheet'!G56</f>
        <v>0</v>
      </c>
      <c r="I19" s="34" t="s">
        <v>492</v>
      </c>
      <c r="J19" s="96">
        <v>0</v>
      </c>
      <c r="K19" s="96">
        <v>1</v>
      </c>
      <c r="L19" s="96">
        <v>2</v>
      </c>
      <c r="M19" s="96">
        <v>3</v>
      </c>
      <c r="N19" s="96">
        <v>4</v>
      </c>
      <c r="P19" s="34" t="s">
        <v>492</v>
      </c>
      <c r="Q19" s="96">
        <f>'Balance Sheet'!Q43/'Balance Sheet'!Q61</f>
        <v>7.6259864665883574E-5</v>
      </c>
      <c r="R19" s="96">
        <f>'Balance Sheet'!R43/'Balance Sheet'!R61</f>
        <v>7.5589987984172173E-5</v>
      </c>
      <c r="S19" s="96">
        <f>'Balance Sheet'!S43/'Balance Sheet'!S61</f>
        <v>6.2775410936253187E-5</v>
      </c>
      <c r="T19" s="96">
        <f>'Balance Sheet'!T43/'Balance Sheet'!T61</f>
        <v>4.0636689597869099E-5</v>
      </c>
      <c r="U19" s="96">
        <f>'Balance Sheet'!U43/'Balance Sheet'!U61</f>
        <v>1.9166651420466674E-5</v>
      </c>
      <c r="V19" s="96">
        <f>'Balance Sheet'!V43/'Balance Sheet'!V61</f>
        <v>0</v>
      </c>
      <c r="X19" s="34" t="s">
        <v>492</v>
      </c>
      <c r="Y19" s="96">
        <f>'Balance Sheet'!Y40/'Balance Sheet'!Y59</f>
        <v>1.2546125461254613E-3</v>
      </c>
      <c r="Z19" s="96">
        <f>'Balance Sheet'!Z40/'Balance Sheet'!Z59</f>
        <v>5.4704595185995622E-4</v>
      </c>
      <c r="AA19" s="96">
        <f>'Balance Sheet'!AA40/'Balance Sheet'!AA59</f>
        <v>9.4366330093422672E-5</v>
      </c>
      <c r="AB19" s="96">
        <f>'Balance Sheet'!AB40/'Balance Sheet'!AB59</f>
        <v>0</v>
      </c>
      <c r="AC19" s="96">
        <f>'Balance Sheet'!AC40/'Balance Sheet'!AC59</f>
        <v>0.10465927099841521</v>
      </c>
      <c r="AD19" s="96">
        <f>'Balance Sheet'!AD40/'Balance Sheet'!AD59</f>
        <v>1.4638226683396068E-2</v>
      </c>
      <c r="AF19" s="34" t="s">
        <v>492</v>
      </c>
      <c r="AG19" s="96">
        <f>'Balance Sheet'!AG42/'Balance Sheet'!AG60</f>
        <v>5.4432071593046992E-2</v>
      </c>
      <c r="AH19" s="96">
        <f>'Balance Sheet'!AH42/'Balance Sheet'!AH60</f>
        <v>0</v>
      </c>
      <c r="AI19" s="96">
        <f>'Balance Sheet'!AI42/'Balance Sheet'!AI60</f>
        <v>6.4377260219362617E-2</v>
      </c>
      <c r="AJ19" s="96">
        <f>'Balance Sheet'!AJ42/'Balance Sheet'!AJ60</f>
        <v>6.1615807897761929E-2</v>
      </c>
      <c r="AK19" s="96">
        <f>'Balance Sheet'!AK42/'Balance Sheet'!AK60</f>
        <v>6.9614270255175068E-2</v>
      </c>
      <c r="AL19" s="96">
        <f>'Balance Sheet'!AL42/'Balance Sheet'!AL60</f>
        <v>5.2995655884938278E-2</v>
      </c>
      <c r="AN19" s="34" t="s">
        <v>492</v>
      </c>
      <c r="AO19" s="96">
        <f>'Balance Sheet'!AO38/'Balance Sheet'!AO55</f>
        <v>0.23404791875709596</v>
      </c>
      <c r="AP19" s="96">
        <f>'Balance Sheet'!AP38/'Balance Sheet'!AP55</f>
        <v>0.18951425793203552</v>
      </c>
      <c r="AQ19" s="96">
        <f>'Balance Sheet'!AQ38/'Balance Sheet'!AQ55</f>
        <v>0.14894969807668454</v>
      </c>
      <c r="AR19" s="96">
        <f>'Balance Sheet'!AR38/'Balance Sheet'!AR55</f>
        <v>0.20997560903822651</v>
      </c>
      <c r="AS19" s="96">
        <f>'Balance Sheet'!AS38/'Balance Sheet'!AS55</f>
        <v>3.6324415364560263E-2</v>
      </c>
    </row>
    <row r="20" spans="1:45" x14ac:dyDescent="0.3">
      <c r="A20" s="34" t="s">
        <v>493</v>
      </c>
      <c r="B20" s="96">
        <f>'Balance Sheet'!B40/'Balance Sheet'!B56</f>
        <v>1.8309188544646814E-2</v>
      </c>
      <c r="C20" s="96">
        <f>'Balance Sheet'!C40/'Balance Sheet'!C56</f>
        <v>2.2847882647662521E-2</v>
      </c>
      <c r="D20" s="96">
        <f>'Balance Sheet'!D40/'Balance Sheet'!D56</f>
        <v>3.277721190436797E-2</v>
      </c>
      <c r="E20" s="96">
        <f>'Balance Sheet'!E40/'Balance Sheet'!E56</f>
        <v>2.632565810003043E-2</v>
      </c>
      <c r="F20" s="96">
        <f>'Balance Sheet'!F40/'Balance Sheet'!F56</f>
        <v>1.8852350641255691E-2</v>
      </c>
      <c r="G20" s="96">
        <f>'Balance Sheet'!G40/'Balance Sheet'!G56</f>
        <v>2.2852934730630266E-2</v>
      </c>
      <c r="I20" s="34" t="s">
        <v>493</v>
      </c>
      <c r="J20" s="96">
        <f>'Balance Sheet'!J38/'Balance Sheet'!J53</f>
        <v>0</v>
      </c>
      <c r="K20" s="96">
        <f>'Balance Sheet'!K38/'Balance Sheet'!K53</f>
        <v>0</v>
      </c>
      <c r="L20" s="96">
        <f>'Balance Sheet'!L38/'Balance Sheet'!L53</f>
        <v>1.0631644777986242E-2</v>
      </c>
      <c r="M20" s="96">
        <f>'Balance Sheet'!M38/'Balance Sheet'!M53</f>
        <v>1.0508104428719316E-2</v>
      </c>
      <c r="N20" s="96">
        <f>'Balance Sheet'!N38/'Balance Sheet'!N53</f>
        <v>1.4089351456706456E-2</v>
      </c>
      <c r="P20" s="34" t="s">
        <v>493</v>
      </c>
      <c r="Q20" s="96">
        <f>'Balance Sheet'!Q44/'Balance Sheet'!Q61</f>
        <v>2.6367817613288554E-3</v>
      </c>
      <c r="R20" s="96">
        <f>'Balance Sheet'!R44/'Balance Sheet'!R61</f>
        <v>2.8036028518287227E-3</v>
      </c>
      <c r="S20" s="96">
        <f>'Balance Sheet'!S44/'Balance Sheet'!S61</f>
        <v>2.5067451208297224E-3</v>
      </c>
      <c r="T20" s="96">
        <f>'Balance Sheet'!T44/'Balance Sheet'!T61</f>
        <v>2.484427065758547E-3</v>
      </c>
      <c r="U20" s="96">
        <f>'Balance Sheet'!U44/'Balance Sheet'!U61</f>
        <v>2.5113758432237614E-3</v>
      </c>
      <c r="V20" s="96">
        <f>'Balance Sheet'!V44/'Balance Sheet'!V61</f>
        <v>1.55759950995951E-3</v>
      </c>
      <c r="X20" s="34" t="s">
        <v>493</v>
      </c>
      <c r="Y20" s="96">
        <f>'Balance Sheet'!Y41/'Balance Sheet'!Y59</f>
        <v>7.7933579335793354E-2</v>
      </c>
      <c r="Z20" s="96">
        <f>'Balance Sheet'!Z41/'Balance Sheet'!Z59</f>
        <v>6.4369073668854845E-2</v>
      </c>
      <c r="AA20" s="96">
        <f>'Balance Sheet'!AA41/'Balance Sheet'!AA59</f>
        <v>5.3694441823157496E-2</v>
      </c>
      <c r="AB20" s="96">
        <f>'Balance Sheet'!AB41/'Balance Sheet'!AB59</f>
        <v>5.9467860711245976E-2</v>
      </c>
      <c r="AC20" s="96">
        <f>'Balance Sheet'!AC41/'Balance Sheet'!AC59</f>
        <v>6.4405705229793983E-2</v>
      </c>
      <c r="AD20" s="96">
        <f>'Balance Sheet'!AD41/'Balance Sheet'!AD59</f>
        <v>5.702757891111275E-2</v>
      </c>
      <c r="AF20" s="34" t="s">
        <v>493</v>
      </c>
      <c r="AG20" s="96">
        <f>'Balance Sheet'!AG43/'Balance Sheet'!AG60</f>
        <v>0.40445422650308349</v>
      </c>
      <c r="AH20" s="96">
        <f>'Balance Sheet'!AH43/'Balance Sheet'!AH60</f>
        <v>0.45287426206337483</v>
      </c>
      <c r="AI20" s="96">
        <f>'Balance Sheet'!AI43/'Balance Sheet'!AI60</f>
        <v>0.53404081273411153</v>
      </c>
      <c r="AJ20" s="96">
        <f>'Balance Sheet'!AJ43/'Balance Sheet'!AJ60</f>
        <v>0.46404826808784966</v>
      </c>
      <c r="AK20" s="96">
        <f>'Balance Sheet'!AK43/'Balance Sheet'!AK60</f>
        <v>0.11801584808182358</v>
      </c>
      <c r="AL20" s="96">
        <f>'Balance Sheet'!AL43/'Balance Sheet'!AL60</f>
        <v>0.11696837671078725</v>
      </c>
      <c r="AN20" s="34" t="s">
        <v>493</v>
      </c>
      <c r="AO20" s="96">
        <v>0</v>
      </c>
      <c r="AP20" s="96">
        <v>1</v>
      </c>
      <c r="AQ20" s="96">
        <v>2</v>
      </c>
      <c r="AR20" s="96">
        <v>3</v>
      </c>
      <c r="AS20" s="96">
        <v>4</v>
      </c>
    </row>
    <row r="21" spans="1:45" x14ac:dyDescent="0.3">
      <c r="A21" s="34" t="s">
        <v>94</v>
      </c>
      <c r="B21" s="96">
        <f>'Balance Sheet'!B41/'Balance Sheet'!B56</f>
        <v>3.8918721975414961E-5</v>
      </c>
      <c r="C21" s="96">
        <f>'Balance Sheet'!C41/'Balance Sheet'!C56</f>
        <v>3.2220340261438769E-5</v>
      </c>
      <c r="D21" s="96">
        <f>'Balance Sheet'!D41/'Balance Sheet'!D56</f>
        <v>2.6498386829913963E-5</v>
      </c>
      <c r="E21" s="96">
        <f>'Balance Sheet'!E41/'Balance Sheet'!E56</f>
        <v>2.5957830124227546E-5</v>
      </c>
      <c r="F21" s="96">
        <f>'Balance Sheet'!F41/'Balance Sheet'!F56</f>
        <v>1.7471620421963244E-5</v>
      </c>
      <c r="G21" s="96">
        <f>'Balance Sheet'!G41/'Balance Sheet'!G56</f>
        <v>2.0147786066695749E-5</v>
      </c>
      <c r="I21" s="34" t="s">
        <v>94</v>
      </c>
      <c r="J21" s="96">
        <f>'Balance Sheet'!J39/'Balance Sheet'!J53</f>
        <v>2.1149820172848784E-2</v>
      </c>
      <c r="K21" s="96">
        <f>'Balance Sheet'!K39/'Balance Sheet'!K53</f>
        <v>4.6593559271572473E-2</v>
      </c>
      <c r="L21" s="96">
        <f>'Balance Sheet'!L39/'Balance Sheet'!L53</f>
        <v>4.3050162165306806E-3</v>
      </c>
      <c r="M21" s="96">
        <f>'Balance Sheet'!M39/'Balance Sheet'!M53</f>
        <v>5.0626090162655809E-3</v>
      </c>
      <c r="N21" s="96">
        <f>'Balance Sheet'!N39/'Balance Sheet'!N53</f>
        <v>9.1466133326539197E-3</v>
      </c>
      <c r="P21" s="34" t="s">
        <v>94</v>
      </c>
      <c r="Q21" s="96">
        <f>'Balance Sheet'!Q48/'Balance Sheet'!Q61</f>
        <v>2.093914928114091E-4</v>
      </c>
      <c r="R21" s="96">
        <f>'Balance Sheet'!R48/'Balance Sheet'!R61</f>
        <v>2.1051405255807088E-4</v>
      </c>
      <c r="S21" s="96">
        <f>'Balance Sheet'!S48/'Balance Sheet'!S61</f>
        <v>4.7152746812529971E-4</v>
      </c>
      <c r="T21" s="96">
        <f>'Balance Sheet'!T48/'Balance Sheet'!T61</f>
        <v>9.6456829979583839E-4</v>
      </c>
      <c r="U21" s="96">
        <f>'Balance Sheet'!U48/'Balance Sheet'!U61</f>
        <v>1.6304721878819719E-3</v>
      </c>
      <c r="V21" s="96">
        <f>'Balance Sheet'!V48/'Balance Sheet'!V61</f>
        <v>3.9175540477153761E-4</v>
      </c>
      <c r="X21" s="34" t="s">
        <v>94</v>
      </c>
      <c r="Y21" s="96">
        <f>'Balance Sheet'!Y45/'Balance Sheet'!Y59</f>
        <v>0</v>
      </c>
      <c r="Z21" s="96">
        <f>'Balance Sheet'!Z45/'Balance Sheet'!Z59</f>
        <v>6.0782883539995136E-5</v>
      </c>
      <c r="AA21" s="96">
        <f>'Balance Sheet'!AA45/'Balance Sheet'!AA59</f>
        <v>4.7183165046711336E-5</v>
      </c>
      <c r="AB21" s="96">
        <f>'Balance Sheet'!AB45/'Balance Sheet'!AB59</f>
        <v>3.7005513821559413E-5</v>
      </c>
      <c r="AC21" s="96">
        <f>'Balance Sheet'!AC45/'Balance Sheet'!AC59</f>
        <v>2.8526148969889063E-4</v>
      </c>
      <c r="AD21" s="96">
        <f>'Balance Sheet'!AD45/'Balance Sheet'!AD59</f>
        <v>2.4602061652766503E-4</v>
      </c>
      <c r="AF21" s="34" t="s">
        <v>94</v>
      </c>
      <c r="AG21" s="96">
        <f>'Balance Sheet'!AG47/'Balance Sheet'!AG60</f>
        <v>0</v>
      </c>
      <c r="AH21" s="96">
        <f>'Balance Sheet'!AH47/'Balance Sheet'!AH60</f>
        <v>0</v>
      </c>
      <c r="AI21" s="96">
        <f>'Balance Sheet'!AI47/'Balance Sheet'!AI60</f>
        <v>1.2296111063652437E-3</v>
      </c>
      <c r="AJ21" s="96">
        <f>'Balance Sheet'!AJ47/'Balance Sheet'!AJ60</f>
        <v>1.1693330347100114E-3</v>
      </c>
      <c r="AK21" s="96">
        <f>'Balance Sheet'!AK47/'Balance Sheet'!AK60</f>
        <v>1.1994275142248752E-3</v>
      </c>
      <c r="AL21" s="96">
        <f>'Balance Sheet'!AL47/'Balance Sheet'!AL60</f>
        <v>1.3100288333736747E-3</v>
      </c>
      <c r="AN21" s="34" t="s">
        <v>94</v>
      </c>
      <c r="AO21" s="96">
        <f>'Balance Sheet'!AO42/'Balance Sheet'!AO55</f>
        <v>8.6779785417472844E-5</v>
      </c>
      <c r="AP21" s="96">
        <f>'Balance Sheet'!AP42/'Balance Sheet'!AP55</f>
        <v>7.0336511610018441E-5</v>
      </c>
      <c r="AQ21" s="96">
        <f>'Balance Sheet'!AQ42/'Balance Sheet'!AQ55</f>
        <v>5.1230453727601981E-5</v>
      </c>
      <c r="AR21" s="96">
        <f>'Balance Sheet'!AR42/'Balance Sheet'!AR55</f>
        <v>4.5037977088970346E-4</v>
      </c>
      <c r="AS21" s="96">
        <f>'Balance Sheet'!AS42/'Balance Sheet'!AS55</f>
        <v>2.0441662623126339E-4</v>
      </c>
    </row>
    <row r="22" spans="1:45" x14ac:dyDescent="0.3">
      <c r="A22" s="35" t="s">
        <v>56</v>
      </c>
      <c r="B22" s="97">
        <f>'Balance Sheet'!B44/'Balance Sheet'!B56</f>
        <v>2.2394826294151016E-2</v>
      </c>
      <c r="C22" s="97">
        <f>'Balance Sheet'!C44/'Balance Sheet'!C56</f>
        <v>2.6808055377977539E-2</v>
      </c>
      <c r="D22" s="97">
        <f>'Balance Sheet'!D44/'Balance Sheet'!D56</f>
        <v>3.725673188285903E-2</v>
      </c>
      <c r="E22" s="97">
        <f>'Balance Sheet'!E44/'Balance Sheet'!E56</f>
        <v>3.0956093158786262E-2</v>
      </c>
      <c r="F22" s="97">
        <f>'Balance Sheet'!F44/'Balance Sheet'!F56</f>
        <v>2.3644296696447124E-2</v>
      </c>
      <c r="G22" s="97">
        <f>'Balance Sheet'!G44/'Balance Sheet'!G56</f>
        <v>2.8018991549854048E-2</v>
      </c>
      <c r="I22" s="35" t="s">
        <v>56</v>
      </c>
      <c r="J22" s="97">
        <f>'Balance Sheet'!J43/'Balance Sheet'!J53</f>
        <v>0.11149283375382468</v>
      </c>
      <c r="K22" s="97">
        <f>'Balance Sheet'!K43/'Balance Sheet'!K53</f>
        <v>0.12851684612712747</v>
      </c>
      <c r="L22" s="97">
        <f>'Balance Sheet'!L43/'Balance Sheet'!L53</f>
        <v>0.14485797809677561</v>
      </c>
      <c r="M22" s="97">
        <f>'Balance Sheet'!M43/'Balance Sheet'!M53</f>
        <v>0.1439369230114724</v>
      </c>
      <c r="N22" s="97">
        <f>'Balance Sheet'!N43/'Balance Sheet'!N53</f>
        <v>0.1808940241276959</v>
      </c>
      <c r="P22" s="35" t="s">
        <v>56</v>
      </c>
      <c r="Q22" s="97">
        <f>'Balance Sheet'!Q49/'Balance Sheet'!Q61</f>
        <v>2.7874143821451619E-2</v>
      </c>
      <c r="R22" s="97">
        <f>'Balance Sheet'!R49/'Balance Sheet'!R61</f>
        <v>3.2992320436525419E-2</v>
      </c>
      <c r="S22" s="97">
        <f>'Balance Sheet'!S49/'Balance Sheet'!S61</f>
        <v>2.9432866228187967E-2</v>
      </c>
      <c r="T22" s="97">
        <f>'Balance Sheet'!T49/'Balance Sheet'!T61</f>
        <v>3.0329408690755722E-2</v>
      </c>
      <c r="U22" s="97">
        <f>'Balance Sheet'!U49/'Balance Sheet'!U61</f>
        <v>3.5347116769338931E-2</v>
      </c>
      <c r="V22" s="97">
        <f>'Balance Sheet'!V49/'Balance Sheet'!V61</f>
        <v>3.8126961898807002E-2</v>
      </c>
      <c r="X22" s="35" t="s">
        <v>56</v>
      </c>
      <c r="Y22" s="97">
        <f>'Balance Sheet'!Y45/'Balance Sheet'!Y59</f>
        <v>0</v>
      </c>
      <c r="Z22" s="97">
        <f>'Balance Sheet'!Z45/'Balance Sheet'!Z59</f>
        <v>6.0782883539995136E-5</v>
      </c>
      <c r="AA22" s="97">
        <f>'Balance Sheet'!AA45/'Balance Sheet'!AA59</f>
        <v>4.7183165046711336E-5</v>
      </c>
      <c r="AB22" s="97">
        <f>'Balance Sheet'!AB45/'Balance Sheet'!AB59</f>
        <v>3.7005513821559413E-5</v>
      </c>
      <c r="AC22" s="97">
        <f>'Balance Sheet'!AC45/'Balance Sheet'!AC59</f>
        <v>2.8526148969889063E-4</v>
      </c>
      <c r="AD22" s="97">
        <f>'Balance Sheet'!AD45/'Balance Sheet'!AD59</f>
        <v>2.4602061652766503E-4</v>
      </c>
      <c r="AF22" s="35" t="s">
        <v>56</v>
      </c>
      <c r="AG22" s="97">
        <f>'Balance Sheet'!AG48/'Balance Sheet'!AG60</f>
        <v>0.46344621441594563</v>
      </c>
      <c r="AH22" s="97">
        <f>'Balance Sheet'!AH48/'Balance Sheet'!AH60</f>
        <v>0.45682972467254745</v>
      </c>
      <c r="AI22" s="97">
        <f>'Balance Sheet'!AI48/'Balance Sheet'!AI60</f>
        <v>0.60349701398650268</v>
      </c>
      <c r="AJ22" s="97">
        <f>'Balance Sheet'!AJ48/'Balance Sheet'!AJ60</f>
        <v>0.53511896880912391</v>
      </c>
      <c r="AK22" s="97">
        <f>'Balance Sheet'!AK48/'Balance Sheet'!AK60</f>
        <v>0.2119160819632073</v>
      </c>
      <c r="AL22" s="97">
        <f>'Balance Sheet'!AL48/'Balance Sheet'!AL60</f>
        <v>0.1938067696854657</v>
      </c>
      <c r="AN22" s="35" t="s">
        <v>56</v>
      </c>
      <c r="AO22" s="97">
        <f>'Balance Sheet'!AO43/'Balance Sheet'!AO55</f>
        <v>0.28784452845768094</v>
      </c>
      <c r="AP22" s="97">
        <f>'Balance Sheet'!AP43/'Balance Sheet'!AP55</f>
        <v>0.24716511459521284</v>
      </c>
      <c r="AQ22" s="97">
        <f>'Balance Sheet'!AQ43/'Balance Sheet'!AQ55</f>
        <v>0.20992428759914256</v>
      </c>
      <c r="AR22" s="97">
        <f>'Balance Sheet'!AR43/'Balance Sheet'!AR55</f>
        <v>0.26004282690213193</v>
      </c>
      <c r="AS22" s="97">
        <f>'Balance Sheet'!AS43/'Balance Sheet'!AS55</f>
        <v>8.1224348003427232E-2</v>
      </c>
    </row>
    <row r="23" spans="1:45" x14ac:dyDescent="0.3">
      <c r="A23" s="34" t="s">
        <v>494</v>
      </c>
      <c r="B23" s="96">
        <f>'Balance Sheet'!B47/'Balance Sheet'!B56</f>
        <v>3.0886560206020813E-4</v>
      </c>
      <c r="C23" s="96">
        <f>'Balance Sheet'!C47/'Balance Sheet'!C56</f>
        <v>0</v>
      </c>
      <c r="D23" s="96">
        <f>'Balance Sheet'!D47/'Balance Sheet'!D56</f>
        <v>0</v>
      </c>
      <c r="E23" s="96">
        <f>'Balance Sheet'!E47/'Balance Sheet'!E56</f>
        <v>0</v>
      </c>
      <c r="F23" s="96">
        <f>'Balance Sheet'!F47/'Balance Sheet'!F56</f>
        <v>0</v>
      </c>
      <c r="G23" s="96">
        <f>'Balance Sheet'!G47/'Balance Sheet'!G56</f>
        <v>0</v>
      </c>
      <c r="I23" s="34" t="s">
        <v>494</v>
      </c>
      <c r="J23" s="96">
        <f>'Balance Sheet'!J45/'Balance Sheet'!J53</f>
        <v>5.3142949165279939E-3</v>
      </c>
      <c r="K23" s="96">
        <f>'Balance Sheet'!K45/'Balance Sheet'!K53</f>
        <v>0</v>
      </c>
      <c r="L23" s="96">
        <f>'Balance Sheet'!L45/'Balance Sheet'!L53</f>
        <v>0</v>
      </c>
      <c r="M23" s="96">
        <f>'Balance Sheet'!M45/'Balance Sheet'!M53</f>
        <v>0</v>
      </c>
      <c r="N23" s="96">
        <f>'Balance Sheet'!N45/'Balance Sheet'!N53</f>
        <v>1.6560720518732721E-4</v>
      </c>
      <c r="P23" s="34" t="s">
        <v>494</v>
      </c>
      <c r="Q23" s="96">
        <f>'Balance Sheet'!Q52/'Balance Sheet'!Q61</f>
        <v>1.8354069122975367E-5</v>
      </c>
      <c r="R23" s="96">
        <f>'Balance Sheet'!R52/'Balance Sheet'!R61</f>
        <v>5.2560780175374199E-5</v>
      </c>
      <c r="S23" s="96">
        <f>'Balance Sheet'!S52/'Balance Sheet'!S61</f>
        <v>9.5781039366654339E-6</v>
      </c>
      <c r="T23" s="96">
        <f>'Balance Sheet'!T52/'Balance Sheet'!T61</f>
        <v>4.1125727123115656E-4</v>
      </c>
      <c r="U23" s="96">
        <f>'Balance Sheet'!U52/'Balance Sheet'!U61</f>
        <v>1.0367415995616065E-4</v>
      </c>
      <c r="V23" s="96">
        <f>'Balance Sheet'!V52/'Balance Sheet'!V61</f>
        <v>1.0359779263822233E-3</v>
      </c>
      <c r="X23" s="34" t="s">
        <v>494</v>
      </c>
      <c r="Y23" s="96">
        <f>'Balance Sheet'!Y49/'Balance Sheet'!Y59</f>
        <v>5.2103321033210331E-2</v>
      </c>
      <c r="Z23" s="96">
        <f>'Balance Sheet'!Z49/'Balance Sheet'!Z59</f>
        <v>9.4821298322392417E-3</v>
      </c>
      <c r="AA23" s="96">
        <f>'Balance Sheet'!AA49/'Balance Sheet'!AA59</f>
        <v>2.4346513164103047E-2</v>
      </c>
      <c r="AB23" s="96">
        <f>'Balance Sheet'!AB49/'Balance Sheet'!AB59</f>
        <v>8.1227102838322907E-2</v>
      </c>
      <c r="AC23" s="96">
        <f>'Balance Sheet'!AC49/'Balance Sheet'!AC59</f>
        <v>0.1437717908082409</v>
      </c>
      <c r="AD23" s="96">
        <f>'Balance Sheet'!AD49/'Balance Sheet'!AD59</f>
        <v>0.23841857947696016</v>
      </c>
      <c r="AF23" s="34" t="s">
        <v>494</v>
      </c>
      <c r="AG23" s="96">
        <f>0</f>
        <v>0</v>
      </c>
      <c r="AH23" s="96">
        <f>0</f>
        <v>0</v>
      </c>
      <c r="AI23" s="96">
        <f>0</f>
        <v>0</v>
      </c>
      <c r="AJ23" s="96">
        <f>0</f>
        <v>0</v>
      </c>
      <c r="AK23" s="96">
        <f>0</f>
        <v>0</v>
      </c>
      <c r="AL23" s="96">
        <f>0</f>
        <v>0</v>
      </c>
      <c r="AN23" s="34" t="s">
        <v>494</v>
      </c>
      <c r="AO23" s="96">
        <f>'Balance Sheet'!AO45/'Balance Sheet'!AO55</f>
        <v>8.4398425147883288E-2</v>
      </c>
      <c r="AP23" s="96">
        <f>'Balance Sheet'!AP45/'Balance Sheet'!AP55</f>
        <v>0.15975355256865181</v>
      </c>
      <c r="AQ23" s="96">
        <f>'Balance Sheet'!AQ45/'Balance Sheet'!AQ55</f>
        <v>0.16971510865427256</v>
      </c>
      <c r="AR23" s="96">
        <f>'Balance Sheet'!AR45/'Balance Sheet'!AR55</f>
        <v>0.13204878087002705</v>
      </c>
      <c r="AS23" s="96">
        <f>'Balance Sheet'!AS45/'Balance Sheet'!AS55</f>
        <v>6.5830535981171709E-2</v>
      </c>
    </row>
    <row r="24" spans="1:45" x14ac:dyDescent="0.3">
      <c r="A24" s="34" t="s">
        <v>495</v>
      </c>
      <c r="B24" s="96">
        <f>('Balance Sheet'!B49+'Balance Sheet'!B50)/'Balance Sheet'!B56</f>
        <v>3.5892170298390674E-2</v>
      </c>
      <c r="C24" s="96">
        <f>('Balance Sheet'!C49+'Balance Sheet'!C50)/'Balance Sheet'!C56</f>
        <v>4.2335330262149078E-2</v>
      </c>
      <c r="D24" s="96">
        <f>('Balance Sheet'!D49+'Balance Sheet'!D50)/'Balance Sheet'!D56</f>
        <v>3.8080120780939773E-2</v>
      </c>
      <c r="E24" s="96">
        <f>('Balance Sheet'!E49+'Balance Sheet'!E50)/'Balance Sheet'!E56</f>
        <v>4.1631388870939319E-2</v>
      </c>
      <c r="F24" s="96">
        <f>('Balance Sheet'!F49+'Balance Sheet'!F50)/'Balance Sheet'!F56</f>
        <v>4.6503314885820601E-2</v>
      </c>
      <c r="G24" s="96">
        <f>('Balance Sheet'!G49+'Balance Sheet'!G50)/'Balance Sheet'!G56</f>
        <v>4.4029491424649951E-2</v>
      </c>
      <c r="I24" s="34" t="s">
        <v>495</v>
      </c>
      <c r="J24" s="96">
        <f>('Balance Sheet'!J47+'Balance Sheet'!J48)/'Balance Sheet'!J53</f>
        <v>0.38681625422728005</v>
      </c>
      <c r="K24" s="96">
        <f>('Balance Sheet'!K47+'Balance Sheet'!K48)/'Balance Sheet'!K53</f>
        <v>0.3738897434625118</v>
      </c>
      <c r="L24" s="96">
        <f>('Balance Sheet'!L47+'Balance Sheet'!L48)/'Balance Sheet'!L53</f>
        <v>0.12801605654696976</v>
      </c>
      <c r="M24" s="96">
        <f>('Balance Sheet'!M47+'Balance Sheet'!M48)/'Balance Sheet'!M53</f>
        <v>0.12859310520867309</v>
      </c>
      <c r="N24" s="96">
        <f>('Balance Sheet'!N47+'Balance Sheet'!N48)/'Balance Sheet'!N53</f>
        <v>0.13358131950725488</v>
      </c>
      <c r="P24" s="34" t="s">
        <v>495</v>
      </c>
      <c r="Q24" s="96">
        <f>('Balance Sheet'!Q53+'Balance Sheet'!Q54)/'Balance Sheet'!Q61</f>
        <v>4.6917007552570195E-2</v>
      </c>
      <c r="R24" s="96">
        <f>('Balance Sheet'!R53+'Balance Sheet'!R54)/'Balance Sheet'!R61</f>
        <v>5.8504076847111799E-2</v>
      </c>
      <c r="S24" s="96">
        <f>('Balance Sheet'!S53+'Balance Sheet'!S54)/'Balance Sheet'!S61</f>
        <v>5.717429107469562E-2</v>
      </c>
      <c r="T24" s="96">
        <f>('Balance Sheet'!T53+'Balance Sheet'!T54)/'Balance Sheet'!T61</f>
        <v>5.424811761305906E-2</v>
      </c>
      <c r="U24" s="96">
        <f>('Balance Sheet'!U53+'Balance Sheet'!U54)/'Balance Sheet'!U61</f>
        <v>5.2249054082191833E-2</v>
      </c>
      <c r="V24" s="96">
        <f>('Balance Sheet'!V53+'Balance Sheet'!V54)/'Balance Sheet'!V61</f>
        <v>5.4572174945181483E-2</v>
      </c>
      <c r="X24" s="34" t="s">
        <v>495</v>
      </c>
      <c r="Y24" s="96">
        <f>('Balance Sheet'!Y52+'Balance Sheet'!Y53)/'Balance Sheet'!Y59</f>
        <v>4.3985239852398522E-2</v>
      </c>
      <c r="Z24" s="96">
        <f>('Balance Sheet'!Z52+'Balance Sheet'!Z53)/'Balance Sheet'!Z59</f>
        <v>4.7957695113056163E-2</v>
      </c>
      <c r="AA24" s="96">
        <f>('Balance Sheet'!AA52+'Balance Sheet'!AA53)/'Balance Sheet'!AA59</f>
        <v>6.1055015570444467E-2</v>
      </c>
      <c r="AB24" s="96">
        <f>('Balance Sheet'!AB52+'Balance Sheet'!AB53)/'Balance Sheet'!AB59</f>
        <v>4.4924693779373123E-2</v>
      </c>
      <c r="AC24" s="96">
        <f>('Balance Sheet'!AC52+'Balance Sheet'!AC53)/'Balance Sheet'!AC59</f>
        <v>4.4690966719492867E-2</v>
      </c>
      <c r="AD24" s="96">
        <f>('Balance Sheet'!AD52+'Balance Sheet'!AD53)/'Balance Sheet'!AD59</f>
        <v>4.8293847024380644E-2</v>
      </c>
      <c r="AF24" s="34" t="s">
        <v>495</v>
      </c>
      <c r="AG24" s="96">
        <f>('Balance Sheet'!AG52+'Balance Sheet'!AG53)/'Balance Sheet'!AG60</f>
        <v>5.4052532560453843E-2</v>
      </c>
      <c r="AH24" s="96">
        <f>('Balance Sheet'!AH52+'Balance Sheet'!AH53)/'Balance Sheet'!AH60</f>
        <v>4.7970466810978156E-2</v>
      </c>
      <c r="AI24" s="96">
        <f>('Balance Sheet'!AI52+'Balance Sheet'!AI53)/'Balance Sheet'!AI60</f>
        <v>4.8929461740973998E-2</v>
      </c>
      <c r="AJ24" s="96">
        <f>('Balance Sheet'!AJ52+'Balance Sheet'!AJ53)/'Balance Sheet'!AJ60</f>
        <v>8.2313621306856502E-2</v>
      </c>
      <c r="AK24" s="96">
        <f>('Balance Sheet'!AK52+'Balance Sheet'!AK53)/'Balance Sheet'!AK60</f>
        <v>0.10806157712849514</v>
      </c>
      <c r="AL24" s="96">
        <f>('Balance Sheet'!AL52+'Balance Sheet'!AL53)/'Balance Sheet'!AL60</f>
        <v>9.8537736049360711E-2</v>
      </c>
      <c r="AN24" s="34" t="s">
        <v>495</v>
      </c>
      <c r="AO24" s="96">
        <f>('Balance Sheet'!AO47+'Balance Sheet'!AO48)/'Balance Sheet'!AO55</f>
        <v>6.0460327746204842E-2</v>
      </c>
      <c r="AP24" s="96">
        <f>('Balance Sheet'!AP47+'Balance Sheet'!AP48)/'Balance Sheet'!AP55</f>
        <v>7.4386661438284471E-2</v>
      </c>
      <c r="AQ24" s="96">
        <f>('Balance Sheet'!AQ47+'Balance Sheet'!AQ48)/'Balance Sheet'!AQ55</f>
        <v>7.1089671750786079E-2</v>
      </c>
      <c r="AR24" s="96">
        <f>('Balance Sheet'!AR47+'Balance Sheet'!AR48)/'Balance Sheet'!AR55</f>
        <v>4.9926836332978931E-2</v>
      </c>
      <c r="AS24" s="96">
        <f>('Balance Sheet'!AS47+'Balance Sheet'!AS48)/'Balance Sheet'!AS55</f>
        <v>6.7422790703904389E-2</v>
      </c>
    </row>
    <row r="25" spans="1:45" x14ac:dyDescent="0.3">
      <c r="A25" s="34" t="s">
        <v>65</v>
      </c>
      <c r="B25" s="96">
        <f>'Balance Sheet'!B53/'Balance Sheet'!B56</f>
        <v>1.7140798827469995E-3</v>
      </c>
      <c r="C25" s="96">
        <f>'Balance Sheet'!C53/'Balance Sheet'!C56</f>
        <v>2.9825783155645476E-3</v>
      </c>
      <c r="D25" s="96">
        <f>'Balance Sheet'!D53/'Balance Sheet'!D56</f>
        <v>2.355124917273329E-3</v>
      </c>
      <c r="E25" s="96">
        <f>'Balance Sheet'!E53/'Balance Sheet'!E56</f>
        <v>2.8095208902541601E-3</v>
      </c>
      <c r="F25" s="96">
        <f>'Balance Sheet'!F53/'Balance Sheet'!F56</f>
        <v>2.8823451636665848E-3</v>
      </c>
      <c r="G25" s="96">
        <f>'Balance Sheet'!G53/'Balance Sheet'!G56</f>
        <v>2.0205351169743451E-3</v>
      </c>
      <c r="I25" s="34" t="s">
        <v>65</v>
      </c>
      <c r="J25" s="96">
        <f>'Balance Sheet'!J50/'Balance Sheet'!J53</f>
        <v>1.8626872081163776E-2</v>
      </c>
      <c r="K25" s="96">
        <f>'Balance Sheet'!K50/'Balance Sheet'!K53</f>
        <v>2.1237532873517592E-2</v>
      </c>
      <c r="L25" s="96">
        <f>'Balance Sheet'!L50/'Balance Sheet'!L53</f>
        <v>8.5518565382433787E-3</v>
      </c>
      <c r="M25" s="96">
        <f>'Balance Sheet'!M50/'Balance Sheet'!M53</f>
        <v>9.4303501283378478E-3</v>
      </c>
      <c r="N25" s="96">
        <f>'Balance Sheet'!N50/'Balance Sheet'!N53</f>
        <v>1.0280385737397929E-2</v>
      </c>
      <c r="P25" s="34" t="s">
        <v>65</v>
      </c>
      <c r="Q25" s="96">
        <f>'Balance Sheet'!Q57/'Balance Sheet'!Q61</f>
        <v>5.2641538308819881E-2</v>
      </c>
      <c r="R25" s="96">
        <f>'Balance Sheet'!R57/'Balance Sheet'!R61</f>
        <v>5.8174488243589416E-2</v>
      </c>
      <c r="S25" s="96">
        <f>'Balance Sheet'!S57/'Balance Sheet'!S61</f>
        <v>6.6218739301484406E-2</v>
      </c>
      <c r="T25" s="96">
        <f>'Balance Sheet'!T57/'Balance Sheet'!T61</f>
        <v>6.487140991148653E-2</v>
      </c>
      <c r="U25" s="96">
        <f>'Balance Sheet'!U57/'Balance Sheet'!U61</f>
        <v>6.0927300019950753E-2</v>
      </c>
      <c r="V25" s="96">
        <f>'Balance Sheet'!V57/'Balance Sheet'!V61</f>
        <v>6.9794784192834025E-2</v>
      </c>
      <c r="X25" s="34" t="s">
        <v>65</v>
      </c>
      <c r="Y25" s="96">
        <f>'Balance Sheet'!Y55/'Balance Sheet'!Y59</f>
        <v>0.16280442804428044</v>
      </c>
      <c r="Z25" s="96">
        <f>'Balance Sheet'!Z55/'Balance Sheet'!Z59</f>
        <v>0.12235594456601021</v>
      </c>
      <c r="AA25" s="96">
        <f>'Balance Sheet'!AA55/'Balance Sheet'!AA59</f>
        <v>0.1190431254128527</v>
      </c>
      <c r="AB25" s="96">
        <f>'Balance Sheet'!AB55/'Balance Sheet'!AB59</f>
        <v>0.13014839211042445</v>
      </c>
      <c r="AC25" s="96">
        <f>'Balance Sheet'!AC55/'Balance Sheet'!AC59</f>
        <v>0.12969889064976228</v>
      </c>
      <c r="AD25" s="96">
        <f>'Balance Sheet'!AD55/'Balance Sheet'!AD59</f>
        <v>0.10925775579993603</v>
      </c>
      <c r="AF25" s="34" t="s">
        <v>65</v>
      </c>
      <c r="AG25" s="96">
        <f>'Balance Sheet'!AG55/'Balance Sheet'!AG60</f>
        <v>7.496349887772669E-3</v>
      </c>
      <c r="AH25" s="96">
        <f>'Balance Sheet'!AH55/'Balance Sheet'!AH60</f>
        <v>8.0664182272748731E-3</v>
      </c>
      <c r="AI25" s="96">
        <f>'Balance Sheet'!AI55/'Balance Sheet'!AI60</f>
        <v>9.306214583964318E-3</v>
      </c>
      <c r="AJ25" s="96">
        <f>'Balance Sheet'!AJ55/'Balance Sheet'!AJ60</f>
        <v>1.4655640701698811E-2</v>
      </c>
      <c r="AK25" s="96">
        <f>'Balance Sheet'!AK55/'Balance Sheet'!AK60</f>
        <v>2.0951583062798897E-2</v>
      </c>
      <c r="AL25" s="96">
        <f>'Balance Sheet'!AL55/'Balance Sheet'!AL60</f>
        <v>1.8323417880088837E-2</v>
      </c>
      <c r="AN25" s="34" t="s">
        <v>65</v>
      </c>
      <c r="AO25" s="96">
        <f>'Balance Sheet'!AO50/'Balance Sheet'!AO55</f>
        <v>3.763121452329464E-2</v>
      </c>
      <c r="AP25" s="96">
        <f>'Balance Sheet'!AP50/'Balance Sheet'!AP55</f>
        <v>3.2364828483423577E-2</v>
      </c>
      <c r="AQ25" s="96">
        <f>'Balance Sheet'!AQ50/'Balance Sheet'!AQ55</f>
        <v>4.2172581771652583E-2</v>
      </c>
      <c r="AR25" s="96">
        <f>'Balance Sheet'!AR50/'Balance Sheet'!AR55</f>
        <v>3.0624046605614748E-2</v>
      </c>
      <c r="AS25" s="96">
        <f>'Balance Sheet'!AS50/'Balance Sheet'!AS55</f>
        <v>2.1243385408947751E-2</v>
      </c>
    </row>
    <row r="26" spans="1:45" x14ac:dyDescent="0.3">
      <c r="A26" s="35" t="s">
        <v>62</v>
      </c>
      <c r="B26" s="97">
        <f>'Balance Sheet'!B55/'Balance Sheet'!B56</f>
        <v>6.0100443425013153E-2</v>
      </c>
      <c r="C26" s="97">
        <f>'Balance Sheet'!C55/'Balance Sheet'!C56</f>
        <v>8.0973376479298059E-2</v>
      </c>
      <c r="D26" s="97">
        <f>'Balance Sheet'!D55/'Balance Sheet'!D56</f>
        <v>7.8738340709794838E-2</v>
      </c>
      <c r="E26" s="97">
        <f>'Balance Sheet'!E55/'Balance Sheet'!E56</f>
        <v>8.1022119937325637E-2</v>
      </c>
      <c r="F26" s="97">
        <f>'Balance Sheet'!F55/'Balance Sheet'!F56</f>
        <v>9.3456169843038728E-2</v>
      </c>
      <c r="G26" s="97">
        <f>'Balance Sheet'!G55/'Balance Sheet'!G56</f>
        <v>9.0959441684289113E-2</v>
      </c>
      <c r="I26" s="35" t="s">
        <v>62</v>
      </c>
      <c r="J26" s="97">
        <f>'Balance Sheet'!J52/'Balance Sheet'!J53</f>
        <v>0.46524236405604164</v>
      </c>
      <c r="K26" s="97">
        <f>'Balance Sheet'!K52/'Balance Sheet'!K53</f>
        <v>0.4623133032302883</v>
      </c>
      <c r="L26" s="97">
        <f>'Balance Sheet'!L52/'Balance Sheet'!L53</f>
        <v>0.16148174004101401</v>
      </c>
      <c r="M26" s="97">
        <f>'Balance Sheet'!M52/'Balance Sheet'!M53</f>
        <v>0.15996142774082844</v>
      </c>
      <c r="N26" s="97">
        <f>'Balance Sheet'!N52/'Balance Sheet'!N53</f>
        <v>0.1640275672301558</v>
      </c>
      <c r="P26" s="35" t="s">
        <v>62</v>
      </c>
      <c r="Q26" s="97">
        <f>'Balance Sheet'!Q60/'Balance Sheet'!Q61</f>
        <v>0.12356385871813115</v>
      </c>
      <c r="R26" s="97">
        <f>'Balance Sheet'!R60/'Balance Sheet'!R61</f>
        <v>0.14480874242914796</v>
      </c>
      <c r="S26" s="97">
        <f>'Balance Sheet'!S60/'Balance Sheet'!S61</f>
        <v>0.15743956572359016</v>
      </c>
      <c r="T26" s="97">
        <f>'Balance Sheet'!T60/'Balance Sheet'!T61</f>
        <v>0.15997826344637783</v>
      </c>
      <c r="U26" s="97">
        <f>'Balance Sheet'!U60/'Balance Sheet'!U61</f>
        <v>0.14909041170838463</v>
      </c>
      <c r="V26" s="97">
        <f>'Balance Sheet'!V60/'Balance Sheet'!V61</f>
        <v>0.16271993813647478</v>
      </c>
      <c r="X26" s="35" t="s">
        <v>62</v>
      </c>
      <c r="Y26" s="97">
        <f>'Balance Sheet'!Y58/'Balance Sheet'!Y59</f>
        <v>0.41535055350553507</v>
      </c>
      <c r="Z26" s="97">
        <f>'Balance Sheet'!Z58/'Balance Sheet'!Z59</f>
        <v>0.46887916362752247</v>
      </c>
      <c r="AA26" s="97">
        <f>'Balance Sheet'!AA58/'Balance Sheet'!AA59</f>
        <v>0.49598943097102954</v>
      </c>
      <c r="AB26" s="97">
        <f>'Balance Sheet'!AB58/'Balance Sheet'!AB59</f>
        <v>0.49084113532916407</v>
      </c>
      <c r="AC26" s="97">
        <f>'Balance Sheet'!AC58/'Balance Sheet'!AC59</f>
        <v>0.52389857369255155</v>
      </c>
      <c r="AD26" s="97">
        <f>'Balance Sheet'!AD58/'Balance Sheet'!AD59</f>
        <v>0.63456097620980634</v>
      </c>
      <c r="AF26" s="35" t="s">
        <v>62</v>
      </c>
      <c r="AG26" s="97">
        <f>'Balance Sheet'!AG58/'Balance Sheet'!AG60</f>
        <v>8.848707388117702E-2</v>
      </c>
      <c r="AH26" s="97">
        <f>'Balance Sheet'!AH58/'Balance Sheet'!AH60</f>
        <v>0.13128501868536777</v>
      </c>
      <c r="AI26" s="97">
        <f>'Balance Sheet'!AI58/'Balance Sheet'!AI60</f>
        <v>8.4577829205723001E-2</v>
      </c>
      <c r="AJ26" s="97">
        <f>'Balance Sheet'!AJ58/'Balance Sheet'!AJ60</f>
        <v>0.13536793156741361</v>
      </c>
      <c r="AK26" s="97">
        <f>'Balance Sheet'!AK58/'Balance Sheet'!AK60</f>
        <v>0.21523649945893117</v>
      </c>
      <c r="AL26" s="97">
        <f>'Balance Sheet'!AL58/'Balance Sheet'!AL60</f>
        <v>0.21345720218607084</v>
      </c>
      <c r="AN26" s="35" t="s">
        <v>62</v>
      </c>
      <c r="AO26" s="97">
        <f>'Balance Sheet'!AO53/'Balance Sheet'!AO55</f>
        <v>0.28788070640636987</v>
      </c>
      <c r="AP26" s="97">
        <f>'Balance Sheet'!AP53/'Balance Sheet'!AP55</f>
        <v>0.31423009006417862</v>
      </c>
      <c r="AQ26" s="97">
        <f>'Balance Sheet'!AQ53/'Balance Sheet'!AQ55</f>
        <v>0.34025792549781075</v>
      </c>
      <c r="AR26" s="97">
        <f>'Balance Sheet'!AR53/'Balance Sheet'!AR55</f>
        <v>0.27346822646438118</v>
      </c>
      <c r="AS26" s="97">
        <f>'Balance Sheet'!AS53/'Balance Sheet'!AS55</f>
        <v>0.19549095204742839</v>
      </c>
    </row>
    <row r="27" spans="1:45" x14ac:dyDescent="0.3">
      <c r="A27" s="35" t="s">
        <v>118</v>
      </c>
      <c r="B27" s="97">
        <f>('Balance Sheet'!B44+'Balance Sheet'!B55)/'Balance Sheet'!B56</f>
        <v>8.2495269719164169E-2</v>
      </c>
      <c r="C27" s="97">
        <f>('Balance Sheet'!C44+'Balance Sheet'!C55)/'Balance Sheet'!C56</f>
        <v>0.10778143185727559</v>
      </c>
      <c r="D27" s="97">
        <f>('Balance Sheet'!D44+'Balance Sheet'!D55)/'Balance Sheet'!D56</f>
        <v>0.11599507259265388</v>
      </c>
      <c r="E27" s="97">
        <f>('Balance Sheet'!E44+'Balance Sheet'!E55)/'Balance Sheet'!E56</f>
        <v>0.11197821309611192</v>
      </c>
      <c r="F27" s="97">
        <f>('Balance Sheet'!F44+'Balance Sheet'!F55)/'Balance Sheet'!F56</f>
        <v>0.11710046653948585</v>
      </c>
      <c r="G27" s="97">
        <f>('Balance Sheet'!G44+'Balance Sheet'!G55)/'Balance Sheet'!G56</f>
        <v>0.11897843323414316</v>
      </c>
      <c r="I27" s="35" t="s">
        <v>118</v>
      </c>
      <c r="J27" s="97">
        <f>('Balance Sheet'!J43+'Balance Sheet'!J52)/'Balance Sheet'!J53</f>
        <v>0.57673519780986637</v>
      </c>
      <c r="K27" s="97">
        <f>('Balance Sheet'!K43+'Balance Sheet'!K52)/'Balance Sheet'!K53</f>
        <v>0.59083014935741573</v>
      </c>
      <c r="L27" s="97">
        <f>('Balance Sheet'!L43+'Balance Sheet'!L52)/'Balance Sheet'!L53</f>
        <v>0.3063397181377896</v>
      </c>
      <c r="M27" s="97">
        <f>('Balance Sheet'!M43+'Balance Sheet'!M52)/'Balance Sheet'!M53</f>
        <v>0.30389835075230087</v>
      </c>
      <c r="N27" s="97">
        <f>('Balance Sheet'!N43+'Balance Sheet'!N52)/'Balance Sheet'!N53</f>
        <v>0.34492159135785172</v>
      </c>
      <c r="P27" s="35" t="s">
        <v>118</v>
      </c>
      <c r="Q27" s="97">
        <f>('Balance Sheet'!Q49+'Balance Sheet'!Q60)/'Balance Sheet'!Q61</f>
        <v>0.15143800253958278</v>
      </c>
      <c r="R27" s="97">
        <f>('Balance Sheet'!R49+'Balance Sheet'!R60)/'Balance Sheet'!R61</f>
        <v>0.17780106286567338</v>
      </c>
      <c r="S27" s="97">
        <f>('Balance Sheet'!S49+'Balance Sheet'!S60)/'Balance Sheet'!S61</f>
        <v>0.18687243195177813</v>
      </c>
      <c r="T27" s="97">
        <f>('Balance Sheet'!T49+'Balance Sheet'!T60)/'Balance Sheet'!T61</f>
        <v>0.19030767213713357</v>
      </c>
      <c r="U27" s="97">
        <f>('Balance Sheet'!U49+'Balance Sheet'!U60)/'Balance Sheet'!U61</f>
        <v>0.18443752847772357</v>
      </c>
      <c r="V27" s="97">
        <f>('Balance Sheet'!V49+'Balance Sheet'!V60)/'Balance Sheet'!V61</f>
        <v>0.20084690003528177</v>
      </c>
      <c r="X27" s="35" t="s">
        <v>118</v>
      </c>
      <c r="Y27" s="97">
        <f>('Balance Sheet'!Y46+'Balance Sheet'!Y58)/'Balance Sheet'!Y59</f>
        <v>0.5075276752767528</v>
      </c>
      <c r="Z27" s="97">
        <f>('Balance Sheet'!Z46+'Balance Sheet'!Z58)/'Balance Sheet'!Z59</f>
        <v>0.54400680768295651</v>
      </c>
      <c r="AA27" s="97">
        <f>('Balance Sheet'!AA46+'Balance Sheet'!AA58)/'Balance Sheet'!AA59</f>
        <v>0.5596395206190431</v>
      </c>
      <c r="AB27" s="97">
        <f>('Balance Sheet'!AB46+'Balance Sheet'!AB58)/'Balance Sheet'!AB59</f>
        <v>0.55948636346815672</v>
      </c>
      <c r="AC27" s="97">
        <f>('Balance Sheet'!AC46+'Balance Sheet'!AC58)/'Balance Sheet'!AC59</f>
        <v>0.70228209191759117</v>
      </c>
      <c r="AD27" s="97">
        <f>('Balance Sheet'!AD46+'Balance Sheet'!AD58)/'Balance Sheet'!AD59</f>
        <v>0.71402563534824215</v>
      </c>
      <c r="AF27" s="35" t="s">
        <v>118</v>
      </c>
      <c r="AG27" s="97">
        <f>'Balance Sheet'!AG59/'Balance Sheet'!AG60</f>
        <v>0.55193328829712274</v>
      </c>
      <c r="AH27" s="97">
        <f>'Balance Sheet'!AH59/'Balance Sheet'!AH60</f>
        <v>0.58811474335791525</v>
      </c>
      <c r="AI27" s="97">
        <f>'Balance Sheet'!AI59/'Balance Sheet'!AI60</f>
        <v>0.68807484319222567</v>
      </c>
      <c r="AJ27" s="97">
        <f>'Balance Sheet'!AJ59/'Balance Sheet'!AJ60</f>
        <v>0.67048690037653758</v>
      </c>
      <c r="AK27" s="97">
        <f>'Balance Sheet'!AK59/'Balance Sheet'!AK60</f>
        <v>0.42715258142213841</v>
      </c>
      <c r="AL27" s="97">
        <f>'Balance Sheet'!AL59/'Balance Sheet'!AL60</f>
        <v>0.40726397187153651</v>
      </c>
      <c r="AN27" s="35" t="s">
        <v>118</v>
      </c>
      <c r="AO27" s="97">
        <f>'Balance Sheet'!AO54/'Balance Sheet'!AO55</f>
        <v>0.57572523486405081</v>
      </c>
      <c r="AP27" s="97">
        <f>'Balance Sheet'!AP54/'Balance Sheet'!AP55</f>
        <v>0.56139520465939141</v>
      </c>
      <c r="AQ27" s="97">
        <f>'Balance Sheet'!AQ54/'Balance Sheet'!AQ55</f>
        <v>0.55018221309695337</v>
      </c>
      <c r="AR27" s="97">
        <f>'Balance Sheet'!AR54/'Balance Sheet'!AR55</f>
        <v>0.53351105336651305</v>
      </c>
      <c r="AS27" s="97">
        <f>'Balance Sheet'!AS54/'Balance Sheet'!AS55</f>
        <v>0.27671530005085565</v>
      </c>
    </row>
    <row r="28" spans="1:45" x14ac:dyDescent="0.3">
      <c r="A28" s="36" t="s">
        <v>496</v>
      </c>
      <c r="B28" s="100">
        <f>B18+B22+B26</f>
        <v>1</v>
      </c>
      <c r="C28" s="100">
        <f t="shared" ref="C28:G28" si="6">C18+C22+C26</f>
        <v>1</v>
      </c>
      <c r="D28" s="100">
        <f t="shared" si="6"/>
        <v>1.0000000000000002</v>
      </c>
      <c r="E28" s="100">
        <f t="shared" si="6"/>
        <v>1</v>
      </c>
      <c r="F28" s="100">
        <f t="shared" si="6"/>
        <v>0.99999999999999989</v>
      </c>
      <c r="G28" s="100">
        <f t="shared" si="6"/>
        <v>1</v>
      </c>
      <c r="I28" s="36" t="s">
        <v>496</v>
      </c>
      <c r="J28" s="100">
        <f>J18+J22+J26</f>
        <v>1</v>
      </c>
      <c r="K28" s="100">
        <f t="shared" ref="K28:N28" si="7">K18+K22+K26</f>
        <v>1</v>
      </c>
      <c r="L28" s="100">
        <f t="shared" si="7"/>
        <v>1</v>
      </c>
      <c r="M28" s="100">
        <f t="shared" si="7"/>
        <v>1</v>
      </c>
      <c r="N28" s="100">
        <f t="shared" si="7"/>
        <v>0.99999999999999989</v>
      </c>
      <c r="P28" s="36" t="s">
        <v>496</v>
      </c>
      <c r="Q28" s="100">
        <f>Q18+Q27</f>
        <v>1</v>
      </c>
      <c r="R28" s="100">
        <f t="shared" ref="R28:V28" si="8">R18+R27</f>
        <v>1</v>
      </c>
      <c r="S28" s="100">
        <f t="shared" si="8"/>
        <v>1</v>
      </c>
      <c r="T28" s="100">
        <f t="shared" si="8"/>
        <v>1</v>
      </c>
      <c r="U28" s="100">
        <f t="shared" si="8"/>
        <v>1.0000000000000002</v>
      </c>
      <c r="V28" s="100">
        <f t="shared" si="8"/>
        <v>1</v>
      </c>
      <c r="X28" s="36" t="s">
        <v>496</v>
      </c>
      <c r="Y28" s="100">
        <f>Y18+Y27</f>
        <v>1</v>
      </c>
      <c r="Z28" s="100">
        <f t="shared" ref="Z28:AD28" si="9">Z18+Z27</f>
        <v>1</v>
      </c>
      <c r="AA28" s="100">
        <f t="shared" si="9"/>
        <v>1</v>
      </c>
      <c r="AB28" s="100">
        <f t="shared" si="9"/>
        <v>1</v>
      </c>
      <c r="AC28" s="100">
        <f t="shared" si="9"/>
        <v>1</v>
      </c>
      <c r="AD28" s="100">
        <f t="shared" si="9"/>
        <v>1</v>
      </c>
      <c r="AF28" s="36" t="s">
        <v>496</v>
      </c>
      <c r="AG28" s="100">
        <f>AG18+AG27</f>
        <v>1</v>
      </c>
      <c r="AH28" s="100">
        <f t="shared" ref="AH28:AL28" si="10">AH18+AH27</f>
        <v>1</v>
      </c>
      <c r="AI28" s="100">
        <f t="shared" si="10"/>
        <v>0.99999999999999989</v>
      </c>
      <c r="AJ28" s="100">
        <f t="shared" si="10"/>
        <v>1</v>
      </c>
      <c r="AK28" s="100">
        <f t="shared" si="10"/>
        <v>1</v>
      </c>
      <c r="AL28" s="100">
        <f t="shared" si="10"/>
        <v>1</v>
      </c>
      <c r="AN28" s="36" t="s">
        <v>496</v>
      </c>
      <c r="AO28" s="100">
        <f>AO18+AO27</f>
        <v>1</v>
      </c>
      <c r="AP28" s="100">
        <f t="shared" ref="AP28:AS28" si="11">AP18+AP27</f>
        <v>1</v>
      </c>
      <c r="AQ28" s="100">
        <f t="shared" si="11"/>
        <v>1</v>
      </c>
      <c r="AR28" s="100">
        <f t="shared" si="11"/>
        <v>1</v>
      </c>
      <c r="AS28" s="100">
        <f t="shared" si="11"/>
        <v>0.99999999999999989</v>
      </c>
    </row>
  </sheetData>
  <mergeCells count="6">
    <mergeCell ref="AR1:AS1"/>
    <mergeCell ref="F1:G1"/>
    <mergeCell ref="M1:N1"/>
    <mergeCell ref="U1:V1"/>
    <mergeCell ref="AC1:AD1"/>
    <mergeCell ref="AK1:AL1"/>
  </mergeCells>
  <pageMargins left="0.7" right="0.7" top="0.75" bottom="0.75" header="0.3" footer="0.3"/>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8DE09-D9C0-438C-9CC1-F4781C78ADE3}">
  <dimension ref="A1:AS30"/>
  <sheetViews>
    <sheetView topLeftCell="AI1" zoomScaleNormal="80" workbookViewId="0">
      <selection activeCell="AN10" sqref="AN10"/>
    </sheetView>
  </sheetViews>
  <sheetFormatPr defaultRowHeight="14.4" x14ac:dyDescent="0.3"/>
  <cols>
    <col min="1" max="1" width="35" style="1" bestFit="1" customWidth="1"/>
    <col min="2" max="7" width="10" style="20" bestFit="1" customWidth="1"/>
    <col min="8" max="8" width="8.88671875" style="1"/>
    <col min="9" max="9" width="45.6640625" style="1" bestFit="1" customWidth="1"/>
    <col min="10" max="14" width="10" style="20" bestFit="1" customWidth="1"/>
    <col min="15" max="15" width="8.88671875" style="1"/>
    <col min="16" max="16" width="50" style="1" bestFit="1" customWidth="1"/>
    <col min="17" max="22" width="10" style="20" bestFit="1" customWidth="1"/>
    <col min="23" max="23" width="8.88671875" style="1"/>
    <col min="24" max="24" width="48.33203125" style="1" bestFit="1" customWidth="1"/>
    <col min="25" max="30" width="10" style="20" bestFit="1" customWidth="1"/>
    <col min="31" max="31" width="8.88671875" style="1"/>
    <col min="32" max="32" width="46.88671875" style="1" bestFit="1" customWidth="1"/>
    <col min="33" max="36" width="8.88671875" style="20"/>
    <col min="37" max="38" width="10" style="20" bestFit="1" customWidth="1"/>
    <col min="39" max="39" width="8.88671875" style="1"/>
    <col min="40" max="40" width="58.6640625" style="1" bestFit="1" customWidth="1"/>
    <col min="41" max="42" width="8.88671875" style="20"/>
    <col min="43" max="45" width="10" style="20" bestFit="1" customWidth="1"/>
    <col min="46" max="16384" width="8.88671875" style="1"/>
  </cols>
  <sheetData>
    <row r="1" spans="1:45" s="3" customFormat="1" ht="35.4" customHeight="1" x14ac:dyDescent="0.3">
      <c r="A1" s="78" t="s">
        <v>157</v>
      </c>
      <c r="G1" s="3" t="e" vm="13">
        <v>#VALUE!</v>
      </c>
      <c r="I1" s="78" t="s">
        <v>157</v>
      </c>
      <c r="N1" s="3" t="e" vm="6">
        <v>#VALUE!</v>
      </c>
      <c r="P1" s="78" t="s">
        <v>157</v>
      </c>
      <c r="V1" s="3" t="e" vm="2">
        <v>#VALUE!</v>
      </c>
      <c r="X1" s="78" t="s">
        <v>157</v>
      </c>
      <c r="AD1" s="3" t="e" vm="5">
        <v>#VALUE!</v>
      </c>
      <c r="AF1" s="78" t="s">
        <v>157</v>
      </c>
      <c r="AL1" s="3" t="e" vm="14">
        <v>#VALUE!</v>
      </c>
      <c r="AN1" s="78" t="s">
        <v>157</v>
      </c>
      <c r="AS1" s="3" t="e" vm="4">
        <v>#VALUE!</v>
      </c>
    </row>
    <row r="2" spans="1:45" s="23" customFormat="1" x14ac:dyDescent="0.3">
      <c r="A2" s="23" t="s">
        <v>1</v>
      </c>
      <c r="B2" s="75" t="s">
        <v>27</v>
      </c>
      <c r="C2" s="75" t="s">
        <v>28</v>
      </c>
      <c r="D2" s="75" t="s">
        <v>29</v>
      </c>
      <c r="E2" s="75" t="s">
        <v>30</v>
      </c>
      <c r="F2" s="75" t="s">
        <v>31</v>
      </c>
      <c r="G2" s="75" t="s">
        <v>32</v>
      </c>
      <c r="I2" s="23" t="s">
        <v>1</v>
      </c>
      <c r="J2" s="75" t="s">
        <v>27</v>
      </c>
      <c r="K2" s="75" t="s">
        <v>28</v>
      </c>
      <c r="L2" s="75" t="s">
        <v>29</v>
      </c>
      <c r="M2" s="75" t="s">
        <v>30</v>
      </c>
      <c r="N2" s="75" t="s">
        <v>31</v>
      </c>
      <c r="P2" s="23" t="s">
        <v>1</v>
      </c>
      <c r="Q2" s="75" t="s">
        <v>27</v>
      </c>
      <c r="R2" s="75" t="s">
        <v>28</v>
      </c>
      <c r="S2" s="75" t="s">
        <v>29</v>
      </c>
      <c r="T2" s="75" t="s">
        <v>30</v>
      </c>
      <c r="U2" s="75" t="s">
        <v>31</v>
      </c>
      <c r="V2" s="75" t="s">
        <v>32</v>
      </c>
      <c r="X2" s="23" t="s">
        <v>1</v>
      </c>
      <c r="Y2" s="75" t="s">
        <v>27</v>
      </c>
      <c r="Z2" s="75" t="s">
        <v>28</v>
      </c>
      <c r="AA2" s="75" t="s">
        <v>29</v>
      </c>
      <c r="AB2" s="75" t="s">
        <v>30</v>
      </c>
      <c r="AC2" s="75" t="s">
        <v>31</v>
      </c>
      <c r="AD2" s="75" t="s">
        <v>32</v>
      </c>
      <c r="AF2" s="23" t="s">
        <v>1</v>
      </c>
      <c r="AG2" s="75" t="s">
        <v>27</v>
      </c>
      <c r="AH2" s="75" t="s">
        <v>28</v>
      </c>
      <c r="AI2" s="75" t="s">
        <v>29</v>
      </c>
      <c r="AJ2" s="75" t="s">
        <v>30</v>
      </c>
      <c r="AK2" s="75" t="s">
        <v>31</v>
      </c>
      <c r="AL2" s="75" t="s">
        <v>32</v>
      </c>
      <c r="AN2" s="23" t="s">
        <v>1</v>
      </c>
      <c r="AO2" s="23" t="s">
        <v>27</v>
      </c>
      <c r="AP2" s="23" t="s">
        <v>28</v>
      </c>
      <c r="AQ2" s="23" t="s">
        <v>29</v>
      </c>
      <c r="AR2" s="23" t="s">
        <v>30</v>
      </c>
      <c r="AS2" s="23" t="s">
        <v>31</v>
      </c>
    </row>
    <row r="3" spans="1:45" x14ac:dyDescent="0.3">
      <c r="A3" s="18" t="s">
        <v>123</v>
      </c>
      <c r="B3" s="18"/>
      <c r="C3" s="18"/>
      <c r="D3" s="18"/>
      <c r="E3" s="18"/>
      <c r="F3" s="18"/>
      <c r="G3" s="18"/>
      <c r="I3" s="18" t="s">
        <v>123</v>
      </c>
      <c r="J3" s="19"/>
      <c r="K3" s="19"/>
      <c r="L3" s="19"/>
      <c r="M3" s="19"/>
      <c r="N3" s="19"/>
      <c r="P3" s="18" t="s">
        <v>123</v>
      </c>
      <c r="Q3" s="18"/>
      <c r="R3" s="18"/>
      <c r="S3" s="18"/>
      <c r="T3" s="18"/>
      <c r="U3" s="18"/>
      <c r="V3" s="18"/>
      <c r="X3" s="18" t="s">
        <v>123</v>
      </c>
      <c r="Y3" s="18"/>
      <c r="Z3" s="18"/>
      <c r="AA3" s="18"/>
      <c r="AB3" s="18"/>
      <c r="AC3" s="18"/>
      <c r="AD3" s="18"/>
      <c r="AF3" s="18" t="s">
        <v>123</v>
      </c>
      <c r="AG3" s="18"/>
      <c r="AH3" s="18"/>
      <c r="AI3" s="18"/>
      <c r="AJ3" s="18"/>
      <c r="AK3" s="18"/>
      <c r="AL3" s="18"/>
      <c r="AN3" s="18" t="s">
        <v>123</v>
      </c>
      <c r="AO3" s="18"/>
      <c r="AP3" s="18"/>
      <c r="AQ3" s="18"/>
      <c r="AR3" s="18"/>
      <c r="AS3" s="18"/>
    </row>
    <row r="4" spans="1:45" x14ac:dyDescent="0.3">
      <c r="A4" s="1" t="s">
        <v>124</v>
      </c>
      <c r="B4" s="21">
        <v>24870.2</v>
      </c>
      <c r="C4" s="21">
        <v>24143.06</v>
      </c>
      <c r="D4" s="21">
        <v>30976.27</v>
      </c>
      <c r="E4" s="21">
        <v>42839.56</v>
      </c>
      <c r="F4" s="21">
        <v>50788.83</v>
      </c>
      <c r="G4" s="21">
        <v>59358.05</v>
      </c>
      <c r="I4" s="34" t="s">
        <v>124</v>
      </c>
      <c r="J4" s="66">
        <v>39783</v>
      </c>
      <c r="K4" s="66">
        <v>47028</v>
      </c>
      <c r="L4" s="66">
        <v>52446</v>
      </c>
      <c r="M4" s="66">
        <v>60580</v>
      </c>
      <c r="N4" s="68">
        <v>61896</v>
      </c>
      <c r="P4" s="34" t="s">
        <v>124</v>
      </c>
      <c r="Q4" s="66">
        <v>51393.47</v>
      </c>
      <c r="R4" s="66">
        <v>53155.12</v>
      </c>
      <c r="S4" s="66">
        <v>65204.959999999999</v>
      </c>
      <c r="T4" s="66">
        <v>76518.210000000006</v>
      </c>
      <c r="U4" s="66">
        <v>73891.429999999993</v>
      </c>
      <c r="V4" s="68">
        <v>81612.78</v>
      </c>
      <c r="X4" s="1" t="s">
        <v>124</v>
      </c>
      <c r="Y4" s="21">
        <v>21052</v>
      </c>
      <c r="Z4" s="21">
        <v>21644</v>
      </c>
      <c r="AA4" s="21">
        <v>28799</v>
      </c>
      <c r="AB4" s="21">
        <v>40575</v>
      </c>
      <c r="AC4" s="21">
        <v>51084</v>
      </c>
      <c r="AD4" s="21">
        <v>60456</v>
      </c>
      <c r="AF4" s="1" t="s">
        <v>124</v>
      </c>
      <c r="AG4" s="20">
        <v>3485.98</v>
      </c>
      <c r="AH4" s="20">
        <v>2592.96</v>
      </c>
      <c r="AI4" s="20">
        <v>4498.0200000000004</v>
      </c>
      <c r="AJ4" s="20">
        <v>8242.02</v>
      </c>
      <c r="AK4" s="20">
        <v>12375.11</v>
      </c>
      <c r="AL4" s="20">
        <v>17134.61</v>
      </c>
      <c r="AN4" s="63" t="s">
        <v>124</v>
      </c>
      <c r="AO4" s="66">
        <v>6555.79</v>
      </c>
      <c r="AP4" s="66">
        <v>8958.2909999999993</v>
      </c>
      <c r="AQ4" s="66">
        <v>13390.558000000001</v>
      </c>
      <c r="AR4" s="66">
        <v>16321.063</v>
      </c>
      <c r="AS4" s="66">
        <v>20481.328000000001</v>
      </c>
    </row>
    <row r="5" spans="1:45" x14ac:dyDescent="0.3">
      <c r="A5" s="1" t="s">
        <v>125</v>
      </c>
      <c r="B5" s="21">
        <v>59.99</v>
      </c>
      <c r="C5" s="21">
        <v>196.21</v>
      </c>
      <c r="D5" s="21">
        <v>117.49</v>
      </c>
      <c r="E5" s="21">
        <v>129.34</v>
      </c>
      <c r="F5" s="21">
        <v>146.44999999999999</v>
      </c>
      <c r="G5" s="21">
        <v>124.31</v>
      </c>
      <c r="I5" s="34" t="s">
        <v>125</v>
      </c>
      <c r="J5" s="66">
        <v>632</v>
      </c>
      <c r="K5" s="66">
        <v>410</v>
      </c>
      <c r="L5" s="66">
        <v>258</v>
      </c>
      <c r="M5" s="66">
        <v>512</v>
      </c>
      <c r="N5" s="68">
        <v>811</v>
      </c>
      <c r="P5" s="34" t="s">
        <v>125</v>
      </c>
      <c r="Q5" s="66">
        <v>2597.89</v>
      </c>
      <c r="R5" s="66">
        <v>2632.56</v>
      </c>
      <c r="S5" s="66">
        <v>1836.35</v>
      </c>
      <c r="T5" s="66">
        <v>1980.49</v>
      </c>
      <c r="U5" s="66">
        <v>2693.22</v>
      </c>
      <c r="V5" s="68">
        <v>2529.69</v>
      </c>
      <c r="X5" s="1" t="s">
        <v>125</v>
      </c>
      <c r="Y5" s="21">
        <v>153</v>
      </c>
      <c r="Z5" s="21">
        <v>186</v>
      </c>
      <c r="AA5" s="21">
        <v>234</v>
      </c>
      <c r="AB5" s="21">
        <v>308</v>
      </c>
      <c r="AC5" s="21">
        <v>533</v>
      </c>
      <c r="AD5" s="21">
        <v>486</v>
      </c>
      <c r="AF5" s="1" t="s">
        <v>125</v>
      </c>
      <c r="AG5" s="20">
        <v>149.41999999999999</v>
      </c>
      <c r="AH5" s="20">
        <v>201.6</v>
      </c>
      <c r="AI5" s="20">
        <v>175.21</v>
      </c>
      <c r="AJ5" s="20">
        <v>260.92</v>
      </c>
      <c r="AK5" s="20">
        <v>289.27</v>
      </c>
      <c r="AL5" s="20">
        <v>218.56</v>
      </c>
      <c r="AN5" s="63" t="s">
        <v>125</v>
      </c>
      <c r="AO5" s="66">
        <v>36.97</v>
      </c>
      <c r="AP5" s="66">
        <v>67.924999999999997</v>
      </c>
      <c r="AQ5" s="66">
        <v>38.848999999999997</v>
      </c>
      <c r="AR5" s="66">
        <v>79.358999999999995</v>
      </c>
      <c r="AS5" s="66">
        <v>121.268</v>
      </c>
    </row>
    <row r="6" spans="1:45" x14ac:dyDescent="0.3">
      <c r="A6" s="23" t="s">
        <v>126</v>
      </c>
      <c r="B6" s="25">
        <f>B4+B5</f>
        <v>24930.190000000002</v>
      </c>
      <c r="C6" s="25">
        <f t="shared" ref="C6:G6" si="0">C4+C5</f>
        <v>24339.27</v>
      </c>
      <c r="D6" s="25">
        <f t="shared" si="0"/>
        <v>31093.760000000002</v>
      </c>
      <c r="E6" s="25">
        <f t="shared" si="0"/>
        <v>42968.899999999994</v>
      </c>
      <c r="F6" s="25">
        <f t="shared" si="0"/>
        <v>50935.28</v>
      </c>
      <c r="G6" s="25">
        <f t="shared" si="0"/>
        <v>59482.36</v>
      </c>
      <c r="I6" s="35" t="s">
        <v>126</v>
      </c>
      <c r="J6" s="67">
        <f>SUM(J4:J5)</f>
        <v>40415</v>
      </c>
      <c r="K6" s="67">
        <f t="shared" ref="K6:N6" si="1">SUM(K4:K5)</f>
        <v>47438</v>
      </c>
      <c r="L6" s="67">
        <f t="shared" si="1"/>
        <v>52704</v>
      </c>
      <c r="M6" s="67">
        <f t="shared" si="1"/>
        <v>61092</v>
      </c>
      <c r="N6" s="69">
        <f t="shared" si="1"/>
        <v>62707</v>
      </c>
      <c r="P6" s="35" t="s">
        <v>126</v>
      </c>
      <c r="Q6" s="67">
        <f>SUM(Q4:Q5)</f>
        <v>53991.360000000001</v>
      </c>
      <c r="R6" s="67">
        <f t="shared" ref="R6:V6" si="2">SUM(R4:R5)</f>
        <v>55787.68</v>
      </c>
      <c r="S6" s="67">
        <f t="shared" si="2"/>
        <v>67041.31</v>
      </c>
      <c r="T6" s="67">
        <f t="shared" si="2"/>
        <v>78498.700000000012</v>
      </c>
      <c r="U6" s="67">
        <f t="shared" si="2"/>
        <v>76584.649999999994</v>
      </c>
      <c r="V6" s="69">
        <f t="shared" si="2"/>
        <v>84142.47</v>
      </c>
      <c r="X6" s="23" t="s">
        <v>126</v>
      </c>
      <c r="Y6" s="25">
        <f>SUM(Y4:Y5)</f>
        <v>21205</v>
      </c>
      <c r="Z6" s="25">
        <f t="shared" ref="Z6:AD6" si="3">SUM(Z4:Z5)</f>
        <v>21830</v>
      </c>
      <c r="AA6" s="25">
        <f t="shared" si="3"/>
        <v>29033</v>
      </c>
      <c r="AB6" s="25">
        <f t="shared" si="3"/>
        <v>40883</v>
      </c>
      <c r="AC6" s="25">
        <f t="shared" si="3"/>
        <v>51617</v>
      </c>
      <c r="AD6" s="25">
        <f t="shared" si="3"/>
        <v>60942</v>
      </c>
      <c r="AF6" s="23" t="s">
        <v>126</v>
      </c>
      <c r="AG6" s="24">
        <f>SUM(AG4:AG5)</f>
        <v>3635.4</v>
      </c>
      <c r="AH6" s="24">
        <f t="shared" ref="AH6:AL6" si="4">SUM(AH4:AH5)</f>
        <v>2794.56</v>
      </c>
      <c r="AI6" s="24">
        <f t="shared" si="4"/>
        <v>4673.2300000000005</v>
      </c>
      <c r="AJ6" s="24">
        <f t="shared" si="4"/>
        <v>8502.94</v>
      </c>
      <c r="AK6" s="24">
        <f t="shared" si="4"/>
        <v>12664.380000000001</v>
      </c>
      <c r="AL6" s="24">
        <f t="shared" si="4"/>
        <v>17353.170000000002</v>
      </c>
      <c r="AN6" s="77" t="s">
        <v>126</v>
      </c>
      <c r="AO6" s="67">
        <f>SUM(AO4:AO5)</f>
        <v>6592.76</v>
      </c>
      <c r="AP6" s="67">
        <f t="shared" ref="AP6:AS6" si="5">SUM(AP4:AP5)</f>
        <v>9026.2159999999985</v>
      </c>
      <c r="AQ6" s="67">
        <f t="shared" si="5"/>
        <v>13429.407000000001</v>
      </c>
      <c r="AR6" s="67">
        <f t="shared" si="5"/>
        <v>16400.421999999999</v>
      </c>
      <c r="AS6" s="67">
        <f t="shared" si="5"/>
        <v>20602.596000000001</v>
      </c>
    </row>
    <row r="7" spans="1:45" x14ac:dyDescent="0.3">
      <c r="A7" s="18" t="s">
        <v>127</v>
      </c>
      <c r="B7" s="22"/>
      <c r="C7" s="22"/>
      <c r="D7" s="22"/>
      <c r="E7" s="22"/>
      <c r="F7" s="22"/>
      <c r="G7" s="22"/>
      <c r="I7" s="18" t="s">
        <v>127</v>
      </c>
      <c r="J7" s="22"/>
      <c r="K7" s="22"/>
      <c r="L7" s="22"/>
      <c r="M7" s="22"/>
      <c r="N7" s="22"/>
      <c r="P7" s="18" t="s">
        <v>127</v>
      </c>
      <c r="Q7" s="22"/>
      <c r="R7" s="22"/>
      <c r="S7" s="22"/>
      <c r="T7" s="22"/>
      <c r="U7" s="22"/>
      <c r="V7" s="22"/>
      <c r="X7" s="18" t="s">
        <v>127</v>
      </c>
      <c r="Y7" s="22"/>
      <c r="Z7" s="22"/>
      <c r="AA7" s="22"/>
      <c r="AB7" s="22"/>
      <c r="AC7" s="22"/>
      <c r="AD7" s="22"/>
      <c r="AF7" s="18" t="s">
        <v>127</v>
      </c>
      <c r="AG7" s="76"/>
      <c r="AH7" s="76"/>
      <c r="AI7" s="76"/>
      <c r="AJ7" s="76"/>
      <c r="AK7" s="76"/>
      <c r="AL7" s="76"/>
      <c r="AN7" s="18" t="s">
        <v>127</v>
      </c>
      <c r="AO7" s="76"/>
      <c r="AP7" s="76"/>
      <c r="AQ7" s="76"/>
      <c r="AR7" s="76"/>
      <c r="AS7" s="76"/>
    </row>
    <row r="8" spans="1:45" x14ac:dyDescent="0.3">
      <c r="A8" s="1" t="s">
        <v>128</v>
      </c>
      <c r="B8" s="21">
        <v>21441.68</v>
      </c>
      <c r="C8" s="21">
        <v>20855.560000000001</v>
      </c>
      <c r="D8" s="21">
        <v>26891.77</v>
      </c>
      <c r="E8" s="21">
        <v>36884.769999999997</v>
      </c>
      <c r="F8" s="21">
        <v>43958.31</v>
      </c>
      <c r="G8" s="21">
        <v>51668.76</v>
      </c>
      <c r="I8" s="34" t="s">
        <v>142</v>
      </c>
      <c r="J8" s="66">
        <v>11976</v>
      </c>
      <c r="K8" s="66">
        <v>15432</v>
      </c>
      <c r="L8" s="66">
        <v>16446</v>
      </c>
      <c r="M8" s="66">
        <v>20212</v>
      </c>
      <c r="N8" s="68">
        <v>19257</v>
      </c>
      <c r="P8" s="34" t="s">
        <v>142</v>
      </c>
      <c r="Q8" s="66">
        <v>13810.7</v>
      </c>
      <c r="R8" s="66">
        <v>13939.84</v>
      </c>
      <c r="S8" s="66">
        <v>16399.939999999999</v>
      </c>
      <c r="T8" s="66">
        <v>20275.990000000002</v>
      </c>
      <c r="U8" s="66">
        <v>21288.44</v>
      </c>
      <c r="V8" s="68">
        <v>23757.33</v>
      </c>
      <c r="X8" s="1" t="s">
        <v>167</v>
      </c>
      <c r="Y8" s="21">
        <v>13042</v>
      </c>
      <c r="Z8" s="21">
        <v>13713</v>
      </c>
      <c r="AA8" s="21">
        <v>22108</v>
      </c>
      <c r="AB8" s="21">
        <v>26891</v>
      </c>
      <c r="AC8" s="21">
        <v>36104</v>
      </c>
      <c r="AD8" s="21">
        <v>47708</v>
      </c>
      <c r="AF8" s="1" t="s">
        <v>128</v>
      </c>
      <c r="AG8" s="20">
        <v>1951.64</v>
      </c>
      <c r="AH8" s="20">
        <v>1371.64</v>
      </c>
      <c r="AI8" s="20">
        <v>2920.38</v>
      </c>
      <c r="AJ8" s="20">
        <v>5211.05</v>
      </c>
      <c r="AK8" s="20">
        <v>7123.6</v>
      </c>
      <c r="AL8" s="20">
        <v>10143.39</v>
      </c>
      <c r="AN8" s="63" t="s">
        <v>185</v>
      </c>
      <c r="AO8" s="66">
        <v>2688.509</v>
      </c>
      <c r="AP8" s="66">
        <v>3968.913</v>
      </c>
      <c r="AQ8" s="66">
        <v>6417.0919999999996</v>
      </c>
      <c r="AR8" s="66">
        <v>7026.4610000000002</v>
      </c>
      <c r="AS8" s="66">
        <v>8293.7430000000004</v>
      </c>
    </row>
    <row r="9" spans="1:45" x14ac:dyDescent="0.3">
      <c r="A9" s="1" t="s">
        <v>129</v>
      </c>
      <c r="B9" s="21">
        <v>-338.75</v>
      </c>
      <c r="C9" s="21">
        <v>-300.88</v>
      </c>
      <c r="D9" s="21">
        <v>-494.38</v>
      </c>
      <c r="E9" s="21">
        <v>-500.82</v>
      </c>
      <c r="F9" s="21">
        <v>-683.77</v>
      </c>
      <c r="G9" s="21">
        <v>-1117.06</v>
      </c>
      <c r="I9" s="34" t="s">
        <v>143</v>
      </c>
      <c r="J9" s="66">
        <v>6391</v>
      </c>
      <c r="K9" s="66">
        <v>7121</v>
      </c>
      <c r="L9" s="66">
        <v>9311</v>
      </c>
      <c r="M9" s="66">
        <v>11579</v>
      </c>
      <c r="N9" s="68">
        <v>10514</v>
      </c>
      <c r="P9" s="34" t="s">
        <v>143</v>
      </c>
      <c r="Q9" s="66">
        <v>4237.8999999999996</v>
      </c>
      <c r="R9" s="66">
        <v>6836.87</v>
      </c>
      <c r="S9" s="66">
        <v>10671.13</v>
      </c>
      <c r="T9" s="66">
        <v>9088.3700000000008</v>
      </c>
      <c r="U9" s="66">
        <v>6060.13</v>
      </c>
      <c r="V9" s="68">
        <v>8947.0400000000009</v>
      </c>
      <c r="X9" s="1" t="s">
        <v>128</v>
      </c>
      <c r="Y9" s="21">
        <v>2991</v>
      </c>
      <c r="Z9" s="21">
        <v>2579</v>
      </c>
      <c r="AA9" s="21">
        <v>4328</v>
      </c>
      <c r="AB9" s="21">
        <v>5698</v>
      </c>
      <c r="AC9" s="21">
        <v>5999</v>
      </c>
      <c r="AD9" s="21">
        <v>7563</v>
      </c>
      <c r="AF9" s="1" t="s">
        <v>177</v>
      </c>
      <c r="AG9" s="20">
        <v>-69.89</v>
      </c>
      <c r="AH9" s="20">
        <v>162.36000000000001</v>
      </c>
      <c r="AI9" s="20">
        <v>-438.84</v>
      </c>
      <c r="AJ9" s="20">
        <v>-491.31</v>
      </c>
      <c r="AK9" s="20">
        <v>-164.71</v>
      </c>
      <c r="AL9" s="20">
        <v>-454.25</v>
      </c>
      <c r="AN9" s="63" t="s">
        <v>159</v>
      </c>
      <c r="AO9" s="66">
        <v>105.649</v>
      </c>
      <c r="AP9" s="66">
        <v>135.06100000000001</v>
      </c>
      <c r="AQ9" s="66">
        <v>217.416</v>
      </c>
      <c r="AR9" s="66">
        <v>278.48200000000003</v>
      </c>
      <c r="AS9" s="66">
        <v>473.678</v>
      </c>
    </row>
    <row r="10" spans="1:45" x14ac:dyDescent="0.3">
      <c r="A10" s="1" t="s">
        <v>130</v>
      </c>
      <c r="B10" s="21">
        <v>456.1</v>
      </c>
      <c r="C10" s="21">
        <v>536.57000000000005</v>
      </c>
      <c r="D10" s="21">
        <v>616.21</v>
      </c>
      <c r="E10" s="21">
        <v>746.97</v>
      </c>
      <c r="F10" s="21">
        <v>906.12</v>
      </c>
      <c r="G10" s="21">
        <v>1165.9000000000001</v>
      </c>
      <c r="I10" s="34" t="s">
        <v>144</v>
      </c>
      <c r="J10" s="66">
        <v>-108</v>
      </c>
      <c r="K10" s="66">
        <v>-405</v>
      </c>
      <c r="L10" s="66">
        <v>-22</v>
      </c>
      <c r="M10" s="66">
        <v>-75</v>
      </c>
      <c r="N10" s="68">
        <v>-11</v>
      </c>
      <c r="P10" s="34" t="s">
        <v>158</v>
      </c>
      <c r="Q10" s="66">
        <v>-703.13</v>
      </c>
      <c r="R10" s="66">
        <v>-645.27</v>
      </c>
      <c r="S10" s="66">
        <v>-686</v>
      </c>
      <c r="T10" s="66">
        <v>-358.59</v>
      </c>
      <c r="U10" s="66">
        <v>-367.77</v>
      </c>
      <c r="V10" s="68">
        <v>-725.65</v>
      </c>
      <c r="X10" s="1" t="s">
        <v>168</v>
      </c>
      <c r="Y10" s="21">
        <v>-878</v>
      </c>
      <c r="Z10" s="21">
        <v>122</v>
      </c>
      <c r="AA10" s="21">
        <v>-4795</v>
      </c>
      <c r="AB10" s="21">
        <v>-2234</v>
      </c>
      <c r="AC10" s="21">
        <v>-2671</v>
      </c>
      <c r="AD10" s="21">
        <v>-7815</v>
      </c>
      <c r="AF10" s="1" t="s">
        <v>160</v>
      </c>
      <c r="AG10" s="20">
        <v>358.52</v>
      </c>
      <c r="AH10" s="20">
        <v>301.86</v>
      </c>
      <c r="AI10" s="20">
        <v>398.95</v>
      </c>
      <c r="AJ10" s="20">
        <v>655.23</v>
      </c>
      <c r="AK10" s="20">
        <v>1036.6400000000001</v>
      </c>
      <c r="AL10" s="20">
        <v>1308.45</v>
      </c>
      <c r="AN10" s="63" t="s">
        <v>128</v>
      </c>
      <c r="AO10" s="66">
        <v>92.587000000000003</v>
      </c>
      <c r="AP10" s="66">
        <v>165.46899999999999</v>
      </c>
      <c r="AQ10" s="66">
        <v>188.571</v>
      </c>
      <c r="AR10" s="66">
        <v>462.69600000000003</v>
      </c>
      <c r="AS10" s="66">
        <v>685.92100000000005</v>
      </c>
    </row>
    <row r="11" spans="1:45" x14ac:dyDescent="0.3">
      <c r="A11" s="1" t="s">
        <v>131</v>
      </c>
      <c r="B11" s="21">
        <v>69.12</v>
      </c>
      <c r="C11" s="21">
        <v>41.65</v>
      </c>
      <c r="D11" s="21">
        <v>53.79</v>
      </c>
      <c r="E11" s="21">
        <v>67.41</v>
      </c>
      <c r="F11" s="21">
        <v>58.13</v>
      </c>
      <c r="G11" s="21">
        <v>69.45</v>
      </c>
      <c r="I11" s="34" t="s">
        <v>130</v>
      </c>
      <c r="J11" s="66">
        <v>1820</v>
      </c>
      <c r="K11" s="66">
        <v>2358</v>
      </c>
      <c r="L11" s="66">
        <v>2545</v>
      </c>
      <c r="M11" s="66">
        <v>2854</v>
      </c>
      <c r="N11" s="68">
        <v>3009</v>
      </c>
      <c r="P11" s="34" t="s">
        <v>159</v>
      </c>
      <c r="Q11" s="66">
        <v>1989.42</v>
      </c>
      <c r="R11" s="66">
        <v>3882.34</v>
      </c>
      <c r="S11" s="66">
        <v>4536.87</v>
      </c>
      <c r="T11" s="66">
        <v>5581.36</v>
      </c>
      <c r="U11" s="66">
        <v>5959.49</v>
      </c>
      <c r="V11" s="68">
        <v>6289.44</v>
      </c>
      <c r="X11" s="1" t="s">
        <v>169</v>
      </c>
      <c r="Y11" s="21">
        <v>1199</v>
      </c>
      <c r="Z11" s="21">
        <v>1065</v>
      </c>
      <c r="AA11" s="21">
        <v>1349</v>
      </c>
      <c r="AB11" s="21">
        <v>1647</v>
      </c>
      <c r="AC11" s="21">
        <v>1864</v>
      </c>
      <c r="AD11" s="21">
        <v>2156</v>
      </c>
      <c r="AF11" s="1" t="s">
        <v>178</v>
      </c>
      <c r="AG11" s="20">
        <v>245.8</v>
      </c>
      <c r="AH11" s="20">
        <v>248.65</v>
      </c>
      <c r="AI11" s="20">
        <v>304.74</v>
      </c>
      <c r="AJ11" s="20">
        <v>369.22</v>
      </c>
      <c r="AK11" s="20">
        <v>319.10000000000002</v>
      </c>
      <c r="AL11" s="20">
        <v>138.59</v>
      </c>
      <c r="AN11" s="63" t="s">
        <v>158</v>
      </c>
      <c r="AO11" s="66">
        <v>-17.158999999999999</v>
      </c>
      <c r="AP11" s="66">
        <v>-99.721999999999994</v>
      </c>
      <c r="AQ11" s="66">
        <v>-344.50700000000001</v>
      </c>
      <c r="AR11" s="66">
        <v>-84.269000000000005</v>
      </c>
      <c r="AS11" s="66">
        <v>-74.94</v>
      </c>
    </row>
    <row r="12" spans="1:45" x14ac:dyDescent="0.3">
      <c r="A12" s="1" t="s">
        <v>132</v>
      </c>
      <c r="B12" s="21">
        <v>374.41</v>
      </c>
      <c r="C12" s="21">
        <v>414.16</v>
      </c>
      <c r="D12" s="21">
        <v>498.08</v>
      </c>
      <c r="E12" s="21">
        <v>638.87</v>
      </c>
      <c r="F12" s="21">
        <v>730.76</v>
      </c>
      <c r="G12" s="21">
        <v>869.52</v>
      </c>
      <c r="I12" s="34" t="s">
        <v>131</v>
      </c>
      <c r="J12" s="66">
        <v>118</v>
      </c>
      <c r="K12" s="66">
        <v>117</v>
      </c>
      <c r="L12" s="66">
        <v>106</v>
      </c>
      <c r="M12" s="66">
        <v>114</v>
      </c>
      <c r="N12" s="68">
        <v>334</v>
      </c>
      <c r="P12" s="34" t="s">
        <v>160</v>
      </c>
      <c r="Q12" s="66">
        <v>4295.79</v>
      </c>
      <c r="R12" s="66">
        <v>4463.33</v>
      </c>
      <c r="S12" s="66">
        <v>4890.55</v>
      </c>
      <c r="T12" s="66">
        <v>5736.22</v>
      </c>
      <c r="U12" s="66">
        <v>5548.53</v>
      </c>
      <c r="V12" s="68">
        <v>6169.78</v>
      </c>
      <c r="X12" s="1" t="s">
        <v>131</v>
      </c>
      <c r="Y12" s="21">
        <v>166</v>
      </c>
      <c r="Z12" s="21">
        <v>203</v>
      </c>
      <c r="AA12" s="21">
        <v>218</v>
      </c>
      <c r="AB12" s="21">
        <v>300</v>
      </c>
      <c r="AC12" s="21">
        <v>619</v>
      </c>
      <c r="AD12" s="21">
        <v>953</v>
      </c>
      <c r="AF12" s="1" t="s">
        <v>132</v>
      </c>
      <c r="AG12" s="20">
        <v>247.24</v>
      </c>
      <c r="AH12" s="20">
        <v>257.3</v>
      </c>
      <c r="AI12" s="20">
        <v>310.82</v>
      </c>
      <c r="AJ12" s="20">
        <v>493.69</v>
      </c>
      <c r="AK12" s="20">
        <v>671.11</v>
      </c>
      <c r="AL12" s="20">
        <v>895.18</v>
      </c>
      <c r="AN12" s="63" t="s">
        <v>169</v>
      </c>
      <c r="AO12" s="66">
        <v>889.73599999999999</v>
      </c>
      <c r="AP12" s="66">
        <v>1007.699</v>
      </c>
      <c r="AQ12" s="66">
        <v>1216.6420000000001</v>
      </c>
      <c r="AR12" s="66">
        <v>1446.587</v>
      </c>
      <c r="AS12" s="66">
        <v>1885.0260000000001</v>
      </c>
    </row>
    <row r="13" spans="1:45" x14ac:dyDescent="0.3">
      <c r="A13" s="1" t="s">
        <v>133</v>
      </c>
      <c r="B13" s="21">
        <v>1182.8599999999999</v>
      </c>
      <c r="C13" s="21">
        <v>1308.76</v>
      </c>
      <c r="D13" s="21">
        <v>1464.17</v>
      </c>
      <c r="E13" s="21">
        <v>2071.61</v>
      </c>
      <c r="F13" s="21">
        <v>2504.4</v>
      </c>
      <c r="G13" s="21">
        <v>3153.12</v>
      </c>
      <c r="I13" s="34" t="s">
        <v>145</v>
      </c>
      <c r="J13" s="66">
        <v>1002</v>
      </c>
      <c r="K13" s="66">
        <v>1074</v>
      </c>
      <c r="L13" s="66">
        <v>1091</v>
      </c>
      <c r="M13" s="66">
        <v>1137</v>
      </c>
      <c r="N13" s="68">
        <v>1216</v>
      </c>
      <c r="P13" s="34" t="s">
        <v>131</v>
      </c>
      <c r="Q13" s="66">
        <v>54.68</v>
      </c>
      <c r="R13" s="66">
        <v>44.58</v>
      </c>
      <c r="S13" s="66">
        <v>39.36</v>
      </c>
      <c r="T13" s="66">
        <v>43.2</v>
      </c>
      <c r="U13" s="66">
        <v>39.11</v>
      </c>
      <c r="V13" s="68">
        <v>45.06</v>
      </c>
      <c r="X13" s="1" t="s">
        <v>145</v>
      </c>
      <c r="Y13" s="21">
        <v>348</v>
      </c>
      <c r="Z13" s="21">
        <v>375</v>
      </c>
      <c r="AA13" s="21">
        <v>399</v>
      </c>
      <c r="AB13" s="21">
        <v>441</v>
      </c>
      <c r="AC13" s="21">
        <v>584</v>
      </c>
      <c r="AD13" s="21">
        <v>693</v>
      </c>
      <c r="AF13" s="1" t="s">
        <v>133</v>
      </c>
      <c r="AG13" s="20">
        <v>706.67</v>
      </c>
      <c r="AH13" s="20">
        <v>585.20000000000005</v>
      </c>
      <c r="AI13" s="20">
        <v>1043.6600000000001</v>
      </c>
      <c r="AJ13" s="20">
        <v>1793.4</v>
      </c>
      <c r="AK13" s="20">
        <v>2457.4499999999998</v>
      </c>
      <c r="AL13" s="20">
        <v>3378.57</v>
      </c>
      <c r="AN13" s="63" t="s">
        <v>131</v>
      </c>
      <c r="AO13" s="66">
        <v>281.10399999999998</v>
      </c>
      <c r="AP13" s="66">
        <v>184.7</v>
      </c>
      <c r="AQ13" s="66">
        <v>186.12200000000001</v>
      </c>
      <c r="AR13" s="66">
        <v>268.09899999999999</v>
      </c>
      <c r="AS13" s="66">
        <v>450.38600000000002</v>
      </c>
    </row>
    <row r="14" spans="1:45" x14ac:dyDescent="0.3">
      <c r="A14" s="23" t="s">
        <v>134</v>
      </c>
      <c r="B14" s="25">
        <f>SUM(B8:B13)</f>
        <v>23185.42</v>
      </c>
      <c r="C14" s="25">
        <f t="shared" ref="C14:G14" si="6">SUM(C8:C13)</f>
        <v>22855.82</v>
      </c>
      <c r="D14" s="25">
        <f t="shared" si="6"/>
        <v>29029.64</v>
      </c>
      <c r="E14" s="25">
        <f t="shared" si="6"/>
        <v>39908.810000000005</v>
      </c>
      <c r="F14" s="25">
        <f t="shared" si="6"/>
        <v>47473.950000000004</v>
      </c>
      <c r="G14" s="25">
        <f t="shared" si="6"/>
        <v>55809.69</v>
      </c>
      <c r="I14" s="34" t="s">
        <v>133</v>
      </c>
      <c r="J14" s="66">
        <v>9843</v>
      </c>
      <c r="K14" s="66">
        <v>10896</v>
      </c>
      <c r="L14" s="66">
        <v>11309</v>
      </c>
      <c r="M14" s="66">
        <v>11862</v>
      </c>
      <c r="N14" s="68">
        <v>14464</v>
      </c>
      <c r="P14" s="34" t="s">
        <v>145</v>
      </c>
      <c r="Q14" s="66">
        <v>1644.91</v>
      </c>
      <c r="R14" s="66">
        <v>1645.59</v>
      </c>
      <c r="S14" s="66">
        <v>1732.41</v>
      </c>
      <c r="T14" s="66">
        <v>1809.01</v>
      </c>
      <c r="U14" s="66">
        <v>1518.05</v>
      </c>
      <c r="V14" s="68">
        <v>1646.32</v>
      </c>
      <c r="X14" s="1" t="s">
        <v>133</v>
      </c>
      <c r="Y14" s="21">
        <v>2231</v>
      </c>
      <c r="Z14" s="21">
        <v>2441</v>
      </c>
      <c r="AA14" s="21">
        <v>2468</v>
      </c>
      <c r="AB14" s="21">
        <v>3694</v>
      </c>
      <c r="AC14" s="21">
        <v>4496</v>
      </c>
      <c r="AD14" s="21">
        <v>5150</v>
      </c>
      <c r="AF14" s="23" t="s">
        <v>134</v>
      </c>
      <c r="AG14" s="24">
        <f>SUM(AG8:AG13)</f>
        <v>3439.9800000000005</v>
      </c>
      <c r="AH14" s="24">
        <f t="shared" ref="AH14:AL14" si="7">SUM(AH8:AH13)</f>
        <v>2927.01</v>
      </c>
      <c r="AI14" s="24">
        <f t="shared" si="7"/>
        <v>4539.71</v>
      </c>
      <c r="AJ14" s="24">
        <f t="shared" si="7"/>
        <v>8031.2799999999988</v>
      </c>
      <c r="AK14" s="24">
        <f t="shared" si="7"/>
        <v>11443.190000000002</v>
      </c>
      <c r="AL14" s="24">
        <f t="shared" si="7"/>
        <v>15409.93</v>
      </c>
      <c r="AN14" s="63" t="s">
        <v>145</v>
      </c>
      <c r="AO14" s="66">
        <v>528.702</v>
      </c>
      <c r="AP14" s="66">
        <v>531.26199999999994</v>
      </c>
      <c r="AQ14" s="66">
        <v>617.18899999999996</v>
      </c>
      <c r="AR14" s="66">
        <v>680.90599999999995</v>
      </c>
      <c r="AS14" s="66">
        <v>947.38599999999997</v>
      </c>
    </row>
    <row r="15" spans="1:45" x14ac:dyDescent="0.3">
      <c r="A15" s="23" t="s">
        <v>135</v>
      </c>
      <c r="B15" s="25">
        <f>B6-B14</f>
        <v>1744.7700000000041</v>
      </c>
      <c r="C15" s="25">
        <f t="shared" ref="C15:G15" si="8">C6-C14</f>
        <v>1483.4500000000007</v>
      </c>
      <c r="D15" s="25">
        <f t="shared" si="8"/>
        <v>2064.1200000000026</v>
      </c>
      <c r="E15" s="25">
        <f t="shared" si="8"/>
        <v>3060.0899999999892</v>
      </c>
      <c r="F15" s="25">
        <f t="shared" si="8"/>
        <v>3461.3299999999945</v>
      </c>
      <c r="G15" s="25">
        <f t="shared" si="8"/>
        <v>3672.6699999999983</v>
      </c>
      <c r="I15" s="35" t="s">
        <v>134</v>
      </c>
      <c r="J15" s="67">
        <f>SUM(J8:J14)</f>
        <v>31042</v>
      </c>
      <c r="K15" s="67">
        <f t="shared" ref="K15:N15" si="9">SUM(K8:K14)</f>
        <v>36593</v>
      </c>
      <c r="L15" s="67">
        <f t="shared" si="9"/>
        <v>40786</v>
      </c>
      <c r="M15" s="67">
        <f t="shared" si="9"/>
        <v>47683</v>
      </c>
      <c r="N15" s="69">
        <f t="shared" si="9"/>
        <v>48783</v>
      </c>
      <c r="P15" s="34" t="s">
        <v>133</v>
      </c>
      <c r="Q15" s="66">
        <v>8502.6299999999992</v>
      </c>
      <c r="R15" s="66">
        <v>7675.31</v>
      </c>
      <c r="S15" s="66">
        <v>8734.06</v>
      </c>
      <c r="T15" s="66">
        <v>10529.93</v>
      </c>
      <c r="U15" s="66">
        <v>10152.82</v>
      </c>
      <c r="V15" s="68">
        <v>11196.63</v>
      </c>
      <c r="X15" s="23" t="s">
        <v>134</v>
      </c>
      <c r="Y15" s="25">
        <f>SUM(Y8:Y14)</f>
        <v>19099</v>
      </c>
      <c r="Z15" s="25">
        <f t="shared" ref="Z15:AD15" si="10">SUM(Z8:Z14)</f>
        <v>20498</v>
      </c>
      <c r="AA15" s="25">
        <f t="shared" si="10"/>
        <v>26075</v>
      </c>
      <c r="AB15" s="25">
        <f t="shared" si="10"/>
        <v>36437</v>
      </c>
      <c r="AC15" s="25">
        <f t="shared" si="10"/>
        <v>46995</v>
      </c>
      <c r="AD15" s="25">
        <f t="shared" si="10"/>
        <v>56408</v>
      </c>
      <c r="AF15" s="1" t="s">
        <v>180</v>
      </c>
      <c r="AG15" s="20">
        <f>AG6-AG14</f>
        <v>195.41999999999962</v>
      </c>
      <c r="AH15" s="20">
        <f t="shared" ref="AH15:AL15" si="11">AH6-AH14</f>
        <v>-132.45000000000027</v>
      </c>
      <c r="AI15" s="20">
        <f t="shared" si="11"/>
        <v>133.52000000000044</v>
      </c>
      <c r="AJ15" s="20">
        <f t="shared" si="11"/>
        <v>471.66000000000167</v>
      </c>
      <c r="AK15" s="20">
        <f t="shared" si="11"/>
        <v>1221.1899999999987</v>
      </c>
      <c r="AL15" s="20">
        <f t="shared" si="11"/>
        <v>1943.2400000000016</v>
      </c>
      <c r="AN15" s="63" t="s">
        <v>133</v>
      </c>
      <c r="AO15" s="66">
        <v>1594.6010000000001</v>
      </c>
      <c r="AP15" s="66">
        <v>2126.2260000000001</v>
      </c>
      <c r="AQ15" s="66">
        <v>2907.239</v>
      </c>
      <c r="AR15" s="66">
        <v>3581.6210000000001</v>
      </c>
      <c r="AS15" s="66">
        <v>4506.8289999999997</v>
      </c>
    </row>
    <row r="16" spans="1:45" x14ac:dyDescent="0.3">
      <c r="A16" s="18" t="s">
        <v>136</v>
      </c>
      <c r="B16" s="22"/>
      <c r="C16" s="22"/>
      <c r="D16" s="22"/>
      <c r="E16" s="22"/>
      <c r="F16" s="22"/>
      <c r="G16" s="22"/>
      <c r="I16" s="35" t="s">
        <v>146</v>
      </c>
      <c r="J16" s="67">
        <f>J6-J15</f>
        <v>9373</v>
      </c>
      <c r="K16" s="67">
        <f t="shared" ref="K16:N16" si="12">K6-K15</f>
        <v>10845</v>
      </c>
      <c r="L16" s="67">
        <f t="shared" si="12"/>
        <v>11918</v>
      </c>
      <c r="M16" s="67">
        <f t="shared" si="12"/>
        <v>13409</v>
      </c>
      <c r="N16" s="69">
        <f t="shared" si="12"/>
        <v>13924</v>
      </c>
      <c r="P16" s="35" t="s">
        <v>134</v>
      </c>
      <c r="Q16" s="67">
        <f>SUM(Q8:Q15)</f>
        <v>33832.9</v>
      </c>
      <c r="R16" s="67">
        <f t="shared" ref="R16:V16" si="13">SUM(R8:R15)</f>
        <v>37842.590000000004</v>
      </c>
      <c r="S16" s="67">
        <f t="shared" si="13"/>
        <v>46318.32</v>
      </c>
      <c r="T16" s="67">
        <f t="shared" si="13"/>
        <v>52705.49</v>
      </c>
      <c r="U16" s="67">
        <f t="shared" si="13"/>
        <v>50198.8</v>
      </c>
      <c r="V16" s="69">
        <f t="shared" si="13"/>
        <v>57325.95</v>
      </c>
      <c r="X16" s="23" t="s">
        <v>170</v>
      </c>
      <c r="Y16" s="25">
        <f>Y6-Y15</f>
        <v>2106</v>
      </c>
      <c r="Z16" s="25">
        <f t="shared" ref="Z16:AD16" si="14">Z6-Z15</f>
        <v>1332</v>
      </c>
      <c r="AA16" s="25">
        <f t="shared" si="14"/>
        <v>2958</v>
      </c>
      <c r="AB16" s="25">
        <f t="shared" si="14"/>
        <v>4446</v>
      </c>
      <c r="AC16" s="25">
        <f t="shared" si="14"/>
        <v>4622</v>
      </c>
      <c r="AD16" s="25">
        <f t="shared" si="14"/>
        <v>4534</v>
      </c>
      <c r="AF16" s="1" t="s">
        <v>147</v>
      </c>
      <c r="AG16" s="20">
        <v>0</v>
      </c>
      <c r="AH16" s="20">
        <v>-1.01</v>
      </c>
      <c r="AI16" s="20">
        <v>-27.44</v>
      </c>
      <c r="AJ16" s="20">
        <v>-3</v>
      </c>
      <c r="AK16" s="20">
        <v>576</v>
      </c>
      <c r="AL16" s="20">
        <v>0</v>
      </c>
      <c r="AN16" s="77" t="s">
        <v>134</v>
      </c>
      <c r="AO16" s="67">
        <f>SUM(AO8:AO15)</f>
        <v>6163.7289999999994</v>
      </c>
      <c r="AP16" s="67">
        <f t="shared" ref="AP16:AS16" si="15">SUM(AP8:AP15)</f>
        <v>8019.6080000000002</v>
      </c>
      <c r="AQ16" s="67">
        <f t="shared" si="15"/>
        <v>11405.763999999999</v>
      </c>
      <c r="AR16" s="67">
        <f t="shared" si="15"/>
        <v>13660.582999999999</v>
      </c>
      <c r="AS16" s="67">
        <f t="shared" si="15"/>
        <v>17168.029000000002</v>
      </c>
    </row>
    <row r="17" spans="1:45" x14ac:dyDescent="0.3">
      <c r="A17" s="1" t="s">
        <v>137</v>
      </c>
      <c r="B17" s="21">
        <v>459.74</v>
      </c>
      <c r="C17" s="21">
        <v>394.69</v>
      </c>
      <c r="D17" s="21">
        <v>546.33000000000004</v>
      </c>
      <c r="E17" s="21">
        <v>807.7</v>
      </c>
      <c r="F17" s="21">
        <v>913.09</v>
      </c>
      <c r="G17" s="21">
        <v>983.47</v>
      </c>
      <c r="I17" s="34" t="s">
        <v>147</v>
      </c>
      <c r="J17" s="66">
        <v>-200</v>
      </c>
      <c r="K17" s="66">
        <v>-239</v>
      </c>
      <c r="L17" s="66">
        <v>-44</v>
      </c>
      <c r="M17" s="66">
        <f>-1-64</f>
        <v>-65</v>
      </c>
      <c r="N17" s="68">
        <f>-4+6</f>
        <v>2</v>
      </c>
      <c r="P17" s="34" t="s">
        <v>161</v>
      </c>
      <c r="Q17" s="66">
        <v>8.2200000000000006</v>
      </c>
      <c r="R17" s="66">
        <v>-6.92</v>
      </c>
      <c r="S17" s="66">
        <v>17.48</v>
      </c>
      <c r="T17" s="66">
        <v>49.04</v>
      </c>
      <c r="U17" s="66">
        <v>14.43</v>
      </c>
      <c r="V17" s="68">
        <v>110.42</v>
      </c>
      <c r="X17" s="18" t="s">
        <v>171</v>
      </c>
      <c r="Y17" s="22"/>
      <c r="Z17" s="22"/>
      <c r="AA17" s="22"/>
      <c r="AB17" s="22"/>
      <c r="AC17" s="22"/>
      <c r="AD17" s="22"/>
      <c r="AF17" s="23" t="s">
        <v>182</v>
      </c>
      <c r="AG17" s="24">
        <f>AG15-AG16</f>
        <v>195.41999999999962</v>
      </c>
      <c r="AH17" s="24">
        <f>AH15+AH16</f>
        <v>-133.46000000000026</v>
      </c>
      <c r="AI17" s="24">
        <f t="shared" ref="AI17:AL17" si="16">AI15+AI16</f>
        <v>106.08000000000044</v>
      </c>
      <c r="AJ17" s="24">
        <f t="shared" si="16"/>
        <v>468.66000000000167</v>
      </c>
      <c r="AK17" s="24">
        <f t="shared" si="16"/>
        <v>1797.1899999999987</v>
      </c>
      <c r="AL17" s="24">
        <f t="shared" si="16"/>
        <v>1943.2400000000016</v>
      </c>
      <c r="AN17" s="77" t="s">
        <v>186</v>
      </c>
      <c r="AO17" s="67">
        <f>AO6-AO16</f>
        <v>429.03100000000086</v>
      </c>
      <c r="AP17" s="67">
        <f t="shared" ref="AP17:AS17" si="17">AP6-AP16</f>
        <v>1006.6079999999984</v>
      </c>
      <c r="AQ17" s="67">
        <f t="shared" si="17"/>
        <v>2023.6430000000018</v>
      </c>
      <c r="AR17" s="67">
        <f t="shared" si="17"/>
        <v>2739.8389999999999</v>
      </c>
      <c r="AS17" s="67">
        <f t="shared" si="17"/>
        <v>3434.5669999999991</v>
      </c>
    </row>
    <row r="18" spans="1:45" x14ac:dyDescent="0.3">
      <c r="A18" s="1" t="s">
        <v>138</v>
      </c>
      <c r="B18" s="21">
        <v>-15.97</v>
      </c>
      <c r="C18" s="21">
        <v>3.17</v>
      </c>
      <c r="D18" s="21">
        <v>12.1</v>
      </c>
      <c r="E18" s="21">
        <v>12.82</v>
      </c>
      <c r="F18" s="21">
        <v>12.02</v>
      </c>
      <c r="G18" s="21">
        <v>17.760000000000002</v>
      </c>
      <c r="I18" s="35" t="s">
        <v>148</v>
      </c>
      <c r="J18" s="67">
        <f>J16+J17</f>
        <v>9173</v>
      </c>
      <c r="K18" s="67">
        <f t="shared" ref="K18:N18" si="18">K16+K17</f>
        <v>10606</v>
      </c>
      <c r="L18" s="67">
        <f t="shared" si="18"/>
        <v>11874</v>
      </c>
      <c r="M18" s="67">
        <f t="shared" si="18"/>
        <v>13344</v>
      </c>
      <c r="N18" s="69">
        <f t="shared" si="18"/>
        <v>13926</v>
      </c>
      <c r="P18" s="35" t="s">
        <v>146</v>
      </c>
      <c r="Q18" s="67">
        <f>Q6-Q16+Q17</f>
        <v>20166.68</v>
      </c>
      <c r="R18" s="67">
        <f t="shared" ref="R18:V18" si="19">R6-R16+R17</f>
        <v>17938.169999999998</v>
      </c>
      <c r="S18" s="67">
        <f t="shared" si="19"/>
        <v>20740.469999999998</v>
      </c>
      <c r="T18" s="67">
        <f t="shared" si="19"/>
        <v>25842.250000000015</v>
      </c>
      <c r="U18" s="67">
        <f t="shared" si="19"/>
        <v>26400.279999999992</v>
      </c>
      <c r="V18" s="69">
        <f t="shared" si="19"/>
        <v>26926.940000000002</v>
      </c>
      <c r="X18" s="1" t="s">
        <v>172</v>
      </c>
      <c r="Y18" s="21">
        <v>1</v>
      </c>
      <c r="Z18" s="21">
        <v>0</v>
      </c>
      <c r="AA18" s="21">
        <v>0</v>
      </c>
      <c r="AB18" s="21">
        <v>1</v>
      </c>
      <c r="AC18" s="21">
        <v>1</v>
      </c>
      <c r="AD18" s="21">
        <v>1</v>
      </c>
      <c r="AF18" s="1" t="s">
        <v>181</v>
      </c>
      <c r="AG18" s="20">
        <v>-30.43</v>
      </c>
      <c r="AH18" s="20">
        <v>-71.36</v>
      </c>
      <c r="AI18" s="20">
        <v>5.14</v>
      </c>
      <c r="AJ18" s="20">
        <v>83.47</v>
      </c>
      <c r="AK18" s="20">
        <v>123.57</v>
      </c>
      <c r="AL18" s="20">
        <v>86.5</v>
      </c>
      <c r="AN18" s="63" t="s">
        <v>187</v>
      </c>
      <c r="AO18" s="66">
        <v>0</v>
      </c>
      <c r="AP18" s="66">
        <v>0</v>
      </c>
      <c r="AQ18" s="66">
        <v>-6.0000000000000001E-3</v>
      </c>
      <c r="AR18" s="66">
        <v>-0.47899999999999998</v>
      </c>
      <c r="AS18" s="66">
        <v>-1.4790000000000001</v>
      </c>
    </row>
    <row r="19" spans="1:45" x14ac:dyDescent="0.3">
      <c r="A19" s="1" t="s">
        <v>139</v>
      </c>
      <c r="B19" s="21">
        <v>0.02</v>
      </c>
      <c r="C19" s="21">
        <v>-13.84</v>
      </c>
      <c r="D19" s="21">
        <v>13.29</v>
      </c>
      <c r="E19" s="21">
        <v>-138.77000000000001</v>
      </c>
      <c r="F19" s="21">
        <v>0.61</v>
      </c>
      <c r="G19" s="21">
        <v>-36.01</v>
      </c>
      <c r="I19" s="18" t="s">
        <v>149</v>
      </c>
      <c r="J19" s="26"/>
      <c r="K19" s="26"/>
      <c r="L19" s="26"/>
      <c r="M19" s="26"/>
      <c r="N19" s="26"/>
      <c r="P19" s="34" t="s">
        <v>147</v>
      </c>
      <c r="Q19" s="66">
        <v>-132.11000000000001</v>
      </c>
      <c r="R19" s="66">
        <v>0</v>
      </c>
      <c r="S19" s="66">
        <v>0</v>
      </c>
      <c r="T19" s="66">
        <v>72.87</v>
      </c>
      <c r="U19" s="66">
        <v>0</v>
      </c>
      <c r="V19" s="68">
        <v>0</v>
      </c>
      <c r="X19" s="1" t="s">
        <v>173</v>
      </c>
      <c r="Y19" s="21">
        <v>-5</v>
      </c>
      <c r="Z19" s="21">
        <v>-5</v>
      </c>
      <c r="AA19" s="21">
        <v>0</v>
      </c>
      <c r="AB19" s="21">
        <v>0</v>
      </c>
      <c r="AC19" s="21">
        <v>0</v>
      </c>
      <c r="AD19" s="21">
        <v>0</v>
      </c>
      <c r="AF19" s="23" t="s">
        <v>179</v>
      </c>
      <c r="AG19" s="24">
        <f>AG17+AG18</f>
        <v>164.98999999999961</v>
      </c>
      <c r="AH19" s="24">
        <f t="shared" ref="AH19:AL19" si="20">AH17+AH18</f>
        <v>-204.82000000000028</v>
      </c>
      <c r="AI19" s="24">
        <f t="shared" si="20"/>
        <v>111.22000000000044</v>
      </c>
      <c r="AJ19" s="24">
        <f t="shared" si="20"/>
        <v>552.1300000000017</v>
      </c>
      <c r="AK19" s="24">
        <f t="shared" si="20"/>
        <v>1920.7599999999986</v>
      </c>
      <c r="AL19" s="24">
        <f t="shared" si="20"/>
        <v>2029.7400000000016</v>
      </c>
      <c r="AN19" s="77" t="s">
        <v>188</v>
      </c>
      <c r="AO19" s="67">
        <f>AO17+AO18</f>
        <v>429.03100000000086</v>
      </c>
      <c r="AP19" s="67">
        <f t="shared" ref="AP19:AS19" si="21">AP17+AP18</f>
        <v>1006.6079999999984</v>
      </c>
      <c r="AQ19" s="67">
        <f t="shared" si="21"/>
        <v>2023.6370000000018</v>
      </c>
      <c r="AR19" s="67">
        <f t="shared" si="21"/>
        <v>2739.36</v>
      </c>
      <c r="AS19" s="67">
        <f t="shared" si="21"/>
        <v>3433.0879999999993</v>
      </c>
    </row>
    <row r="20" spans="1:45" x14ac:dyDescent="0.3">
      <c r="A20" s="23" t="s">
        <v>140</v>
      </c>
      <c r="B20" s="25">
        <f>SUM(B17:B19)</f>
        <v>443.78999999999996</v>
      </c>
      <c r="C20" s="25">
        <f t="shared" ref="C20:G20" si="22">SUM(C17:C19)</f>
        <v>384.02000000000004</v>
      </c>
      <c r="D20" s="25">
        <f t="shared" si="22"/>
        <v>571.72</v>
      </c>
      <c r="E20" s="25">
        <f t="shared" si="22"/>
        <v>681.75000000000011</v>
      </c>
      <c r="F20" s="25">
        <f t="shared" si="22"/>
        <v>925.72</v>
      </c>
      <c r="G20" s="25">
        <f t="shared" si="22"/>
        <v>965.22</v>
      </c>
      <c r="I20" s="34" t="s">
        <v>137</v>
      </c>
      <c r="J20" s="66">
        <v>-2243</v>
      </c>
      <c r="K20" s="66">
        <v>-2520</v>
      </c>
      <c r="L20" s="66">
        <v>-2840</v>
      </c>
      <c r="M20" s="66">
        <v>-3001</v>
      </c>
      <c r="N20" s="68">
        <v>-3521</v>
      </c>
      <c r="P20" s="35" t="s">
        <v>135</v>
      </c>
      <c r="Q20" s="67">
        <f>Q18+Q19</f>
        <v>20034.57</v>
      </c>
      <c r="R20" s="67">
        <f t="shared" ref="R20:V20" si="23">R18+R19</f>
        <v>17938.169999999998</v>
      </c>
      <c r="S20" s="67">
        <f t="shared" si="23"/>
        <v>20740.469999999998</v>
      </c>
      <c r="T20" s="67">
        <f t="shared" si="23"/>
        <v>25915.120000000014</v>
      </c>
      <c r="U20" s="67">
        <f t="shared" si="23"/>
        <v>26400.279999999992</v>
      </c>
      <c r="V20" s="69">
        <f t="shared" si="23"/>
        <v>26926.940000000002</v>
      </c>
      <c r="X20" s="23" t="s">
        <v>146</v>
      </c>
      <c r="Y20" s="25">
        <f>Y16+Y18+Y19</f>
        <v>2102</v>
      </c>
      <c r="Z20" s="25">
        <f t="shared" ref="Z20:AD20" si="24">Z16+Z18+Z19</f>
        <v>1327</v>
      </c>
      <c r="AA20" s="25">
        <f t="shared" si="24"/>
        <v>2958</v>
      </c>
      <c r="AB20" s="25">
        <f t="shared" si="24"/>
        <v>4447</v>
      </c>
      <c r="AC20" s="25">
        <f t="shared" si="24"/>
        <v>4623</v>
      </c>
      <c r="AD20" s="25">
        <f t="shared" si="24"/>
        <v>4535</v>
      </c>
      <c r="AF20" s="18" t="s">
        <v>136</v>
      </c>
      <c r="AG20" s="76"/>
      <c r="AH20" s="76"/>
      <c r="AI20" s="76"/>
      <c r="AJ20" s="76"/>
      <c r="AK20" s="76"/>
      <c r="AL20" s="76"/>
      <c r="AN20" s="63" t="s">
        <v>147</v>
      </c>
      <c r="AO20" s="66">
        <v>66.528999999999996</v>
      </c>
      <c r="AP20" s="66">
        <v>0</v>
      </c>
      <c r="AQ20" s="66">
        <v>0</v>
      </c>
      <c r="AR20" s="66">
        <v>0</v>
      </c>
      <c r="AS20" s="66">
        <v>0</v>
      </c>
    </row>
    <row r="21" spans="1:45" x14ac:dyDescent="0.3">
      <c r="A21" s="23" t="s">
        <v>141</v>
      </c>
      <c r="B21" s="25">
        <f>B15-B20</f>
        <v>1300.9800000000041</v>
      </c>
      <c r="C21" s="25">
        <f t="shared" ref="C21:G21" si="25">C15-C20</f>
        <v>1099.4300000000007</v>
      </c>
      <c r="D21" s="25">
        <f t="shared" si="25"/>
        <v>1492.4000000000026</v>
      </c>
      <c r="E21" s="25">
        <f t="shared" si="25"/>
        <v>2378.3399999999892</v>
      </c>
      <c r="F21" s="25">
        <f t="shared" si="25"/>
        <v>2535.6099999999942</v>
      </c>
      <c r="G21" s="25">
        <f t="shared" si="25"/>
        <v>2707.449999999998</v>
      </c>
      <c r="I21" s="34" t="s">
        <v>150</v>
      </c>
      <c r="J21" s="66">
        <v>-166</v>
      </c>
      <c r="K21" s="66">
        <v>-86</v>
      </c>
      <c r="L21" s="66">
        <v>-147</v>
      </c>
      <c r="M21" s="66">
        <v>-200</v>
      </c>
      <c r="N21" s="68">
        <v>-123</v>
      </c>
      <c r="P21" s="18" t="s">
        <v>136</v>
      </c>
      <c r="Q21" s="22"/>
      <c r="R21" s="22"/>
      <c r="S21" s="22"/>
      <c r="T21" s="22"/>
      <c r="U21" s="22"/>
      <c r="V21" s="22"/>
      <c r="X21" s="1" t="s">
        <v>147</v>
      </c>
      <c r="Y21" s="21">
        <v>0</v>
      </c>
      <c r="Z21" s="21">
        <v>0</v>
      </c>
      <c r="AA21" s="21">
        <v>54</v>
      </c>
      <c r="AB21" s="21">
        <v>0</v>
      </c>
      <c r="AC21" s="21">
        <v>0</v>
      </c>
      <c r="AD21" s="21">
        <v>0</v>
      </c>
      <c r="AF21" s="1" t="s">
        <v>137</v>
      </c>
      <c r="AG21" s="20">
        <v>64.5</v>
      </c>
      <c r="AH21" s="20">
        <v>0.89</v>
      </c>
      <c r="AI21" s="20">
        <v>89.14</v>
      </c>
      <c r="AJ21" s="20">
        <v>170.44</v>
      </c>
      <c r="AK21" s="20">
        <v>343.28</v>
      </c>
      <c r="AL21" s="20">
        <v>487.71</v>
      </c>
      <c r="AN21" s="77" t="s">
        <v>135</v>
      </c>
      <c r="AO21" s="67">
        <f>AO19-AO20</f>
        <v>362.50200000000086</v>
      </c>
      <c r="AP21" s="67">
        <f t="shared" ref="AP21:AS21" si="26">AP19-AP20</f>
        <v>1006.6079999999984</v>
      </c>
      <c r="AQ21" s="67">
        <f t="shared" si="26"/>
        <v>2023.6370000000018</v>
      </c>
      <c r="AR21" s="67">
        <f t="shared" si="26"/>
        <v>2739.36</v>
      </c>
      <c r="AS21" s="67">
        <f t="shared" si="26"/>
        <v>3433.0879999999993</v>
      </c>
    </row>
    <row r="22" spans="1:45" x14ac:dyDescent="0.3">
      <c r="I22" s="35" t="s">
        <v>151</v>
      </c>
      <c r="J22" s="67">
        <f>SUM(J20:J21)</f>
        <v>-2409</v>
      </c>
      <c r="K22" s="67">
        <f t="shared" ref="K22:N22" si="27">SUM(K20:K21)</f>
        <v>-2606</v>
      </c>
      <c r="L22" s="67">
        <f t="shared" si="27"/>
        <v>-2987</v>
      </c>
      <c r="M22" s="67">
        <f t="shared" si="27"/>
        <v>-3201</v>
      </c>
      <c r="N22" s="69">
        <f t="shared" si="27"/>
        <v>-3644</v>
      </c>
      <c r="P22" s="63" t="s">
        <v>137</v>
      </c>
      <c r="Q22" s="66">
        <v>4846.1499999999996</v>
      </c>
      <c r="R22" s="66">
        <v>4463.74</v>
      </c>
      <c r="S22" s="66">
        <v>5306.58</v>
      </c>
      <c r="T22" s="66">
        <v>6450.9</v>
      </c>
      <c r="U22" s="66">
        <v>6017.21</v>
      </c>
      <c r="V22" s="66">
        <v>6509.61</v>
      </c>
      <c r="X22" s="23" t="s">
        <v>174</v>
      </c>
      <c r="Y22" s="25">
        <f>Y20-Y21</f>
        <v>2102</v>
      </c>
      <c r="Z22" s="25">
        <f t="shared" ref="Z22:AD22" si="28">Z20-Z21</f>
        <v>1327</v>
      </c>
      <c r="AA22" s="25">
        <f t="shared" si="28"/>
        <v>2904</v>
      </c>
      <c r="AB22" s="25">
        <f t="shared" si="28"/>
        <v>4447</v>
      </c>
      <c r="AC22" s="25">
        <f t="shared" si="28"/>
        <v>4623</v>
      </c>
      <c r="AD22" s="25">
        <f t="shared" si="28"/>
        <v>4535</v>
      </c>
      <c r="AF22" s="1" t="s">
        <v>138</v>
      </c>
      <c r="AG22" s="20">
        <v>-2.62</v>
      </c>
      <c r="AH22" s="20">
        <v>-15.97</v>
      </c>
      <c r="AI22" s="20">
        <v>-12.43</v>
      </c>
      <c r="AJ22" s="20">
        <v>-11.83</v>
      </c>
      <c r="AK22" s="20">
        <v>100</v>
      </c>
      <c r="AL22" s="20">
        <v>7.65</v>
      </c>
      <c r="AN22" s="18" t="s">
        <v>136</v>
      </c>
      <c r="AO22" s="76"/>
      <c r="AP22" s="76"/>
      <c r="AQ22" s="76"/>
      <c r="AR22" s="76"/>
      <c r="AS22" s="76"/>
    </row>
    <row r="23" spans="1:45" x14ac:dyDescent="0.3">
      <c r="A23" s="1" t="s">
        <v>523</v>
      </c>
      <c r="B23" s="20">
        <f>B8+B9</f>
        <v>21102.93</v>
      </c>
      <c r="C23" s="20">
        <f t="shared" ref="C23:G23" si="29">C8+C9</f>
        <v>20554.68</v>
      </c>
      <c r="D23" s="20">
        <f t="shared" si="29"/>
        <v>26397.39</v>
      </c>
      <c r="E23" s="20">
        <f t="shared" si="29"/>
        <v>36383.949999999997</v>
      </c>
      <c r="F23" s="20">
        <f t="shared" si="29"/>
        <v>43274.54</v>
      </c>
      <c r="G23" s="20">
        <f t="shared" si="29"/>
        <v>50551.700000000004</v>
      </c>
      <c r="I23" s="35" t="s">
        <v>152</v>
      </c>
      <c r="J23" s="67">
        <f>J18+J22</f>
        <v>6764</v>
      </c>
      <c r="K23" s="67">
        <f t="shared" ref="K23:N23" si="30">K18+K22</f>
        <v>8000</v>
      </c>
      <c r="L23" s="67">
        <f t="shared" si="30"/>
        <v>8887</v>
      </c>
      <c r="M23" s="67">
        <f t="shared" si="30"/>
        <v>10143</v>
      </c>
      <c r="N23" s="67">
        <f t="shared" si="30"/>
        <v>10282</v>
      </c>
      <c r="P23" s="63" t="s">
        <v>138</v>
      </c>
      <c r="Q23" s="66">
        <v>-404.36</v>
      </c>
      <c r="R23" s="66">
        <v>91.55</v>
      </c>
      <c r="S23" s="66">
        <v>-69.239999999999995</v>
      </c>
      <c r="T23" s="66">
        <v>-12.5</v>
      </c>
      <c r="U23" s="66">
        <v>192.25</v>
      </c>
      <c r="V23" s="66">
        <v>380.86</v>
      </c>
      <c r="X23" s="18" t="s">
        <v>136</v>
      </c>
      <c r="Y23" s="22"/>
      <c r="Z23" s="22"/>
      <c r="AA23" s="22"/>
      <c r="AB23" s="22"/>
      <c r="AC23" s="22"/>
      <c r="AD23" s="22"/>
      <c r="AF23" s="1" t="s">
        <v>183</v>
      </c>
      <c r="AG23" s="20">
        <v>-2.87</v>
      </c>
      <c r="AH23" s="20">
        <v>-8.61</v>
      </c>
      <c r="AI23" s="20">
        <v>-0.09</v>
      </c>
      <c r="AJ23" s="20">
        <v>-0.17</v>
      </c>
      <c r="AK23" s="20">
        <v>0.09</v>
      </c>
      <c r="AL23" s="20">
        <v>-0.03</v>
      </c>
      <c r="AN23" s="63" t="s">
        <v>137</v>
      </c>
      <c r="AO23" s="66">
        <v>42.384999999999998</v>
      </c>
      <c r="AP23" s="66">
        <v>134.19800000000001</v>
      </c>
      <c r="AQ23" s="66">
        <v>425.86599999999999</v>
      </c>
      <c r="AR23" s="66">
        <v>629.08100000000002</v>
      </c>
      <c r="AS23" s="66">
        <v>750.20500000000004</v>
      </c>
    </row>
    <row r="24" spans="1:45" x14ac:dyDescent="0.3">
      <c r="A24" s="1" t="s">
        <v>524</v>
      </c>
      <c r="B24" s="117">
        <f>(B21-936)/936</f>
        <v>0.38993589743590185</v>
      </c>
      <c r="C24" s="117">
        <f>(C21-B21)/B21</f>
        <v>-0.15492167443004715</v>
      </c>
      <c r="D24" s="117">
        <f t="shared" ref="D24:G24" si="31">(D21-C21)/C21</f>
        <v>0.35743066861919504</v>
      </c>
      <c r="E24" s="117">
        <f t="shared" si="31"/>
        <v>0.59363441436611175</v>
      </c>
      <c r="F24" s="117">
        <f t="shared" si="31"/>
        <v>6.6125953396068554E-2</v>
      </c>
      <c r="G24" s="117">
        <f t="shared" si="31"/>
        <v>6.777067451224919E-2</v>
      </c>
      <c r="I24" s="34" t="s">
        <v>153</v>
      </c>
      <c r="J24" s="66">
        <v>-6</v>
      </c>
      <c r="K24" s="66">
        <v>-1</v>
      </c>
      <c r="L24" s="66">
        <v>3</v>
      </c>
      <c r="M24" s="66">
        <v>0</v>
      </c>
      <c r="N24" s="68">
        <v>0</v>
      </c>
      <c r="P24" s="77" t="s">
        <v>151</v>
      </c>
      <c r="Q24" s="67">
        <f>SUM(Q22:Q23)</f>
        <v>4441.79</v>
      </c>
      <c r="R24" s="67">
        <f t="shared" ref="R24:V24" si="32">SUM(R22:R23)</f>
        <v>4555.29</v>
      </c>
      <c r="S24" s="67">
        <f t="shared" si="32"/>
        <v>5237.34</v>
      </c>
      <c r="T24" s="67">
        <f t="shared" si="32"/>
        <v>6438.4</v>
      </c>
      <c r="U24" s="67">
        <f t="shared" si="32"/>
        <v>6209.46</v>
      </c>
      <c r="V24" s="67">
        <f t="shared" si="32"/>
        <v>6890.4699999999993</v>
      </c>
      <c r="X24" s="1" t="s">
        <v>137</v>
      </c>
      <c r="Y24" s="21">
        <v>570</v>
      </c>
      <c r="Z24" s="21">
        <v>360</v>
      </c>
      <c r="AA24" s="21">
        <v>786</v>
      </c>
      <c r="AB24" s="21">
        <v>1150</v>
      </c>
      <c r="AC24" s="21">
        <v>1101</v>
      </c>
      <c r="AD24" s="21">
        <v>1183</v>
      </c>
      <c r="AF24" s="23" t="s">
        <v>151</v>
      </c>
      <c r="AG24" s="24">
        <f>SUM(AG21:AG23)</f>
        <v>59.010000000000005</v>
      </c>
      <c r="AH24" s="24">
        <f t="shared" ref="AH24:AL24" si="33">SUM(AH21:AH23)</f>
        <v>-23.689999999999998</v>
      </c>
      <c r="AI24" s="24">
        <f t="shared" si="33"/>
        <v>76.62</v>
      </c>
      <c r="AJ24" s="24">
        <f t="shared" si="33"/>
        <v>158.44</v>
      </c>
      <c r="AK24" s="24">
        <f t="shared" si="33"/>
        <v>443.36999999999995</v>
      </c>
      <c r="AL24" s="24">
        <f t="shared" si="33"/>
        <v>495.33</v>
      </c>
      <c r="AN24" s="63" t="s">
        <v>189</v>
      </c>
      <c r="AO24" s="66">
        <v>15.369</v>
      </c>
      <c r="AP24" s="66">
        <v>35.006</v>
      </c>
      <c r="AQ24" s="66">
        <v>22.690999999999999</v>
      </c>
      <c r="AR24" s="66">
        <v>2.0550000000000002</v>
      </c>
      <c r="AS24" s="66">
        <v>0.52800000000000002</v>
      </c>
    </row>
    <row r="25" spans="1:45" x14ac:dyDescent="0.3">
      <c r="A25" s="1" t="s">
        <v>570</v>
      </c>
      <c r="B25" s="20">
        <f>'Balance Sheet'!B49+'Balance Sheet'!B50</f>
        <v>433.45000000000005</v>
      </c>
      <c r="C25" s="20">
        <f>'Balance Sheet'!C49+'Balance Sheet'!C50</f>
        <v>578.13</v>
      </c>
      <c r="D25" s="20">
        <f>'Balance Sheet'!D49+'Balance Sheet'!D50</f>
        <v>589.19999999999993</v>
      </c>
      <c r="E25" s="20">
        <f>'Balance Sheet'!E49+'Balance Sheet'!E50</f>
        <v>753.79</v>
      </c>
      <c r="F25" s="20">
        <f>'Balance Sheet'!F49+'Balance Sheet'!F50</f>
        <v>984.81000000000006</v>
      </c>
      <c r="G25" s="20">
        <f>'Balance Sheet'!G49+'Balance Sheet'!G50</f>
        <v>1070.81</v>
      </c>
      <c r="I25" s="34" t="s">
        <v>154</v>
      </c>
      <c r="J25" s="66">
        <v>-2</v>
      </c>
      <c r="K25" s="66">
        <v>0</v>
      </c>
      <c r="L25" s="66">
        <v>2</v>
      </c>
      <c r="M25" s="66">
        <v>0</v>
      </c>
      <c r="N25" s="68">
        <v>0</v>
      </c>
      <c r="P25" s="77" t="s">
        <v>162</v>
      </c>
      <c r="Q25" s="67">
        <f>Q20-Q24</f>
        <v>15592.779999999999</v>
      </c>
      <c r="R25" s="67">
        <f t="shared" ref="R25:V25" si="34">R20-R24</f>
        <v>13382.879999999997</v>
      </c>
      <c r="S25" s="67">
        <f t="shared" si="34"/>
        <v>15503.129999999997</v>
      </c>
      <c r="T25" s="67">
        <f t="shared" si="34"/>
        <v>19476.720000000016</v>
      </c>
      <c r="U25" s="67">
        <f t="shared" si="34"/>
        <v>20190.819999999992</v>
      </c>
      <c r="V25" s="67">
        <f t="shared" si="34"/>
        <v>20036.47</v>
      </c>
      <c r="X25" s="1" t="s">
        <v>138</v>
      </c>
      <c r="Y25" s="21">
        <v>39</v>
      </c>
      <c r="Z25" s="21">
        <v>-7</v>
      </c>
      <c r="AA25" s="21">
        <v>-80</v>
      </c>
      <c r="AB25" s="21">
        <v>26</v>
      </c>
      <c r="AC25" s="21">
        <v>26</v>
      </c>
      <c r="AD25" s="21">
        <v>15</v>
      </c>
      <c r="AF25" s="23" t="s">
        <v>184</v>
      </c>
      <c r="AG25" s="24">
        <f>AG19-AG24</f>
        <v>105.97999999999961</v>
      </c>
      <c r="AH25" s="24">
        <f t="shared" ref="AH25:AL25" si="35">AH19-AH24</f>
        <v>-181.13000000000028</v>
      </c>
      <c r="AI25" s="24">
        <f t="shared" si="35"/>
        <v>34.600000000000435</v>
      </c>
      <c r="AJ25" s="24">
        <f t="shared" si="35"/>
        <v>393.6900000000017</v>
      </c>
      <c r="AK25" s="24">
        <f t="shared" si="35"/>
        <v>1477.3899999999987</v>
      </c>
      <c r="AL25" s="24">
        <f t="shared" si="35"/>
        <v>1534.4100000000017</v>
      </c>
      <c r="AN25" s="63" t="s">
        <v>190</v>
      </c>
      <c r="AO25" s="66">
        <v>-52.52</v>
      </c>
      <c r="AP25" s="66">
        <v>91.352000000000004</v>
      </c>
      <c r="AQ25" s="66">
        <v>24.966000000000001</v>
      </c>
      <c r="AR25" s="66">
        <v>6.4109999999999996</v>
      </c>
      <c r="AS25" s="66">
        <v>48.070999999999998</v>
      </c>
    </row>
    <row r="26" spans="1:45" x14ac:dyDescent="0.3">
      <c r="A26" s="1" t="s">
        <v>571</v>
      </c>
      <c r="B26" s="117">
        <f>B25/B23</f>
        <v>2.0539801818989119E-2</v>
      </c>
      <c r="C26" s="117">
        <f t="shared" ref="C26:G26" si="36">C25/C23</f>
        <v>2.8126441277606849E-2</v>
      </c>
      <c r="D26" s="117">
        <f t="shared" si="36"/>
        <v>2.2320388492953279E-2</v>
      </c>
      <c r="E26" s="117">
        <f t="shared" si="36"/>
        <v>2.0717651601873905E-2</v>
      </c>
      <c r="F26" s="117">
        <f t="shared" si="36"/>
        <v>2.2757260966841011E-2</v>
      </c>
      <c r="G26" s="117">
        <f t="shared" si="36"/>
        <v>2.1182472597360717E-2</v>
      </c>
      <c r="I26" s="35" t="s">
        <v>155</v>
      </c>
      <c r="J26" s="67">
        <f>J24+J25</f>
        <v>-8</v>
      </c>
      <c r="K26" s="67">
        <f t="shared" ref="K26:N26" si="37">K24+K25</f>
        <v>-1</v>
      </c>
      <c r="L26" s="67">
        <f t="shared" si="37"/>
        <v>5</v>
      </c>
      <c r="M26" s="67">
        <f t="shared" si="37"/>
        <v>0</v>
      </c>
      <c r="N26" s="69">
        <f t="shared" si="37"/>
        <v>0</v>
      </c>
      <c r="P26" s="63" t="s">
        <v>163</v>
      </c>
      <c r="Q26" s="66">
        <v>0</v>
      </c>
      <c r="R26" s="66">
        <v>0</v>
      </c>
      <c r="S26" s="66">
        <v>0</v>
      </c>
      <c r="T26" s="66">
        <v>0</v>
      </c>
      <c r="U26" s="66">
        <v>747.17</v>
      </c>
      <c r="V26" s="66">
        <v>525.84</v>
      </c>
      <c r="X26" s="1" t="s">
        <v>176</v>
      </c>
      <c r="Y26" s="20">
        <v>0</v>
      </c>
      <c r="Z26" s="20">
        <v>0</v>
      </c>
      <c r="AA26" s="20">
        <v>0</v>
      </c>
      <c r="AB26" s="20">
        <v>-3</v>
      </c>
      <c r="AC26" s="20">
        <v>0</v>
      </c>
      <c r="AD26" s="20">
        <v>0</v>
      </c>
      <c r="AN26" s="77" t="s">
        <v>151</v>
      </c>
      <c r="AO26" s="67">
        <f>SUM(AO23:AO25)</f>
        <v>5.2339999999999947</v>
      </c>
      <c r="AP26" s="67">
        <f t="shared" ref="AP26:AS26" si="38">SUM(AP23:AP25)</f>
        <v>260.55600000000004</v>
      </c>
      <c r="AQ26" s="67">
        <f t="shared" si="38"/>
        <v>473.52299999999997</v>
      </c>
      <c r="AR26" s="67">
        <f t="shared" si="38"/>
        <v>637.54699999999991</v>
      </c>
      <c r="AS26" s="67">
        <f t="shared" si="38"/>
        <v>798.80400000000009</v>
      </c>
    </row>
    <row r="27" spans="1:45" x14ac:dyDescent="0.3">
      <c r="B27" s="142">
        <f>AVERAGE(B26:G26)</f>
        <v>2.2607336125937478E-2</v>
      </c>
      <c r="I27" s="36" t="s">
        <v>156</v>
      </c>
      <c r="J27" s="70">
        <f>SUM(J23+J26)</f>
        <v>6756</v>
      </c>
      <c r="K27" s="70">
        <f t="shared" ref="K27:N27" si="39">SUM(K23+K26)</f>
        <v>7999</v>
      </c>
      <c r="L27" s="70">
        <f t="shared" si="39"/>
        <v>8892</v>
      </c>
      <c r="M27" s="70">
        <f t="shared" si="39"/>
        <v>10143</v>
      </c>
      <c r="N27" s="71">
        <f t="shared" si="39"/>
        <v>10282</v>
      </c>
      <c r="P27" s="63" t="s">
        <v>164</v>
      </c>
      <c r="Q27" s="66">
        <v>0</v>
      </c>
      <c r="R27" s="66">
        <v>0</v>
      </c>
      <c r="S27" s="66">
        <v>0</v>
      </c>
      <c r="T27" s="66">
        <v>0</v>
      </c>
      <c r="U27" s="66">
        <v>-7.57</v>
      </c>
      <c r="V27" s="66">
        <v>15128.81</v>
      </c>
      <c r="X27" s="23" t="s">
        <v>175</v>
      </c>
      <c r="Y27" s="25">
        <f>SUM(Y24:Y26)</f>
        <v>609</v>
      </c>
      <c r="Z27" s="25">
        <f t="shared" ref="Z27:AD27" si="40">SUM(Z24:Z26)</f>
        <v>353</v>
      </c>
      <c r="AA27" s="25">
        <f t="shared" si="40"/>
        <v>706</v>
      </c>
      <c r="AB27" s="25">
        <f t="shared" si="40"/>
        <v>1173</v>
      </c>
      <c r="AC27" s="25">
        <f t="shared" si="40"/>
        <v>1127</v>
      </c>
      <c r="AD27" s="25">
        <f t="shared" si="40"/>
        <v>1198</v>
      </c>
      <c r="AN27" s="77" t="s">
        <v>184</v>
      </c>
      <c r="AO27" s="67">
        <f>AO21-AO26</f>
        <v>357.26800000000088</v>
      </c>
      <c r="AP27" s="67">
        <f t="shared" ref="AP27:AS27" si="41">AP21-AP26</f>
        <v>746.05199999999832</v>
      </c>
      <c r="AQ27" s="67">
        <f t="shared" si="41"/>
        <v>1550.1140000000019</v>
      </c>
      <c r="AR27" s="67">
        <f t="shared" si="41"/>
        <v>2101.8130000000001</v>
      </c>
      <c r="AS27" s="67">
        <f t="shared" si="41"/>
        <v>2634.2839999999992</v>
      </c>
    </row>
    <row r="28" spans="1:45" x14ac:dyDescent="0.3">
      <c r="P28" s="63" t="s">
        <v>165</v>
      </c>
      <c r="Q28" s="66">
        <v>0</v>
      </c>
      <c r="R28" s="66">
        <v>0</v>
      </c>
      <c r="S28" s="66">
        <v>0</v>
      </c>
      <c r="T28" s="66">
        <v>0</v>
      </c>
      <c r="U28" s="66">
        <v>179.06</v>
      </c>
      <c r="V28" s="66">
        <v>638.64</v>
      </c>
      <c r="X28" s="23" t="s">
        <v>156</v>
      </c>
      <c r="Y28" s="25">
        <f t="shared" ref="Y28:AD28" si="42">Y22-Y27</f>
        <v>1493</v>
      </c>
      <c r="Z28" s="25">
        <f t="shared" si="42"/>
        <v>974</v>
      </c>
      <c r="AA28" s="25">
        <f t="shared" si="42"/>
        <v>2198</v>
      </c>
      <c r="AB28" s="25">
        <f t="shared" si="42"/>
        <v>3274</v>
      </c>
      <c r="AC28" s="25">
        <f t="shared" si="42"/>
        <v>3496</v>
      </c>
      <c r="AD28" s="25">
        <f t="shared" si="42"/>
        <v>3337</v>
      </c>
    </row>
    <row r="29" spans="1:45" x14ac:dyDescent="0.3">
      <c r="P29" s="77" t="s">
        <v>166</v>
      </c>
      <c r="Q29" s="67">
        <f>Q26+Q27-Q28</f>
        <v>0</v>
      </c>
      <c r="R29" s="67">
        <f t="shared" ref="R29:V29" si="43">R26+R27-R28</f>
        <v>0</v>
      </c>
      <c r="S29" s="67">
        <f t="shared" si="43"/>
        <v>0</v>
      </c>
      <c r="T29" s="67">
        <f t="shared" si="43"/>
        <v>0</v>
      </c>
      <c r="U29" s="67">
        <f t="shared" si="43"/>
        <v>560.54</v>
      </c>
      <c r="V29" s="67">
        <f t="shared" si="43"/>
        <v>15016.01</v>
      </c>
    </row>
    <row r="30" spans="1:45" x14ac:dyDescent="0.3">
      <c r="P30" s="77" t="s">
        <v>156</v>
      </c>
      <c r="Q30" s="67">
        <f>Q25+Q29</f>
        <v>15592.779999999999</v>
      </c>
      <c r="R30" s="67">
        <f t="shared" ref="R30:V30" si="44">R25+R29</f>
        <v>13382.879999999997</v>
      </c>
      <c r="S30" s="67">
        <f t="shared" si="44"/>
        <v>15503.129999999997</v>
      </c>
      <c r="T30" s="67">
        <f t="shared" si="44"/>
        <v>19476.720000000016</v>
      </c>
      <c r="U30" s="67">
        <f t="shared" si="44"/>
        <v>20751.359999999993</v>
      </c>
      <c r="V30" s="67">
        <f t="shared" si="44"/>
        <v>35052.480000000003</v>
      </c>
    </row>
  </sheetData>
  <pageMargins left="0.7" right="0.7" top="0.75" bottom="0.75" header="0.3" footer="0.3"/>
  <tableParts count="6">
    <tablePart r:id="rId1"/>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97BC9-080E-4CF0-8712-35C21D8A2829}">
  <dimension ref="A1:AS28"/>
  <sheetViews>
    <sheetView workbookViewId="0">
      <selection activeCell="I8" sqref="I8"/>
    </sheetView>
  </sheetViews>
  <sheetFormatPr defaultRowHeight="14.4" x14ac:dyDescent="0.3"/>
  <cols>
    <col min="1" max="1" width="52.21875" style="1" bestFit="1" customWidth="1"/>
    <col min="2" max="7" width="7" style="3" bestFit="1" customWidth="1"/>
    <col min="8" max="8" width="8.88671875" style="1"/>
    <col min="9" max="9" width="52.21875" style="1" bestFit="1" customWidth="1"/>
    <col min="10" max="15" width="8.88671875" style="1"/>
    <col min="16" max="16" width="52.21875" style="1" bestFit="1" customWidth="1"/>
    <col min="17" max="23" width="8.88671875" style="1"/>
    <col min="24" max="24" width="52.21875" style="1" bestFit="1" customWidth="1"/>
    <col min="25" max="31" width="8.88671875" style="1"/>
    <col min="32" max="32" width="52.21875" style="1" bestFit="1" customWidth="1"/>
    <col min="33" max="39" width="8.88671875" style="1"/>
    <col min="40" max="40" width="52.21875" style="1" bestFit="1" customWidth="1"/>
    <col min="41" max="16384" width="8.88671875" style="1"/>
  </cols>
  <sheetData>
    <row r="1" spans="1:45" ht="42" customHeight="1" x14ac:dyDescent="0.3">
      <c r="A1" s="89" t="s">
        <v>475</v>
      </c>
      <c r="B1" s="88"/>
      <c r="C1" s="88"/>
      <c r="D1" s="88"/>
      <c r="E1" s="88"/>
      <c r="F1" s="281" t="e" vm="13">
        <v>#VALUE!</v>
      </c>
      <c r="G1" s="282"/>
      <c r="I1" s="89" t="s">
        <v>475</v>
      </c>
      <c r="M1" s="280" t="e" vm="6">
        <v>#VALUE!</v>
      </c>
      <c r="N1" s="280"/>
      <c r="P1" s="89" t="s">
        <v>475</v>
      </c>
      <c r="U1" s="283" t="e" vm="2">
        <v>#VALUE!</v>
      </c>
      <c r="V1" s="283"/>
      <c r="X1" s="89" t="s">
        <v>475</v>
      </c>
      <c r="AC1" s="280" t="e" vm="5">
        <v>#VALUE!</v>
      </c>
      <c r="AD1" s="280"/>
      <c r="AF1" s="95" t="s">
        <v>475</v>
      </c>
      <c r="AK1" s="280" t="e" vm="14">
        <v>#VALUE!</v>
      </c>
      <c r="AL1" s="280"/>
      <c r="AN1" s="95" t="s">
        <v>475</v>
      </c>
      <c r="AR1" s="280" t="e" vm="4">
        <v>#VALUE!</v>
      </c>
      <c r="AS1" s="280"/>
    </row>
    <row r="2" spans="1:45" x14ac:dyDescent="0.3">
      <c r="A2" s="23" t="s">
        <v>1</v>
      </c>
      <c r="B2" s="75" t="s">
        <v>27</v>
      </c>
      <c r="C2" s="75" t="s">
        <v>28</v>
      </c>
      <c r="D2" s="75" t="s">
        <v>29</v>
      </c>
      <c r="E2" s="75" t="s">
        <v>30</v>
      </c>
      <c r="F2" s="75" t="s">
        <v>31</v>
      </c>
      <c r="G2" s="75" t="s">
        <v>32</v>
      </c>
      <c r="I2" s="23" t="s">
        <v>1</v>
      </c>
      <c r="J2" s="75" t="s">
        <v>27</v>
      </c>
      <c r="K2" s="75" t="s">
        <v>28</v>
      </c>
      <c r="L2" s="75" t="s">
        <v>29</v>
      </c>
      <c r="M2" s="75" t="s">
        <v>30</v>
      </c>
      <c r="N2" s="75" t="s">
        <v>31</v>
      </c>
      <c r="P2" s="92" t="s">
        <v>1</v>
      </c>
      <c r="Q2" s="93" t="s">
        <v>27</v>
      </c>
      <c r="R2" s="93" t="s">
        <v>28</v>
      </c>
      <c r="S2" s="93" t="s">
        <v>29</v>
      </c>
      <c r="T2" s="93" t="s">
        <v>30</v>
      </c>
      <c r="U2" s="93" t="s">
        <v>31</v>
      </c>
      <c r="V2" s="94" t="s">
        <v>32</v>
      </c>
      <c r="X2" s="23" t="s">
        <v>1</v>
      </c>
      <c r="Y2" s="75" t="s">
        <v>27</v>
      </c>
      <c r="Z2" s="75" t="s">
        <v>28</v>
      </c>
      <c r="AA2" s="75" t="s">
        <v>29</v>
      </c>
      <c r="AB2" s="75" t="s">
        <v>30</v>
      </c>
      <c r="AC2" s="75" t="s">
        <v>31</v>
      </c>
      <c r="AD2" s="75" t="s">
        <v>32</v>
      </c>
      <c r="AF2" s="23" t="s">
        <v>1</v>
      </c>
      <c r="AG2" s="75" t="s">
        <v>27</v>
      </c>
      <c r="AH2" s="75" t="s">
        <v>28</v>
      </c>
      <c r="AI2" s="75" t="s">
        <v>29</v>
      </c>
      <c r="AJ2" s="75" t="s">
        <v>30</v>
      </c>
      <c r="AK2" s="75" t="s">
        <v>31</v>
      </c>
      <c r="AL2" s="75" t="s">
        <v>32</v>
      </c>
      <c r="AN2" s="23" t="s">
        <v>1</v>
      </c>
      <c r="AO2" s="75" t="s">
        <v>27</v>
      </c>
      <c r="AP2" s="75" t="s">
        <v>28</v>
      </c>
      <c r="AQ2" s="75" t="s">
        <v>29</v>
      </c>
      <c r="AR2" s="75" t="s">
        <v>30</v>
      </c>
      <c r="AS2" s="75" t="s">
        <v>31</v>
      </c>
    </row>
    <row r="3" spans="1:45" x14ac:dyDescent="0.3">
      <c r="A3" s="23" t="s">
        <v>476</v>
      </c>
      <c r="B3" s="85">
        <v>1</v>
      </c>
      <c r="C3" s="85">
        <v>1</v>
      </c>
      <c r="D3" s="85">
        <v>1</v>
      </c>
      <c r="E3" s="85">
        <v>1</v>
      </c>
      <c r="F3" s="85">
        <v>1</v>
      </c>
      <c r="G3" s="85">
        <v>1</v>
      </c>
      <c r="I3" s="23" t="str">
        <f t="shared" ref="I3:I15" si="0">A3</f>
        <v>Revenue (Net Sales)</v>
      </c>
      <c r="J3" s="87">
        <v>1</v>
      </c>
      <c r="K3" s="87">
        <v>1</v>
      </c>
      <c r="L3" s="87">
        <v>1</v>
      </c>
      <c r="M3" s="87">
        <v>1</v>
      </c>
      <c r="N3" s="87">
        <v>1</v>
      </c>
      <c r="P3" s="77" t="str">
        <f t="shared" ref="P3:P15" si="1">I3</f>
        <v>Revenue (Net Sales)</v>
      </c>
      <c r="Q3" s="90">
        <v>1</v>
      </c>
      <c r="R3" s="90">
        <v>1</v>
      </c>
      <c r="S3" s="90">
        <v>1</v>
      </c>
      <c r="T3" s="90">
        <v>1</v>
      </c>
      <c r="U3" s="90">
        <v>1</v>
      </c>
      <c r="V3" s="90">
        <v>1</v>
      </c>
      <c r="X3" s="77" t="str">
        <f t="shared" ref="X3:X15" si="2">P3</f>
        <v>Revenue (Net Sales)</v>
      </c>
      <c r="Y3" s="90">
        <v>1</v>
      </c>
      <c r="Z3" s="90">
        <v>1</v>
      </c>
      <c r="AA3" s="90">
        <v>1</v>
      </c>
      <c r="AB3" s="90">
        <v>1</v>
      </c>
      <c r="AC3" s="90">
        <v>1</v>
      </c>
      <c r="AD3" s="90">
        <v>1</v>
      </c>
      <c r="AF3" s="77" t="s">
        <v>476</v>
      </c>
      <c r="AG3" s="90">
        <v>1</v>
      </c>
      <c r="AH3" s="90">
        <v>1</v>
      </c>
      <c r="AI3" s="90">
        <v>1</v>
      </c>
      <c r="AJ3" s="90">
        <v>1</v>
      </c>
      <c r="AK3" s="90">
        <v>1</v>
      </c>
      <c r="AL3" s="90">
        <v>1</v>
      </c>
      <c r="AN3" s="77" t="s">
        <v>476</v>
      </c>
      <c r="AO3" s="90">
        <v>1</v>
      </c>
      <c r="AP3" s="90">
        <v>1</v>
      </c>
      <c r="AQ3" s="90">
        <v>1</v>
      </c>
      <c r="AR3" s="90">
        <v>1</v>
      </c>
      <c r="AS3" s="90">
        <v>1</v>
      </c>
    </row>
    <row r="4" spans="1:45" x14ac:dyDescent="0.3">
      <c r="A4" s="1" t="s">
        <v>477</v>
      </c>
      <c r="B4" s="86">
        <f>('Income Statement'!B8+'Income Statement'!B9)/Dmart_IS[[#This Row],[2020]]</f>
        <v>0.84852273001423384</v>
      </c>
      <c r="C4" s="86">
        <f>('Income Statement'!C8+'Income Statement'!C9)/Dmart_IS[[#This Row],[2021]]</f>
        <v>0.85137012458238515</v>
      </c>
      <c r="D4" s="86">
        <f>('Income Statement'!D8+'Income Statement'!D9)/Dmart_IS[[#This Row],[2022]]</f>
        <v>0.85218104051908117</v>
      </c>
      <c r="E4" s="86">
        <f>('Income Statement'!E8+'Income Statement'!E9)/Dmart_IS[[#This Row],[2023]]</f>
        <v>0.84930727579835086</v>
      </c>
      <c r="F4" s="86">
        <f>('Income Statement'!F8+'Income Statement'!F9)/Dmart_IS[[#This Row],[2024]]</f>
        <v>0.85204837362861086</v>
      </c>
      <c r="G4" s="86">
        <f>('Income Statement'!G8+'Income Statement'!G9)/Dmart_IS[[#This Row],[2025]]</f>
        <v>0.8516401734895267</v>
      </c>
      <c r="I4" s="1" t="str">
        <f t="shared" si="0"/>
        <v>Cost of Goods sold</v>
      </c>
      <c r="J4" s="86">
        <f>('Income Statement'!J8+'Income Statement'!J9+'Income Statement'!J10)/HUL_IS[[#This Row],[2020]]</f>
        <v>0.45896488449840384</v>
      </c>
      <c r="K4" s="86">
        <f>('Income Statement'!K8+'Income Statement'!K9+'Income Statement'!K10)/HUL_IS[[#This Row],[2021]]</f>
        <v>0.47095347452581443</v>
      </c>
      <c r="L4" s="86">
        <f>('Income Statement'!L8+'Income Statement'!L9+'Income Statement'!L10)/HUL_IS[[#This Row],[2022]]</f>
        <v>0.49069519124432748</v>
      </c>
      <c r="M4" s="86">
        <f>('Income Statement'!M8+'Income Statement'!M9+'Income Statement'!M10)/HUL_IS[[#This Row],[2023]]</f>
        <v>0.5235391218223836</v>
      </c>
      <c r="N4" s="86">
        <f>('Income Statement'!N8+'Income Statement'!N9+'Income Statement'!N10)/HUL_IS[[#This Row],[2024]]</f>
        <v>0.48080651415277237</v>
      </c>
      <c r="P4" s="63" t="str">
        <f t="shared" si="1"/>
        <v>Cost of Goods sold</v>
      </c>
      <c r="Q4" s="91">
        <f>('Income Statement'!Q8+'Income Statement'!Q9+'Income Statement'!Q10)/ITC_IS[[#This Row],[2020]]</f>
        <v>0.33750338321191381</v>
      </c>
      <c r="R4" s="91">
        <f>('Income Statement'!R8+'Income Statement'!R9+'Income Statement'!R10)/ITC_IS[[#This Row],[2021]]</f>
        <v>0.37873002638315928</v>
      </c>
      <c r="S4" s="91">
        <f>('Income Statement'!S8+'Income Statement'!S9+'Income Statement'!S10)/ITC_IS[[#This Row],[2022]]</f>
        <v>0.40464820467645407</v>
      </c>
      <c r="T4" s="91">
        <f>('Income Statement'!T8+'Income Statement'!T9+'Income Statement'!T10)/ITC_IS[[#This Row],[2023]]</f>
        <v>0.37907015859362103</v>
      </c>
      <c r="U4" s="91">
        <f>('Income Statement'!U8+'Income Statement'!U9+'Income Statement'!U10)/ITC_IS[[#This Row],[2024]]</f>
        <v>0.36514112665027598</v>
      </c>
      <c r="V4" s="91">
        <f>('Income Statement'!V8+'Income Statement'!V9+'Income Statement'!V10)/ITC_IS[[#This Row],[2025]]</f>
        <v>0.39183471020102489</v>
      </c>
      <c r="X4" s="63" t="str">
        <f t="shared" si="2"/>
        <v>Cost of Goods sold</v>
      </c>
      <c r="Y4" s="91">
        <f>('Income Statement'!Y8+'Income Statement'!Y9+'Income Statement'!Y10)/Titan_IS[[#This Row],[2020]]</f>
        <v>0.71988409652289564</v>
      </c>
      <c r="Z4" s="91">
        <f>('Income Statement'!Z8+'Income Statement'!Z9+'Income Statement'!Z10)/Titan_IS[[#This Row],[2021]]</f>
        <v>0.75836259471447054</v>
      </c>
      <c r="AA4" s="91">
        <f>('Income Statement'!AA8+'Income Statement'!AA9+'Income Statement'!AA10)/Titan_IS[[#This Row],[2022]]</f>
        <v>0.7514497031146915</v>
      </c>
      <c r="AB4" s="91">
        <f>('Income Statement'!AB8+'Income Statement'!AB9+'Income Statement'!AB10)/Titan_IS[[#This Row],[2023]]</f>
        <v>0.74812076401725203</v>
      </c>
      <c r="AC4" s="91">
        <f>('Income Statement'!AC8+'Income Statement'!AC9+'Income Statement'!AC10)/Titan_IS[[#This Row],[2024]]</f>
        <v>0.77190509748649283</v>
      </c>
      <c r="AD4" s="91">
        <f>('Income Statement'!AD8+'Income Statement'!AD9+'Income Statement'!AD10)/Titan_IS[[#This Row],[2025]]</f>
        <v>0.78496757972740505</v>
      </c>
      <c r="AF4" s="63" t="s">
        <v>477</v>
      </c>
      <c r="AG4" s="91">
        <f>('Income Statement'!AG8+'Income Statement'!AG9)/Trent_IS[[#This Row],[2020]]</f>
        <v>0.53980516239335852</v>
      </c>
      <c r="AH4" s="91">
        <f>('Income Statement'!AH8+'Income Statement'!AH9)/Trent_IS[[#This Row],[2021]]</f>
        <v>0.59160187584845114</v>
      </c>
      <c r="AI4" s="91">
        <f>('Income Statement'!AI8+'Income Statement'!AI9)/Trent_IS[[#This Row],[2022]]</f>
        <v>0.55169607960836098</v>
      </c>
      <c r="AJ4" s="91">
        <f>('Income Statement'!AJ8+'Income Statement'!AJ9)/Trent_IS[[#This Row],[2023]]</f>
        <v>0.57264359950594634</v>
      </c>
      <c r="AK4" s="91">
        <f>('Income Statement'!AK8+'Income Statement'!AK9)/Trent_IS[[#This Row],[2024]]</f>
        <v>0.56232954696968351</v>
      </c>
      <c r="AL4" s="91">
        <f>('Income Statement'!AL8+'Income Statement'!AL9)/Trent_IS[[#This Row],[2025]]</f>
        <v>0.56547187242662655</v>
      </c>
      <c r="AN4" s="63" t="s">
        <v>477</v>
      </c>
      <c r="AO4" s="91">
        <f>('Income Statement'!AO8+'Income Statement'!AO10+'Income Statement'!AO11)/VBL_IS[[#This Row],[2020]]</f>
        <v>0.42160243082832122</v>
      </c>
      <c r="AP4" s="91">
        <f>('Income Statement'!AP8+'Income Statement'!AP10+'Income Statement'!AP11)/VBL_IS[[#This Row],[2021]]</f>
        <v>0.45038277948327415</v>
      </c>
      <c r="AQ4" s="91">
        <f>('Income Statement'!AQ8+'Income Statement'!AQ10+'Income Statement'!AQ11)/VBL_IS[[#This Row],[2022]]</f>
        <v>0.46757991713265418</v>
      </c>
      <c r="AR4" s="91">
        <f>('Income Statement'!AR8+'Income Statement'!AR10+'Income Statement'!AR11)/VBL_IS[[#This Row],[2023]]</f>
        <v>0.4537013306057332</v>
      </c>
      <c r="AS4" s="91">
        <f>('Income Statement'!AS8+'Income Statement'!AS10+'Income Statement'!AS11)/VBL_IS[[#This Row],[2024]]</f>
        <v>0.43477278426477028</v>
      </c>
    </row>
    <row r="5" spans="1:45" x14ac:dyDescent="0.3">
      <c r="A5" s="23" t="s">
        <v>478</v>
      </c>
      <c r="B5" s="87">
        <f>B3-B4</f>
        <v>0.15147726998576616</v>
      </c>
      <c r="C5" s="87">
        <f t="shared" ref="C5:G5" si="3">C3-C4</f>
        <v>0.14862987541761485</v>
      </c>
      <c r="D5" s="87">
        <f t="shared" si="3"/>
        <v>0.14781895948091883</v>
      </c>
      <c r="E5" s="87">
        <f t="shared" si="3"/>
        <v>0.15069272420164914</v>
      </c>
      <c r="F5" s="87">
        <f t="shared" si="3"/>
        <v>0.14795162637138914</v>
      </c>
      <c r="G5" s="87">
        <f t="shared" si="3"/>
        <v>0.1483598265104733</v>
      </c>
      <c r="I5" s="23" t="str">
        <f t="shared" si="0"/>
        <v>Gross Profit</v>
      </c>
      <c r="J5" s="87">
        <f>J3-J4</f>
        <v>0.54103511550159622</v>
      </c>
      <c r="K5" s="87">
        <f t="shared" ref="K5:N5" si="4">K3-K4</f>
        <v>0.52904652547418562</v>
      </c>
      <c r="L5" s="87">
        <f t="shared" si="4"/>
        <v>0.50930480875567252</v>
      </c>
      <c r="M5" s="87">
        <f t="shared" si="4"/>
        <v>0.4764608781776164</v>
      </c>
      <c r="N5" s="87">
        <f t="shared" si="4"/>
        <v>0.51919348584722758</v>
      </c>
      <c r="P5" s="77" t="str">
        <f t="shared" si="1"/>
        <v>Gross Profit</v>
      </c>
      <c r="Q5" s="90">
        <f>Q3-Q4</f>
        <v>0.66249661678808613</v>
      </c>
      <c r="R5" s="90">
        <f t="shared" ref="R5:V5" si="5">R3-R4</f>
        <v>0.62126997361684078</v>
      </c>
      <c r="S5" s="90">
        <f t="shared" si="5"/>
        <v>0.59535179532354587</v>
      </c>
      <c r="T5" s="90">
        <f t="shared" si="5"/>
        <v>0.62092984140637897</v>
      </c>
      <c r="U5" s="90">
        <f t="shared" si="5"/>
        <v>0.63485887334972402</v>
      </c>
      <c r="V5" s="90">
        <f t="shared" si="5"/>
        <v>0.60816528979897511</v>
      </c>
      <c r="X5" s="77" t="str">
        <f t="shared" si="2"/>
        <v>Gross Profit</v>
      </c>
      <c r="Y5" s="90">
        <f>Y3-Y4</f>
        <v>0.28011590347710436</v>
      </c>
      <c r="Z5" s="90">
        <f t="shared" ref="Z5:AD5" si="6">Z3-Z4</f>
        <v>0.24163740528552946</v>
      </c>
      <c r="AA5" s="90">
        <f t="shared" si="6"/>
        <v>0.2485502968853085</v>
      </c>
      <c r="AB5" s="90">
        <f t="shared" si="6"/>
        <v>0.25187923598274797</v>
      </c>
      <c r="AC5" s="90">
        <f t="shared" si="6"/>
        <v>0.22809490251350717</v>
      </c>
      <c r="AD5" s="90">
        <f t="shared" si="6"/>
        <v>0.21503242027259495</v>
      </c>
      <c r="AF5" s="77" t="s">
        <v>478</v>
      </c>
      <c r="AG5" s="90">
        <f>AG3-AG4</f>
        <v>0.46019483760664148</v>
      </c>
      <c r="AH5" s="90">
        <f t="shared" ref="AH5:AL5" si="7">AH3-AH4</f>
        <v>0.40839812415154886</v>
      </c>
      <c r="AI5" s="90">
        <f t="shared" si="7"/>
        <v>0.44830392039163902</v>
      </c>
      <c r="AJ5" s="90">
        <f t="shared" si="7"/>
        <v>0.42735640049405366</v>
      </c>
      <c r="AK5" s="90">
        <f t="shared" si="7"/>
        <v>0.43767045303031649</v>
      </c>
      <c r="AL5" s="90">
        <f t="shared" si="7"/>
        <v>0.43452812757337345</v>
      </c>
      <c r="AN5" s="77" t="s">
        <v>478</v>
      </c>
      <c r="AO5" s="90">
        <f>AO3-AO4</f>
        <v>0.57839756917167873</v>
      </c>
      <c r="AP5" s="90">
        <f t="shared" ref="AP5:AS5" si="8">AP3-AP4</f>
        <v>0.54961722051672579</v>
      </c>
      <c r="AQ5" s="90">
        <f t="shared" si="8"/>
        <v>0.53242008286734577</v>
      </c>
      <c r="AR5" s="90">
        <f t="shared" si="8"/>
        <v>0.54629866939426686</v>
      </c>
      <c r="AS5" s="90">
        <f t="shared" si="8"/>
        <v>0.56522721573522972</v>
      </c>
    </row>
    <row r="6" spans="1:45" x14ac:dyDescent="0.3">
      <c r="A6" s="1" t="s">
        <v>169</v>
      </c>
      <c r="B6" s="86">
        <f>'Income Statement'!B10/'Income Statement'!B4</f>
        <v>1.8339217215784354E-2</v>
      </c>
      <c r="C6" s="86">
        <f>'Income Statement'!C10/'Income Statement'!C4</f>
        <v>2.2224606160113923E-2</v>
      </c>
      <c r="D6" s="86">
        <f>'Income Statement'!D10/'Income Statement'!D4</f>
        <v>1.9892969682921799E-2</v>
      </c>
      <c r="E6" s="86">
        <f>'Income Statement'!E10/'Income Statement'!E4</f>
        <v>1.7436453595695196E-2</v>
      </c>
      <c r="F6" s="86">
        <f>'Income Statement'!F10/'Income Statement'!F4</f>
        <v>1.784093077158895E-2</v>
      </c>
      <c r="G6" s="86">
        <f>'Income Statement'!G10/'Income Statement'!G4</f>
        <v>1.9641817748393017E-2</v>
      </c>
      <c r="I6" s="1" t="str">
        <f t="shared" si="0"/>
        <v>Employee benefit expense</v>
      </c>
      <c r="J6" s="86">
        <f>'Income Statement'!J11/'Income Statement'!J4</f>
        <v>4.574818389764472E-2</v>
      </c>
      <c r="K6" s="86">
        <f>'Income Statement'!K11/'Income Statement'!K4</f>
        <v>5.0140341923960191E-2</v>
      </c>
      <c r="L6" s="86">
        <f>'Income Statement'!L11/'Income Statement'!L4</f>
        <v>4.8526103039316627E-2</v>
      </c>
      <c r="M6" s="86">
        <f>'Income Statement'!M11/'Income Statement'!M4</f>
        <v>4.7111257840871577E-2</v>
      </c>
      <c r="N6" s="86">
        <f>'Income Statement'!N11/'Income Statement'!N4</f>
        <v>4.8613803799922452E-2</v>
      </c>
      <c r="P6" s="63" t="str">
        <f t="shared" si="1"/>
        <v>Employee benefit expense</v>
      </c>
      <c r="Q6" s="91">
        <f>'Income Statement'!Q12/'Income Statement'!Q4</f>
        <v>8.3586299971572256E-2</v>
      </c>
      <c r="R6" s="91">
        <f>'Income Statement'!R12/'Income Statement'!R4</f>
        <v>8.3968016627560996E-2</v>
      </c>
      <c r="S6" s="91">
        <f>'Income Statement'!S12/'Income Statement'!S4</f>
        <v>7.5002729853679853E-2</v>
      </c>
      <c r="T6" s="91">
        <f>'Income Statement'!T12/'Income Statement'!T4</f>
        <v>7.4965423263299025E-2</v>
      </c>
      <c r="U6" s="91">
        <f>'Income Statement'!U12/'Income Statement'!U4</f>
        <v>7.5090304789066878E-2</v>
      </c>
      <c r="V6" s="91">
        <f>'Income Statement'!V12/'Income Statement'!V4</f>
        <v>7.5598209005991457E-2</v>
      </c>
      <c r="X6" s="63" t="str">
        <f t="shared" si="2"/>
        <v>Employee benefit expense</v>
      </c>
      <c r="Y6" s="91">
        <f>'Income Statement'!Y11/'Income Statement'!Y4</f>
        <v>5.6954208626258787E-2</v>
      </c>
      <c r="Z6" s="91">
        <f>'Income Statement'!Z11/'Income Statement'!Z4</f>
        <v>4.9205322491221587E-2</v>
      </c>
      <c r="AA6" s="91">
        <f>'Income Statement'!AA11/'Income Statement'!AA4</f>
        <v>4.6841904232785864E-2</v>
      </c>
      <c r="AB6" s="91">
        <f>'Income Statement'!AB11/'Income Statement'!AB4</f>
        <v>4.0591497227356749E-2</v>
      </c>
      <c r="AC6" s="91">
        <f>'Income Statement'!AC11/'Income Statement'!AC4</f>
        <v>3.6488920209850444E-2</v>
      </c>
      <c r="AD6" s="91">
        <f>'Income Statement'!AD11/'Income Statement'!AD4</f>
        <v>3.566229985443959E-2</v>
      </c>
      <c r="AF6" s="63" t="s">
        <v>169</v>
      </c>
      <c r="AG6" s="91">
        <f>'Income Statement'!AG10/'Income Statement'!AG4</f>
        <v>0.10284625844095491</v>
      </c>
      <c r="AH6" s="91">
        <f>'Income Statement'!AH10/'Income Statement'!AH4</f>
        <v>0.11641521658644946</v>
      </c>
      <c r="AI6" s="91">
        <f>'Income Statement'!AI10/'Income Statement'!AI4</f>
        <v>8.8694581171270909E-2</v>
      </c>
      <c r="AJ6" s="91">
        <f>'Income Statement'!AJ10/'Income Statement'!AJ4</f>
        <v>7.9498715120807764E-2</v>
      </c>
      <c r="AK6" s="91">
        <f>'Income Statement'!AK10/'Income Statement'!AK4</f>
        <v>8.3768144283161927E-2</v>
      </c>
      <c r="AL6" s="91">
        <f>'Income Statement'!AL10/'Income Statement'!AL4</f>
        <v>7.6362986960310159E-2</v>
      </c>
      <c r="AN6" s="63" t="s">
        <v>169</v>
      </c>
      <c r="AO6" s="91">
        <f>'Income Statement'!AO12/'Income Statement'!AO4</f>
        <v>0.13571758704900552</v>
      </c>
      <c r="AP6" s="91">
        <f>'Income Statement'!AP12/'Income Statement'!AP4</f>
        <v>0.11248786180310508</v>
      </c>
      <c r="AQ6" s="91">
        <f>'Income Statement'!AQ12/'Income Statement'!AQ4</f>
        <v>9.0858200233328593E-2</v>
      </c>
      <c r="AR6" s="91">
        <f>'Income Statement'!AR12/'Income Statement'!AR4</f>
        <v>8.8633136211777375E-2</v>
      </c>
      <c r="AS6" s="91">
        <f>'Income Statement'!AS12/'Income Statement'!AS4</f>
        <v>9.2036317176308099E-2</v>
      </c>
    </row>
    <row r="7" spans="1:45" x14ac:dyDescent="0.3">
      <c r="A7" s="1" t="s">
        <v>479</v>
      </c>
      <c r="B7" s="86">
        <f>'Income Statement'!B13/'Income Statement'!B4</f>
        <v>4.7561338469332769E-2</v>
      </c>
      <c r="C7" s="86">
        <f>'Income Statement'!C13/'Income Statement'!C4</f>
        <v>5.4208538602811739E-2</v>
      </c>
      <c r="D7" s="86">
        <f>'Income Statement'!D13/'Income Statement'!D4</f>
        <v>4.7267472810638596E-2</v>
      </c>
      <c r="E7" s="86">
        <f>'Income Statement'!E13/'Income Statement'!E4</f>
        <v>4.8357406098475338E-2</v>
      </c>
      <c r="F7" s="86">
        <f>'Income Statement'!F13/'Income Statement'!F4</f>
        <v>4.9310054986499985E-2</v>
      </c>
      <c r="G7" s="86">
        <f>'Income Statement'!G13/'Income Statement'!G4</f>
        <v>5.3120343407507487E-2</v>
      </c>
      <c r="I7" s="1" t="str">
        <f t="shared" si="0"/>
        <v>Other expenses (Office, administrative &amp; operating)</v>
      </c>
      <c r="J7" s="86">
        <f>'Income Statement'!J14/'Income Statement'!J4</f>
        <v>0.24741723851896538</v>
      </c>
      <c r="K7" s="86">
        <f>'Income Statement'!K14/'Income Statement'!K4</f>
        <v>0.23169175810155651</v>
      </c>
      <c r="L7" s="86">
        <f>'Income Statement'!L14/'Income Statement'!L4</f>
        <v>0.21563131602028754</v>
      </c>
      <c r="M7" s="86">
        <f>'Income Statement'!M14/'Income Statement'!M4</f>
        <v>0.19580719709475075</v>
      </c>
      <c r="N7" s="86">
        <f>'Income Statement'!N14/'Income Statement'!N4</f>
        <v>0.23368230580328292</v>
      </c>
      <c r="P7" s="63" t="str">
        <f t="shared" si="1"/>
        <v>Other expenses (Office, administrative &amp; operating)</v>
      </c>
      <c r="Q7" s="91">
        <f>('Income Statement'!Q15+'Income Statement'!Q11)/'Income Statement'!Q4</f>
        <v>0.20415142234996</v>
      </c>
      <c r="R7" s="91">
        <f>('Income Statement'!R15+'Income Statement'!R11)/'Income Statement'!R4</f>
        <v>0.21743248815918392</v>
      </c>
      <c r="S7" s="91">
        <f>('Income Statement'!S15+'Income Statement'!S11)/'Income Statement'!S4</f>
        <v>0.20352638817660498</v>
      </c>
      <c r="T7" s="91">
        <f>('Income Statement'!T15+'Income Statement'!T11)/'Income Statement'!T4</f>
        <v>0.21055497769746573</v>
      </c>
      <c r="U7" s="91">
        <f>('Income Statement'!U15+'Income Statement'!U11)/'Income Statement'!U4</f>
        <v>0.21805383926119715</v>
      </c>
      <c r="V7" s="91">
        <f>('Income Statement'!V15+'Income Statement'!V11)/'Income Statement'!V4</f>
        <v>0.21425651717782435</v>
      </c>
      <c r="X7" s="63" t="str">
        <f t="shared" si="2"/>
        <v>Other expenses (Office, administrative &amp; operating)</v>
      </c>
      <c r="Y7" s="91">
        <f>'Income Statement'!Y14/'Income Statement'!Y4</f>
        <v>0.10597567927037811</v>
      </c>
      <c r="Z7" s="91">
        <f>'Income Statement'!Z14/'Income Statement'!Z4</f>
        <v>0.11277952319349473</v>
      </c>
      <c r="AA7" s="91">
        <f>'Income Statement'!AA14/'Income Statement'!AA4</f>
        <v>8.5697420049307263E-2</v>
      </c>
      <c r="AB7" s="91">
        <f>'Income Statement'!AB14/'Income Statement'!AB4</f>
        <v>9.1041281577325939E-2</v>
      </c>
      <c r="AC7" s="91">
        <f>'Income Statement'!AC14/'Income Statement'!AC4</f>
        <v>8.8011901965390341E-2</v>
      </c>
      <c r="AD7" s="91">
        <f>'Income Statement'!AD14/'Income Statement'!AD4</f>
        <v>8.5185920338758769E-2</v>
      </c>
      <c r="AF7" s="63" t="s">
        <v>479</v>
      </c>
      <c r="AG7" s="91">
        <f>'Income Statement'!AG13/'Income Statement'!AG4</f>
        <v>0.20271774364741046</v>
      </c>
      <c r="AH7" s="91">
        <f>'Income Statement'!AH13/'Income Statement'!AH4</f>
        <v>0.22568801678390721</v>
      </c>
      <c r="AI7" s="91">
        <f>'Income Statement'!AI13/'Income Statement'!AI4</f>
        <v>0.23202653612033738</v>
      </c>
      <c r="AJ7" s="91">
        <f>'Income Statement'!AJ13/'Income Statement'!AJ4</f>
        <v>0.21759228926889282</v>
      </c>
      <c r="AK7" s="91">
        <f>'Income Statement'!AK13/'Income Statement'!AK4</f>
        <v>0.19858005302579126</v>
      </c>
      <c r="AL7" s="91">
        <f>'Income Statement'!AL13/'Income Statement'!AL4</f>
        <v>0.19717810910198716</v>
      </c>
      <c r="AN7" s="63" t="s">
        <v>479</v>
      </c>
      <c r="AO7" s="91">
        <f>('Income Statement'!AO15+'Income Statement'!AO9)/'Income Statement'!AO4</f>
        <v>0.25935089440021719</v>
      </c>
      <c r="AP7" s="91">
        <f>('Income Statement'!AP15+'Income Statement'!AP9)/'Income Statement'!AP4</f>
        <v>0.25242392773353761</v>
      </c>
      <c r="AQ7" s="91">
        <f>('Income Statement'!AQ15+'Income Statement'!AQ9)/'Income Statement'!AQ4</f>
        <v>0.23334763196574781</v>
      </c>
      <c r="AR7" s="91">
        <f>('Income Statement'!AR15+'Income Statement'!AR9)/'Income Statement'!AR4</f>
        <v>0.23651051405168891</v>
      </c>
      <c r="AS7" s="91">
        <f>('Income Statement'!AS15+'Income Statement'!AS9)/'Income Statement'!AS4</f>
        <v>0.2431730501069071</v>
      </c>
    </row>
    <row r="8" spans="1:45" x14ac:dyDescent="0.3">
      <c r="A8" s="23" t="s">
        <v>481</v>
      </c>
      <c r="B8" s="87">
        <f>('Income Statement'!B15+'Income Statement'!B10+'Income Statement'!B13)/'Income Statement'!B4</f>
        <v>0.1360556006787241</v>
      </c>
      <c r="C8" s="87">
        <f>('Income Statement'!C15+'Income Statement'!C10+'Income Statement'!C13)/'Income Statement'!C4</f>
        <v>0.13787730304277918</v>
      </c>
      <c r="D8" s="87">
        <f>('Income Statement'!D15+'Income Statement'!D10+'Income Statement'!D13)/'Income Statement'!D4</f>
        <v>0.13379596704186794</v>
      </c>
      <c r="E8" s="87">
        <f>('Income Statement'!E15+'Income Statement'!E10+'Income Statement'!E13)/'Income Statement'!E4</f>
        <v>0.13722526561897436</v>
      </c>
      <c r="F8" s="87">
        <f>('Income Statement'!F15+'Income Statement'!F10+'Income Statement'!F13)/'Income Statement'!F4</f>
        <v>0.13530238834011327</v>
      </c>
      <c r="G8" s="87">
        <f>('Income Statement'!G15+'Income Statement'!G10+'Income Statement'!G13)/'Income Statement'!G4</f>
        <v>0.13463531905108064</v>
      </c>
      <c r="I8" s="23" t="str">
        <f t="shared" si="0"/>
        <v>EBITDA (Operating Profit)</v>
      </c>
      <c r="J8" s="87">
        <f>J5-J6-J7</f>
        <v>0.2478696930849861</v>
      </c>
      <c r="K8" s="87">
        <f t="shared" ref="K8:N8" si="9">K5-K6-K7</f>
        <v>0.2472144254486689</v>
      </c>
      <c r="L8" s="87">
        <f t="shared" si="9"/>
        <v>0.24514738969606834</v>
      </c>
      <c r="M8" s="87">
        <f t="shared" si="9"/>
        <v>0.23354242324199409</v>
      </c>
      <c r="N8" s="87">
        <f t="shared" si="9"/>
        <v>0.23689737624402218</v>
      </c>
      <c r="P8" s="77" t="str">
        <f t="shared" si="1"/>
        <v>EBITDA (Operating Profit)</v>
      </c>
      <c r="Q8" s="90">
        <f>Q5-Q6-Q7</f>
        <v>0.37475889446655386</v>
      </c>
      <c r="R8" s="90">
        <f t="shared" ref="R8:V8" si="10">R5-R6-R7</f>
        <v>0.31986946883009582</v>
      </c>
      <c r="S8" s="90">
        <f t="shared" si="10"/>
        <v>0.31682267729326108</v>
      </c>
      <c r="T8" s="90">
        <f t="shared" si="10"/>
        <v>0.33540944044561422</v>
      </c>
      <c r="U8" s="90">
        <f t="shared" si="10"/>
        <v>0.34171472929946001</v>
      </c>
      <c r="V8" s="90">
        <f t="shared" si="10"/>
        <v>0.3183105636151593</v>
      </c>
      <c r="X8" s="77" t="str">
        <f t="shared" si="2"/>
        <v>EBITDA (Operating Profit)</v>
      </c>
      <c r="Y8" s="90">
        <f>Y5-Y6-Y7</f>
        <v>0.11718601558046747</v>
      </c>
      <c r="Z8" s="90">
        <f t="shared" ref="Z8:AD8" si="11">Z5-Z6-Z7</f>
        <v>7.9652559600813147E-2</v>
      </c>
      <c r="AA8" s="90">
        <f t="shared" si="11"/>
        <v>0.11601097260321537</v>
      </c>
      <c r="AB8" s="90">
        <f t="shared" si="11"/>
        <v>0.12024645717806529</v>
      </c>
      <c r="AC8" s="90">
        <f t="shared" si="11"/>
        <v>0.10359408033826638</v>
      </c>
      <c r="AD8" s="90">
        <f t="shared" si="11"/>
        <v>9.4184200079396596E-2</v>
      </c>
      <c r="AF8" s="77" t="s">
        <v>481</v>
      </c>
      <c r="AG8" s="90">
        <f>AG5-AG6-AG7</f>
        <v>0.15463083551827611</v>
      </c>
      <c r="AH8" s="90">
        <f t="shared" ref="AH8:AL8" si="12">AH5-AH6-AH7</f>
        <v>6.6294890781192162E-2</v>
      </c>
      <c r="AI8" s="90">
        <f t="shared" si="12"/>
        <v>0.1275828031000307</v>
      </c>
      <c r="AJ8" s="90">
        <f t="shared" si="12"/>
        <v>0.13026539610435309</v>
      </c>
      <c r="AK8" s="90">
        <f t="shared" si="12"/>
        <v>0.15532225572136329</v>
      </c>
      <c r="AL8" s="90">
        <f t="shared" si="12"/>
        <v>0.1609870315110761</v>
      </c>
      <c r="AN8" s="77" t="s">
        <v>481</v>
      </c>
      <c r="AO8" s="90">
        <f>AO5-AO6-AO7</f>
        <v>0.18332908772245604</v>
      </c>
      <c r="AP8" s="90">
        <f t="shared" ref="AP8:AS8" si="13">AP5-AP6-AP7</f>
        <v>0.18470543098008307</v>
      </c>
      <c r="AQ8" s="90">
        <f t="shared" si="13"/>
        <v>0.20821425066826937</v>
      </c>
      <c r="AR8" s="90">
        <f t="shared" si="13"/>
        <v>0.22115501913080057</v>
      </c>
      <c r="AS8" s="90">
        <f t="shared" si="13"/>
        <v>0.23001784845201451</v>
      </c>
    </row>
    <row r="9" spans="1:45" x14ac:dyDescent="0.3">
      <c r="A9" s="1" t="s">
        <v>480</v>
      </c>
      <c r="B9" s="86">
        <f>'Income Statement'!B12/'Income Statement'!B4</f>
        <v>1.5054563292615258E-2</v>
      </c>
      <c r="C9" s="86">
        <f>'Income Statement'!C12/'Income Statement'!C4</f>
        <v>1.7154412075354161E-2</v>
      </c>
      <c r="D9" s="86">
        <f>'Income Statement'!D12/'Income Statement'!D4</f>
        <v>1.6079405299605148E-2</v>
      </c>
      <c r="E9" s="86">
        <f>'Income Statement'!E12/'Income Statement'!E4</f>
        <v>1.4913085008342757E-2</v>
      </c>
      <c r="F9" s="86">
        <f>'Income Statement'!F12/'Income Statement'!F4</f>
        <v>1.4388203075361254E-2</v>
      </c>
      <c r="G9" s="86">
        <f>'Income Statement'!G12/'Income Statement'!G4</f>
        <v>1.4648729195113383E-2</v>
      </c>
      <c r="I9" s="1" t="str">
        <f t="shared" si="0"/>
        <v>Depreciation &amp; Amortisation expenses</v>
      </c>
      <c r="J9" s="86">
        <f>'Income Statement'!J13/'Income Statement'!J4</f>
        <v>2.5186637508483524E-2</v>
      </c>
      <c r="K9" s="86">
        <f>'Income Statement'!K13/'Income Statement'!K4</f>
        <v>2.2837458535340648E-2</v>
      </c>
      <c r="L9" s="86">
        <f>'Income Statement'!L13/'Income Statement'!L4</f>
        <v>2.0802349082866187E-2</v>
      </c>
      <c r="M9" s="86">
        <f>'Income Statement'!M13/'Income Statement'!M4</f>
        <v>1.8768570485308684E-2</v>
      </c>
      <c r="N9" s="86">
        <f>'Income Statement'!N13/'Income Statement'!N4</f>
        <v>1.9645857567532635E-2</v>
      </c>
      <c r="P9" s="63" t="str">
        <f t="shared" si="1"/>
        <v>Depreciation &amp; Amortisation expenses</v>
      </c>
      <c r="Q9" s="91">
        <f>'Income Statement'!Q14/'Income Statement'!Q4</f>
        <v>3.2006206235928418E-2</v>
      </c>
      <c r="R9" s="91">
        <f>'Income Statement'!R14/'Income Statement'!R4</f>
        <v>3.0958259524200112E-2</v>
      </c>
      <c r="S9" s="91">
        <f>'Income Statement'!S14/'Income Statement'!S4</f>
        <v>2.6568684345485375E-2</v>
      </c>
      <c r="T9" s="91">
        <f>'Income Statement'!T14/'Income Statement'!T4</f>
        <v>2.3641561923625761E-2</v>
      </c>
      <c r="U9" s="91">
        <f>'Income Statement'!U14/'Income Statement'!U4</f>
        <v>2.0544331054359079E-2</v>
      </c>
      <c r="V9" s="91">
        <f>'Income Statement'!V14/'Income Statement'!V4</f>
        <v>2.0172330853084529E-2</v>
      </c>
      <c r="X9" s="63" t="str">
        <f t="shared" si="2"/>
        <v>Depreciation &amp; Amortisation expenses</v>
      </c>
      <c r="Y9" s="91">
        <f>'Income Statement'!Y13/'Income Statement'!Y4</f>
        <v>1.6530495914877447E-2</v>
      </c>
      <c r="Z9" s="91">
        <f>'Income Statement'!Z13/'Income Statement'!Z4</f>
        <v>1.7325817778599151E-2</v>
      </c>
      <c r="AA9" s="91">
        <f>'Income Statement'!AA13/'Income Statement'!AA4</f>
        <v>1.3854647730823988E-2</v>
      </c>
      <c r="AB9" s="91">
        <f>'Income Statement'!AB13/'Income Statement'!AB4</f>
        <v>1.0868761552680222E-2</v>
      </c>
      <c r="AC9" s="91">
        <f>'Income Statement'!AC13/'Income Statement'!AC4</f>
        <v>1.1432150967034689E-2</v>
      </c>
      <c r="AD9" s="91">
        <f>'Income Statement'!AD13/'Income Statement'!AD4</f>
        <v>1.146288209606987E-2</v>
      </c>
      <c r="AF9" s="63" t="s">
        <v>480</v>
      </c>
      <c r="AG9" s="91">
        <f>'Income Statement'!AG12/'Income Statement'!AG4</f>
        <v>7.092410168733039E-2</v>
      </c>
      <c r="AH9" s="91">
        <f>'Income Statement'!AH12/'Income Statement'!AH4</f>
        <v>9.9230223374058998E-2</v>
      </c>
      <c r="AI9" s="91">
        <f>'Income Statement'!AI12/'Income Statement'!AI4</f>
        <v>6.9101515778053443E-2</v>
      </c>
      <c r="AJ9" s="91">
        <f>'Income Statement'!AJ12/'Income Statement'!AJ4</f>
        <v>5.9899150936299592E-2</v>
      </c>
      <c r="AK9" s="91">
        <f>'Income Statement'!AK12/'Income Statement'!AK4</f>
        <v>5.4230629061075009E-2</v>
      </c>
      <c r="AL9" s="91">
        <f>'Income Statement'!AL12/'Income Statement'!AL4</f>
        <v>5.2243967035141149E-2</v>
      </c>
      <c r="AN9" s="63" t="s">
        <v>480</v>
      </c>
      <c r="AO9" s="91">
        <f>'Income Statement'!AO14/'Income Statement'!AO4</f>
        <v>8.0646573486948175E-2</v>
      </c>
      <c r="AP9" s="91">
        <f>'Income Statement'!AP14/'Income Statement'!AP4</f>
        <v>5.9303945361899944E-2</v>
      </c>
      <c r="AQ9" s="91">
        <f>'Income Statement'!AQ14/'Income Statement'!AQ4</f>
        <v>4.6091357806000315E-2</v>
      </c>
      <c r="AR9" s="91">
        <f>'Income Statement'!AR14/'Income Statement'!AR4</f>
        <v>4.1719463983442742E-2</v>
      </c>
      <c r="AS9" s="91">
        <f>'Income Statement'!AS14/'Income Statement'!AS4</f>
        <v>4.6256082613393035E-2</v>
      </c>
    </row>
    <row r="10" spans="1:45" x14ac:dyDescent="0.3">
      <c r="A10" s="23" t="s">
        <v>482</v>
      </c>
      <c r="B10" s="87">
        <f>B8-B9</f>
        <v>0.12100103738610885</v>
      </c>
      <c r="C10" s="87">
        <f t="shared" ref="C10:G10" si="14">C8-C9</f>
        <v>0.12072289096742501</v>
      </c>
      <c r="D10" s="87">
        <f t="shared" si="14"/>
        <v>0.11771656174226279</v>
      </c>
      <c r="E10" s="87">
        <f t="shared" si="14"/>
        <v>0.12231218061063159</v>
      </c>
      <c r="F10" s="87">
        <f t="shared" si="14"/>
        <v>0.12091418526475201</v>
      </c>
      <c r="G10" s="87">
        <f t="shared" si="14"/>
        <v>0.11998658985596726</v>
      </c>
      <c r="I10" s="23" t="str">
        <f t="shared" si="0"/>
        <v xml:space="preserve">EBIT </v>
      </c>
      <c r="J10" s="87">
        <f>J8-J9</f>
        <v>0.22268305557650259</v>
      </c>
      <c r="K10" s="87">
        <f t="shared" ref="K10:N10" si="15">K8-K9</f>
        <v>0.22437696691332826</v>
      </c>
      <c r="L10" s="87">
        <f t="shared" si="15"/>
        <v>0.22434504061320215</v>
      </c>
      <c r="M10" s="87">
        <f t="shared" si="15"/>
        <v>0.2147738527566854</v>
      </c>
      <c r="N10" s="87">
        <f t="shared" si="15"/>
        <v>0.21725151867648956</v>
      </c>
      <c r="P10" s="77" t="str">
        <f t="shared" si="1"/>
        <v xml:space="preserve">EBIT </v>
      </c>
      <c r="Q10" s="90">
        <f>('Income Statement'!Q18+'Income Statement'!Q13)/'Income Statement'!Q4</f>
        <v>0.39346165962329455</v>
      </c>
      <c r="R10" s="90">
        <f>('Income Statement'!R18+'Income Statement'!R13)/'Income Statement'!R4</f>
        <v>0.33830701539193214</v>
      </c>
      <c r="S10" s="90">
        <f>('Income Statement'!S18+'Income Statement'!S13)/'Income Statement'!S4</f>
        <v>0.31868480557307294</v>
      </c>
      <c r="T10" s="90">
        <f>('Income Statement'!T18+'Income Statement'!T13)/'Income Statement'!T4</f>
        <v>0.33829136881273114</v>
      </c>
      <c r="U10" s="90">
        <f>('Income Statement'!U18+'Income Statement'!U13)/'Income Statement'!U4</f>
        <v>0.3578140252529961</v>
      </c>
      <c r="V10" s="90">
        <f>('Income Statement'!V18+'Income Statement'!V13)/'Income Statement'!V4</f>
        <v>0.33048745551860875</v>
      </c>
      <c r="X10" s="77" t="str">
        <f t="shared" si="2"/>
        <v xml:space="preserve">EBIT </v>
      </c>
      <c r="Y10" s="90">
        <f>Y8-Y9</f>
        <v>0.10065551966559003</v>
      </c>
      <c r="Z10" s="90">
        <f t="shared" ref="Z10:AD10" si="16">Z8-Z9</f>
        <v>6.2326741822213996E-2</v>
      </c>
      <c r="AA10" s="90">
        <f t="shared" si="16"/>
        <v>0.10215632487239139</v>
      </c>
      <c r="AB10" s="90">
        <f t="shared" si="16"/>
        <v>0.10937769562538506</v>
      </c>
      <c r="AC10" s="90">
        <f t="shared" si="16"/>
        <v>9.2161929371231688E-2</v>
      </c>
      <c r="AD10" s="90">
        <f t="shared" si="16"/>
        <v>8.2721317983326728E-2</v>
      </c>
      <c r="AF10" s="77" t="s">
        <v>482</v>
      </c>
      <c r="AG10" s="90">
        <f>AG8-AG9</f>
        <v>8.370673383094572E-2</v>
      </c>
      <c r="AH10" s="90">
        <f t="shared" ref="AH10:AL10" si="17">AH8-AH9</f>
        <v>-3.2935332592866837E-2</v>
      </c>
      <c r="AI10" s="90">
        <f t="shared" si="17"/>
        <v>5.8481287321977257E-2</v>
      </c>
      <c r="AJ10" s="90">
        <f t="shared" si="17"/>
        <v>7.0366245168053496E-2</v>
      </c>
      <c r="AK10" s="90">
        <f t="shared" si="17"/>
        <v>0.10109162666028829</v>
      </c>
      <c r="AL10" s="90">
        <f t="shared" si="17"/>
        <v>0.10874306447593496</v>
      </c>
      <c r="AN10" s="77" t="s">
        <v>482</v>
      </c>
      <c r="AO10" s="90">
        <f>AO8-AO9</f>
        <v>0.10268251423550787</v>
      </c>
      <c r="AP10" s="90">
        <f t="shared" ref="AP10:AS10" si="18">AP8-AP9</f>
        <v>0.12540148561818312</v>
      </c>
      <c r="AQ10" s="90">
        <f t="shared" si="18"/>
        <v>0.16212289286226905</v>
      </c>
      <c r="AR10" s="90">
        <f t="shared" si="18"/>
        <v>0.17943555514735782</v>
      </c>
      <c r="AS10" s="90">
        <f t="shared" si="18"/>
        <v>0.18376176583862147</v>
      </c>
    </row>
    <row r="11" spans="1:45" x14ac:dyDescent="0.3">
      <c r="A11" s="1" t="s">
        <v>178</v>
      </c>
      <c r="B11" s="86">
        <f>Dmart_IS[[#This Row],[2020]]/'Income Statement'!B6</f>
        <v>2.7725420464103962E-3</v>
      </c>
      <c r="C11" s="86">
        <f>Dmart_IS[[#This Row],[2021]]/'Income Statement'!C6</f>
        <v>1.7112263432715936E-3</v>
      </c>
      <c r="D11" s="86">
        <f>Dmart_IS[[#This Row],[2022]]/'Income Statement'!D6</f>
        <v>1.7299290918821009E-3</v>
      </c>
      <c r="E11" s="86">
        <f>Dmart_IS[[#This Row],[2023]]/'Income Statement'!E6</f>
        <v>1.568809068884705E-3</v>
      </c>
      <c r="F11" s="86">
        <f>Dmart_IS[[#This Row],[2024]]/'Income Statement'!F6</f>
        <v>1.1412521929790118E-3</v>
      </c>
      <c r="G11" s="86">
        <f>Dmart_IS[[#This Row],[2025]]/'Income Statement'!G6</f>
        <v>1.1675730418228194E-3</v>
      </c>
      <c r="I11" s="1" t="str">
        <f t="shared" si="0"/>
        <v>Finance cost</v>
      </c>
      <c r="J11" s="86">
        <f>'Income Statement'!J12/'Income Statement'!J6</f>
        <v>2.9197080291970801E-3</v>
      </c>
      <c r="K11" s="86">
        <f>'Income Statement'!K12/'Income Statement'!K6</f>
        <v>2.4663771659850751E-3</v>
      </c>
      <c r="L11" s="86">
        <f>'Income Statement'!L12/'Income Statement'!L6</f>
        <v>2.0112325440194293E-3</v>
      </c>
      <c r="M11" s="86">
        <f>'Income Statement'!M12/'Income Statement'!M6</f>
        <v>1.8660381064623847E-3</v>
      </c>
      <c r="N11" s="86">
        <f>'Income Statement'!N12/'Income Statement'!N6</f>
        <v>5.3263590986652211E-3</v>
      </c>
      <c r="P11" s="63" t="str">
        <f t="shared" si="1"/>
        <v>Finance cost</v>
      </c>
      <c r="Q11" s="91">
        <f>'Income Statement'!Q13/'Income Statement'!Q4</f>
        <v>1.0639483965569944E-3</v>
      </c>
      <c r="R11" s="91">
        <f>'Income Statement'!R13/'Income Statement'!R4</f>
        <v>8.3867744066799203E-4</v>
      </c>
      <c r="S11" s="91">
        <f>'Income Statement'!S13/'Income Statement'!S4</f>
        <v>6.0363506089107337E-4</v>
      </c>
      <c r="T11" s="91">
        <f>'Income Statement'!T13/'Income Statement'!T4</f>
        <v>5.6457149219773964E-4</v>
      </c>
      <c r="U11" s="91">
        <f>'Income Statement'!U13/'Income Statement'!U4</f>
        <v>5.2929006787390644E-4</v>
      </c>
      <c r="V11" s="91">
        <f>'Income Statement'!V13/'Income Statement'!V4</f>
        <v>5.5211941070994034E-4</v>
      </c>
      <c r="X11" s="63" t="str">
        <f t="shared" si="2"/>
        <v>Finance cost</v>
      </c>
      <c r="Y11" s="91">
        <f>'Income Statement'!Y12/'Income Statement'!Y4</f>
        <v>7.8852365570967128E-3</v>
      </c>
      <c r="Z11" s="91">
        <f>'Income Statement'!Z12/'Income Statement'!Z4</f>
        <v>9.3790426908150065E-3</v>
      </c>
      <c r="AA11" s="91">
        <f>'Income Statement'!AA12/'Income Statement'!AA4</f>
        <v>7.5697072815028299E-3</v>
      </c>
      <c r="AB11" s="91">
        <f>'Income Statement'!AB12/'Income Statement'!AB4</f>
        <v>7.3937153419593345E-3</v>
      </c>
      <c r="AC11" s="91">
        <f>'Income Statement'!AC12/'Income Statement'!AC4</f>
        <v>1.2117297001017931E-2</v>
      </c>
      <c r="AD11" s="91">
        <f>'Income Statement'!AD12/'Income Statement'!AD4</f>
        <v>1.5763530501521766E-2</v>
      </c>
      <c r="AF11" s="63" t="s">
        <v>178</v>
      </c>
      <c r="AG11" s="91">
        <f>Trent_IS[[#This Row],[2020]]/'Income Statement'!AG4</f>
        <v>7.0511018422366165E-2</v>
      </c>
      <c r="AH11" s="91">
        <f>Trent_IS[[#This Row],[2021]]/'Income Statement'!AH4</f>
        <v>9.5894267555226453E-2</v>
      </c>
      <c r="AI11" s="91">
        <f>Trent_IS[[#This Row],[2022]]/'Income Statement'!AI4</f>
        <v>6.7749809916363202E-2</v>
      </c>
      <c r="AJ11" s="91">
        <f>Trent_IS[[#This Row],[2023]]/'Income Statement'!AJ4</f>
        <v>4.4797270572019966E-2</v>
      </c>
      <c r="AK11" s="91">
        <f>Trent_IS[[#This Row],[2024]]/'Income Statement'!AK4</f>
        <v>2.5785629380264095E-2</v>
      </c>
      <c r="AL11" s="91">
        <f>Trent_IS[[#This Row],[2025]]/'Income Statement'!AL4</f>
        <v>8.0883078167521757E-3</v>
      </c>
      <c r="AN11" s="63" t="s">
        <v>178</v>
      </c>
      <c r="AO11" s="91">
        <f>'Income Statement'!AO13/'Income Statement'!AO4</f>
        <v>4.2878737726498251E-2</v>
      </c>
      <c r="AP11" s="91">
        <f>'Income Statement'!AP13/'Income Statement'!AP4</f>
        <v>2.0617771849563718E-2</v>
      </c>
      <c r="AQ11" s="91">
        <f>'Income Statement'!AQ13/'Income Statement'!AQ4</f>
        <v>1.3899495450450982E-2</v>
      </c>
      <c r="AR11" s="91">
        <f>'Income Statement'!AR13/'Income Statement'!AR4</f>
        <v>1.6426564862840123E-2</v>
      </c>
      <c r="AS11" s="91">
        <f>'Income Statement'!AS13/'Income Statement'!AS4</f>
        <v>2.1990077987130523E-2</v>
      </c>
    </row>
    <row r="12" spans="1:45" x14ac:dyDescent="0.3">
      <c r="A12" s="1" t="s">
        <v>125</v>
      </c>
      <c r="B12" s="86">
        <f>'Income Statement'!B5/'Income Statement'!B4</f>
        <v>2.4121237464917854E-3</v>
      </c>
      <c r="C12" s="86">
        <f>'Income Statement'!C5/'Income Statement'!C4</f>
        <v>8.1269731343085756E-3</v>
      </c>
      <c r="D12" s="86">
        <f>'Income Statement'!D5/'Income Statement'!D4</f>
        <v>3.7929034063817237E-3</v>
      </c>
      <c r="E12" s="86">
        <f>'Income Statement'!E5/'Income Statement'!E4</f>
        <v>3.0191719989654427E-3</v>
      </c>
      <c r="F12" s="86">
        <f>'Income Statement'!F5/'Income Statement'!F4</f>
        <v>2.8835080469465429E-3</v>
      </c>
      <c r="G12" s="86">
        <f>'Income Statement'!G5/'Income Statement'!G4</f>
        <v>2.0942399556589208E-3</v>
      </c>
      <c r="I12" s="1" t="str">
        <f t="shared" si="0"/>
        <v>Other income</v>
      </c>
      <c r="J12" s="86">
        <f>'Income Statement'!J5/'Income Statement'!J4</f>
        <v>1.5886182540281023E-2</v>
      </c>
      <c r="K12" s="86">
        <f>'Income Statement'!K5/'Income Statement'!K4</f>
        <v>8.7182104278302284E-3</v>
      </c>
      <c r="L12" s="86">
        <f>'Income Statement'!L5/'Income Statement'!L4</f>
        <v>4.9193456126301336E-3</v>
      </c>
      <c r="M12" s="86">
        <f>'Income Statement'!M5/'Income Statement'!M4</f>
        <v>8.4516342027071648E-3</v>
      </c>
      <c r="N12" s="86">
        <f>'Income Statement'!N5/'Income Statement'!N4</f>
        <v>1.3102623755977769E-2</v>
      </c>
      <c r="P12" s="63" t="str">
        <f t="shared" si="1"/>
        <v>Other income</v>
      </c>
      <c r="Q12" s="91">
        <f>'Income Statement'!Q5/'Income Statement'!Q4</f>
        <v>5.0549028894137718E-2</v>
      </c>
      <c r="R12" s="91">
        <f>'Income Statement'!R5/'Income Statement'!R4</f>
        <v>4.952599109925817E-2</v>
      </c>
      <c r="S12" s="91">
        <f>'Income Statement'!S5/'Income Statement'!S4</f>
        <v>2.8162734859434005E-2</v>
      </c>
      <c r="T12" s="91">
        <f>'Income Statement'!T5/'Income Statement'!T4</f>
        <v>2.5882597096821787E-2</v>
      </c>
      <c r="U12" s="91">
        <f>'Income Statement'!U5/'Income Statement'!U4</f>
        <v>3.6448340490906728E-2</v>
      </c>
      <c r="V12" s="91">
        <f>'Income Statement'!V5/'Income Statement'!V4</f>
        <v>3.099624838168728E-2</v>
      </c>
      <c r="X12" s="63" t="str">
        <f t="shared" si="2"/>
        <v>Other income</v>
      </c>
      <c r="Y12" s="91">
        <f>'Income Statement'!Y5/'Income Statement'!Y4</f>
        <v>7.2677180315409463E-3</v>
      </c>
      <c r="Z12" s="91">
        <f>'Income Statement'!Z5/'Income Statement'!Z4</f>
        <v>8.5936056181851791E-3</v>
      </c>
      <c r="AA12" s="91">
        <f>'Income Statement'!AA5/'Income Statement'!AA4</f>
        <v>8.1252821278516608E-3</v>
      </c>
      <c r="AB12" s="91">
        <f>'Income Statement'!AB5/'Income Statement'!AB4</f>
        <v>7.5908810844115835E-3</v>
      </c>
      <c r="AC12" s="91">
        <f>'Income Statement'!AC5/'Income Statement'!AC4</f>
        <v>1.0433795317516249E-2</v>
      </c>
      <c r="AD12" s="91">
        <f>'Income Statement'!AD5/'Income Statement'!AD4</f>
        <v>8.0389043271139344E-3</v>
      </c>
      <c r="AF12" s="63" t="s">
        <v>125</v>
      </c>
      <c r="AG12" s="91">
        <f>'Income Statement'!AG5/'Income Statement'!AG4</f>
        <v>4.286312600760761E-2</v>
      </c>
      <c r="AH12" s="91">
        <f>'Income Statement'!AH5/'Income Statement'!AH4</f>
        <v>7.774898185857089E-2</v>
      </c>
      <c r="AI12" s="91">
        <f>'Income Statement'!AI5/'Income Statement'!AI4</f>
        <v>3.8952694741241703E-2</v>
      </c>
      <c r="AJ12" s="91">
        <f>'Income Statement'!AJ5/'Income Statement'!AJ4</f>
        <v>3.1657287897869694E-2</v>
      </c>
      <c r="AK12" s="91">
        <f>'Income Statement'!AK5/'Income Statement'!AK4</f>
        <v>2.3375145756280143E-2</v>
      </c>
      <c r="AL12" s="91">
        <f>'Income Statement'!AL5/'Income Statement'!AL4</f>
        <v>1.2755469777252006E-2</v>
      </c>
      <c r="AN12" s="63" t="s">
        <v>125</v>
      </c>
      <c r="AO12" s="91">
        <f>'Income Statement'!AO5/'Income Statement'!AO4</f>
        <v>5.6392898491257346E-3</v>
      </c>
      <c r="AP12" s="91">
        <f>'Income Statement'!AP5/'Income Statement'!AP4</f>
        <v>7.5823614124613725E-3</v>
      </c>
      <c r="AQ12" s="91">
        <f>'Income Statement'!AQ5/'Income Statement'!AQ4</f>
        <v>2.9012233844175868E-3</v>
      </c>
      <c r="AR12" s="91">
        <f>'Income Statement'!AR5/'Income Statement'!AR4</f>
        <v>4.8623671142008331E-3</v>
      </c>
      <c r="AS12" s="91">
        <f>'Income Statement'!AS5/'Income Statement'!AS4</f>
        <v>5.9209051288080534E-3</v>
      </c>
    </row>
    <row r="13" spans="1:45" x14ac:dyDescent="0.3">
      <c r="A13" s="23" t="s">
        <v>483</v>
      </c>
      <c r="B13" s="87">
        <f>'Income Statement'!B15/'Income Statement'!B4</f>
        <v>7.0155044993606974E-2</v>
      </c>
      <c r="C13" s="87">
        <f>'Income Statement'!C15/'Income Statement'!C4</f>
        <v>6.1444158279853535E-2</v>
      </c>
      <c r="D13" s="87">
        <f>'Income Statement'!D15/'Income Statement'!D4</f>
        <v>6.663552454830754E-2</v>
      </c>
      <c r="E13" s="87">
        <f>'Income Statement'!E15/'Income Statement'!E4</f>
        <v>7.1431405924803834E-2</v>
      </c>
      <c r="F13" s="87">
        <f>'Income Statement'!F15/'Income Statement'!F4</f>
        <v>6.8151402582024317E-2</v>
      </c>
      <c r="G13" s="87">
        <f>'Income Statement'!G15/'Income Statement'!G4</f>
        <v>6.187315789518015E-2</v>
      </c>
      <c r="I13" s="23" t="str">
        <f t="shared" si="0"/>
        <v>Profit before tax (PBT)</v>
      </c>
      <c r="J13" s="87">
        <f>J10+J12-J11</f>
        <v>0.23564953008758652</v>
      </c>
      <c r="K13" s="87">
        <f t="shared" ref="K13:N13" si="19">K10+K12-K11</f>
        <v>0.2306288001751734</v>
      </c>
      <c r="L13" s="87">
        <f t="shared" si="19"/>
        <v>0.22725315368181284</v>
      </c>
      <c r="M13" s="87">
        <f t="shared" si="19"/>
        <v>0.22135944885293019</v>
      </c>
      <c r="N13" s="87">
        <f t="shared" si="19"/>
        <v>0.22502778333380211</v>
      </c>
      <c r="P13" s="77" t="str">
        <f t="shared" si="1"/>
        <v>Profit before tax (PBT)</v>
      </c>
      <c r="Q13" s="90">
        <f>'Income Statement'!Q20/'Income Statement'!Q4</f>
        <v>0.38982715119255423</v>
      </c>
      <c r="R13" s="90">
        <f>'Income Statement'!R20/'Income Statement'!R4</f>
        <v>0.33746833795126407</v>
      </c>
      <c r="S13" s="90">
        <f>'Income Statement'!S20/'Income Statement'!S4</f>
        <v>0.31808117051218188</v>
      </c>
      <c r="T13" s="90">
        <f>'Income Statement'!T20/'Income Statement'!T4</f>
        <v>0.33867911965008085</v>
      </c>
      <c r="U13" s="90">
        <f>'Income Statement'!U20/'Income Statement'!U4</f>
        <v>0.35728473518512222</v>
      </c>
      <c r="V13" s="90">
        <f>'Income Statement'!V20/'Income Statement'!V4</f>
        <v>0.32993533610789882</v>
      </c>
      <c r="X13" s="77" t="str">
        <f t="shared" si="2"/>
        <v>Profit before tax (PBT)</v>
      </c>
      <c r="Y13" s="90">
        <f>Y10+Y12-Y11</f>
        <v>0.10003800114003425</v>
      </c>
      <c r="Z13" s="90">
        <f t="shared" ref="Z13:AD13" si="20">Z10+Z12-Z11</f>
        <v>6.1541304749584164E-2</v>
      </c>
      <c r="AA13" s="90">
        <f t="shared" si="20"/>
        <v>0.10271189971874022</v>
      </c>
      <c r="AB13" s="90">
        <f t="shared" si="20"/>
        <v>0.10957486136783731</v>
      </c>
      <c r="AC13" s="90">
        <f t="shared" si="20"/>
        <v>9.0478427687729998E-2</v>
      </c>
      <c r="AD13" s="90">
        <f t="shared" si="20"/>
        <v>7.4996691808918894E-2</v>
      </c>
      <c r="AF13" s="77" t="s">
        <v>483</v>
      </c>
      <c r="AG13" s="90">
        <f>AG10+AG12-AG11</f>
        <v>5.605884141618718E-2</v>
      </c>
      <c r="AH13" s="90">
        <f t="shared" ref="AH13:AL13" si="21">AH10+AH12-AH11</f>
        <v>-5.10806182895224E-2</v>
      </c>
      <c r="AI13" s="90">
        <f t="shared" si="21"/>
        <v>2.9684172146855758E-2</v>
      </c>
      <c r="AJ13" s="90">
        <f t="shared" si="21"/>
        <v>5.7226262493903217E-2</v>
      </c>
      <c r="AK13" s="90">
        <f t="shared" si="21"/>
        <v>9.868114303630432E-2</v>
      </c>
      <c r="AL13" s="90">
        <f t="shared" si="21"/>
        <v>0.11341022643643478</v>
      </c>
      <c r="AN13" s="77" t="s">
        <v>483</v>
      </c>
      <c r="AO13" s="90">
        <f>AO10+AO12-AO11</f>
        <v>6.5443066358135349E-2</v>
      </c>
      <c r="AP13" s="90">
        <f t="shared" ref="AP13:AS13" si="22">AP10+AP12-AP11</f>
        <v>0.11236607518108079</v>
      </c>
      <c r="AQ13" s="90">
        <f t="shared" si="22"/>
        <v>0.15112462079623565</v>
      </c>
      <c r="AR13" s="90">
        <f t="shared" si="22"/>
        <v>0.1678713573987185</v>
      </c>
      <c r="AS13" s="90">
        <f t="shared" si="22"/>
        <v>0.16769259298029901</v>
      </c>
    </row>
    <row r="14" spans="1:45" x14ac:dyDescent="0.3">
      <c r="A14" s="1" t="s">
        <v>136</v>
      </c>
      <c r="B14" s="86">
        <f>'Income Statement'!B20/'Income Statement'!B4</f>
        <v>1.7844247332148514E-2</v>
      </c>
      <c r="C14" s="86">
        <f>'Income Statement'!C20/'Income Statement'!C4</f>
        <v>1.5906020197936799E-2</v>
      </c>
      <c r="D14" s="86">
        <f>'Income Statement'!D20/'Income Statement'!D4</f>
        <v>1.8456708958179923E-2</v>
      </c>
      <c r="E14" s="86">
        <f>'Income Statement'!E20/'Income Statement'!E4</f>
        <v>1.5914028995629277E-2</v>
      </c>
      <c r="F14" s="86">
        <f>'Income Statement'!F20/'Income Statement'!F4</f>
        <v>1.8226842398220238E-2</v>
      </c>
      <c r="G14" s="86">
        <f>'Income Statement'!G20/'Income Statement'!G4</f>
        <v>1.6260978923667471E-2</v>
      </c>
      <c r="I14" s="1" t="str">
        <f t="shared" si="0"/>
        <v>Tax expense</v>
      </c>
      <c r="J14" s="86">
        <f>ABS('Income Statement'!J22/'Income Statement'!J4)</f>
        <v>6.0553502752431945E-2</v>
      </c>
      <c r="K14" s="86">
        <f>ABS('Income Statement'!K22/'Income Statement'!K4)</f>
        <v>5.5413796036403846E-2</v>
      </c>
      <c r="L14" s="86">
        <f>ABS('Income Statement'!L22/'Income Statement'!L4)</f>
        <v>5.6953819166380655E-2</v>
      </c>
      <c r="M14" s="86">
        <f>ABS('Income Statement'!M22/'Income Statement'!M4)</f>
        <v>5.2839220864971941E-2</v>
      </c>
      <c r="N14" s="86">
        <f>ABS('Income Statement'!N22/'Income Statement'!N4)</f>
        <v>5.8872948171125761E-2</v>
      </c>
      <c r="P14" s="63" t="str">
        <f t="shared" si="1"/>
        <v>Tax expense</v>
      </c>
      <c r="Q14" s="91">
        <f>'Income Statement'!Q24/'Income Statement'!Q4</f>
        <v>8.6427127804368925E-2</v>
      </c>
      <c r="R14" s="91">
        <f>'Income Statement'!R24/'Income Statement'!R4</f>
        <v>8.569804752580748E-2</v>
      </c>
      <c r="S14" s="91">
        <f>'Income Statement'!S24/'Income Statement'!S4</f>
        <v>8.0321190289818448E-2</v>
      </c>
      <c r="T14" s="91">
        <f>'Income Statement'!T24/'Income Statement'!T4</f>
        <v>8.4142062392729769E-2</v>
      </c>
      <c r="U14" s="91">
        <f>'Income Statement'!U24/'Income Statement'!U4</f>
        <v>8.4034914468430241E-2</v>
      </c>
      <c r="V14" s="91">
        <f>'Income Statement'!V24/'Income Statement'!V4</f>
        <v>8.44288112719601E-2</v>
      </c>
      <c r="X14" s="63" t="str">
        <f t="shared" si="2"/>
        <v>Tax expense</v>
      </c>
      <c r="Y14" s="91">
        <f>'Income Statement'!Y27/'Income Statement'!Y4</f>
        <v>2.892836785103553E-2</v>
      </c>
      <c r="Z14" s="91">
        <f>'Income Statement'!Z27/'Income Statement'!Z4</f>
        <v>1.6309369802254666E-2</v>
      </c>
      <c r="AA14" s="91">
        <f>'Income Statement'!AA27/'Income Statement'!AA4</f>
        <v>2.4514740095142193E-2</v>
      </c>
      <c r="AB14" s="91">
        <f>'Income Statement'!AB27/'Income Statement'!AB4</f>
        <v>2.8909426987060997E-2</v>
      </c>
      <c r="AC14" s="91">
        <f>'Income Statement'!AC27/'Income Statement'!AC4</f>
        <v>2.2061702294260434E-2</v>
      </c>
      <c r="AD14" s="91">
        <f>'Income Statement'!AD27/'Income Statement'!AD4</f>
        <v>1.9816064575889903E-2</v>
      </c>
      <c r="AF14" s="63" t="s">
        <v>136</v>
      </c>
      <c r="AG14" s="91">
        <f>'Income Statement'!AG24/'Income Statement'!AG4</f>
        <v>1.6927807962179933E-2</v>
      </c>
      <c r="AH14" s="91">
        <f>'Income Statement'!AH24/'Income Statement'!AH4</f>
        <v>-9.1362766876465495E-3</v>
      </c>
      <c r="AI14" s="91">
        <f>'Income Statement'!AI24/'Income Statement'!AI4</f>
        <v>1.7034161697813705E-2</v>
      </c>
      <c r="AJ14" s="91">
        <f>'Income Statement'!AJ24/'Income Statement'!AJ4</f>
        <v>1.9223442796790106E-2</v>
      </c>
      <c r="AK14" s="91">
        <f>'Income Statement'!AK24/'Income Statement'!AK4</f>
        <v>3.5827560320675932E-2</v>
      </c>
      <c r="AL14" s="91">
        <f>'Income Statement'!AL24/'Income Statement'!AL4</f>
        <v>2.8908157232642003E-2</v>
      </c>
      <c r="AN14" s="63" t="s">
        <v>136</v>
      </c>
      <c r="AO14" s="91">
        <f>'Income Statement'!AO26/'Income Statement'!AO4</f>
        <v>7.9837822749050753E-4</v>
      </c>
      <c r="AP14" s="91">
        <f>'Income Statement'!AP26/'Income Statement'!AP4</f>
        <v>2.9085458375933543E-2</v>
      </c>
      <c r="AQ14" s="91">
        <f>'Income Statement'!AQ26/'Income Statement'!AQ4</f>
        <v>3.5362454649014621E-2</v>
      </c>
      <c r="AR14" s="91">
        <f>'Income Statement'!AR26/'Income Statement'!AR4</f>
        <v>3.9062835551826491E-2</v>
      </c>
      <c r="AS14" s="91">
        <f>'Income Statement'!AS26/'Income Statement'!AS4</f>
        <v>3.9001572554279683E-2</v>
      </c>
    </row>
    <row r="15" spans="1:45" x14ac:dyDescent="0.3">
      <c r="A15" s="23" t="s">
        <v>484</v>
      </c>
      <c r="B15" s="87">
        <f>'Income Statement'!B21/'Income Statement'!B4</f>
        <v>5.2310797661458457E-2</v>
      </c>
      <c r="C15" s="87">
        <f>'Income Statement'!C21/'Income Statement'!C4</f>
        <v>4.5538138081916736E-2</v>
      </c>
      <c r="D15" s="87">
        <f>'Income Statement'!D21/'Income Statement'!D4</f>
        <v>4.817881559012762E-2</v>
      </c>
      <c r="E15" s="87">
        <f>'Income Statement'!E21/'Income Statement'!E4</f>
        <v>5.5517376929174564E-2</v>
      </c>
      <c r="F15" s="87">
        <f>'Income Statement'!F21/'Income Statement'!F4</f>
        <v>4.9924560183804076E-2</v>
      </c>
      <c r="G15" s="87">
        <f>'Income Statement'!G21/'Income Statement'!G4</f>
        <v>4.5612178971512672E-2</v>
      </c>
      <c r="I15" s="23" t="str">
        <f t="shared" si="0"/>
        <v>Profit after tax (PAT)</v>
      </c>
      <c r="J15" s="87">
        <f>J13-J14</f>
        <v>0.17509602733515456</v>
      </c>
      <c r="K15" s="87">
        <f t="shared" ref="K15:N15" si="23">K13-K14</f>
        <v>0.17521500413876956</v>
      </c>
      <c r="L15" s="87">
        <f t="shared" si="23"/>
        <v>0.17029933451543219</v>
      </c>
      <c r="M15" s="87">
        <f t="shared" si="23"/>
        <v>0.16852022798795824</v>
      </c>
      <c r="N15" s="87">
        <f t="shared" si="23"/>
        <v>0.16615483516267635</v>
      </c>
      <c r="P15" s="77" t="str">
        <f t="shared" si="1"/>
        <v>Profit after tax (PAT)</v>
      </c>
      <c r="Q15" s="90">
        <f>'Income Statement'!Q30/'Income Statement'!Q4</f>
        <v>0.30340002338818528</v>
      </c>
      <c r="R15" s="90">
        <f>'Income Statement'!R30/'Income Statement'!R4</f>
        <v>0.25177029042545662</v>
      </c>
      <c r="S15" s="90">
        <f>'Income Statement'!S30/'Income Statement'!S4</f>
        <v>0.23775998022236342</v>
      </c>
      <c r="T15" s="90">
        <f>'Income Statement'!T30/'Income Statement'!T4</f>
        <v>0.2545370572573511</v>
      </c>
      <c r="U15" s="90">
        <f>'Income Statement'!U30/'Income Statement'!U4</f>
        <v>0.28083581546601544</v>
      </c>
      <c r="V15" s="90">
        <f>'Income Statement'!V30/'Income Statement'!V4</f>
        <v>0.42949743900403836</v>
      </c>
      <c r="X15" s="77" t="str">
        <f t="shared" si="2"/>
        <v>Profit after tax (PAT)</v>
      </c>
      <c r="Y15" s="90">
        <f>'Income Statement'!Y28/'Income Statement'!Y4</f>
        <v>7.0919627588827666E-2</v>
      </c>
      <c r="Z15" s="90">
        <f>'Income Statement'!Z28/'Income Statement'!Z4</f>
        <v>4.5000924043614859E-2</v>
      </c>
      <c r="AA15" s="90">
        <f>'Income Statement'!AA28/'Income Statement'!AA4</f>
        <v>7.632209451717073E-2</v>
      </c>
      <c r="AB15" s="90">
        <f>'Income Statement'!AB28/'Income Statement'!AB4</f>
        <v>8.0690080098582875E-2</v>
      </c>
      <c r="AC15" s="90">
        <f>'Income Statement'!AC28/'Income Statement'!AC4</f>
        <v>6.8436300994440535E-2</v>
      </c>
      <c r="AD15" s="90">
        <f>'Income Statement'!AD28/'Income Statement'!AD4</f>
        <v>5.5197168188434564E-2</v>
      </c>
      <c r="AF15" s="77" t="s">
        <v>484</v>
      </c>
      <c r="AG15" s="90">
        <f>AG13-AG14</f>
        <v>3.9131033454007244E-2</v>
      </c>
      <c r="AH15" s="90">
        <f t="shared" ref="AH15:AL15" si="24">AH13-AH14</f>
        <v>-4.1944341601875851E-2</v>
      </c>
      <c r="AI15" s="90">
        <f t="shared" si="24"/>
        <v>1.2650010449042053E-2</v>
      </c>
      <c r="AJ15" s="90">
        <f t="shared" si="24"/>
        <v>3.800281969711311E-2</v>
      </c>
      <c r="AK15" s="90">
        <f t="shared" si="24"/>
        <v>6.2853582715628381E-2</v>
      </c>
      <c r="AL15" s="90">
        <f t="shared" si="24"/>
        <v>8.4502069203792773E-2</v>
      </c>
      <c r="AN15" s="77" t="s">
        <v>484</v>
      </c>
      <c r="AO15" s="90">
        <f>AO13-AO14</f>
        <v>6.4644688130644848E-2</v>
      </c>
      <c r="AP15" s="90">
        <f t="shared" ref="AP15:AS15" si="25">AP13-AP14</f>
        <v>8.3280616805147242E-2</v>
      </c>
      <c r="AQ15" s="90">
        <f t="shared" si="25"/>
        <v>0.11576216614722103</v>
      </c>
      <c r="AR15" s="90">
        <f t="shared" si="25"/>
        <v>0.12880852184689201</v>
      </c>
      <c r="AS15" s="90">
        <f t="shared" si="25"/>
        <v>0.12869102042601932</v>
      </c>
    </row>
    <row r="16" spans="1:45" x14ac:dyDescent="0.3">
      <c r="B16" s="84"/>
      <c r="C16" s="84"/>
      <c r="D16" s="84"/>
      <c r="E16" s="84"/>
      <c r="F16" s="84"/>
      <c r="G16" s="84"/>
    </row>
    <row r="17" spans="2:7" x14ac:dyDescent="0.3">
      <c r="B17" s="84"/>
      <c r="C17" s="84"/>
      <c r="D17" s="84"/>
      <c r="E17" s="84"/>
      <c r="F17" s="84"/>
      <c r="G17" s="84"/>
    </row>
    <row r="18" spans="2:7" x14ac:dyDescent="0.3">
      <c r="B18" s="84"/>
      <c r="C18" s="84"/>
      <c r="D18" s="84"/>
      <c r="E18" s="84"/>
      <c r="F18" s="84"/>
      <c r="G18" s="84"/>
    </row>
    <row r="19" spans="2:7" x14ac:dyDescent="0.3">
      <c r="B19" s="84"/>
      <c r="C19" s="84"/>
      <c r="D19" s="84"/>
      <c r="E19" s="84"/>
      <c r="F19" s="84"/>
      <c r="G19" s="84"/>
    </row>
    <row r="20" spans="2:7" x14ac:dyDescent="0.3">
      <c r="B20" s="84"/>
      <c r="C20" s="84"/>
      <c r="D20" s="84"/>
      <c r="E20" s="84"/>
      <c r="F20" s="84"/>
      <c r="G20" s="84"/>
    </row>
    <row r="21" spans="2:7" x14ac:dyDescent="0.3">
      <c r="B21" s="84"/>
      <c r="C21" s="84"/>
      <c r="D21" s="84"/>
      <c r="E21" s="84"/>
      <c r="F21" s="84"/>
      <c r="G21" s="84"/>
    </row>
    <row r="22" spans="2:7" x14ac:dyDescent="0.3">
      <c r="B22" s="84"/>
      <c r="C22" s="84"/>
      <c r="D22" s="84"/>
      <c r="E22" s="84"/>
      <c r="F22" s="84"/>
      <c r="G22" s="84"/>
    </row>
    <row r="23" spans="2:7" x14ac:dyDescent="0.3">
      <c r="B23" s="84"/>
      <c r="C23" s="84"/>
      <c r="D23" s="84"/>
      <c r="E23" s="84"/>
      <c r="F23" s="84"/>
      <c r="G23" s="84"/>
    </row>
    <row r="24" spans="2:7" x14ac:dyDescent="0.3">
      <c r="B24" s="84"/>
      <c r="C24" s="84"/>
      <c r="D24" s="84"/>
      <c r="E24" s="84"/>
      <c r="F24" s="84"/>
      <c r="G24" s="84"/>
    </row>
    <row r="25" spans="2:7" x14ac:dyDescent="0.3">
      <c r="B25" s="84"/>
      <c r="C25" s="84"/>
      <c r="D25" s="84"/>
      <c r="E25" s="84"/>
      <c r="F25" s="84"/>
      <c r="G25" s="84"/>
    </row>
    <row r="26" spans="2:7" x14ac:dyDescent="0.3">
      <c r="B26" s="84"/>
      <c r="C26" s="84"/>
      <c r="D26" s="84"/>
      <c r="E26" s="84"/>
      <c r="F26" s="84"/>
      <c r="G26" s="84"/>
    </row>
    <row r="27" spans="2:7" x14ac:dyDescent="0.3">
      <c r="B27" s="84"/>
      <c r="C27" s="84"/>
      <c r="D27" s="84"/>
      <c r="E27" s="84"/>
      <c r="F27" s="84"/>
      <c r="G27" s="84"/>
    </row>
    <row r="28" spans="2:7" x14ac:dyDescent="0.3">
      <c r="B28" s="84"/>
      <c r="C28" s="84"/>
      <c r="D28" s="84"/>
      <c r="E28" s="84"/>
      <c r="F28" s="84"/>
      <c r="G28" s="84"/>
    </row>
  </sheetData>
  <mergeCells count="6">
    <mergeCell ref="AR1:AS1"/>
    <mergeCell ref="F1:G1"/>
    <mergeCell ref="M1:N1"/>
    <mergeCell ref="U1:V1"/>
    <mergeCell ref="AC1:AD1"/>
    <mergeCell ref="AK1:AL1"/>
  </mergeCells>
  <pageMargins left="0.7" right="0.7" top="0.75" bottom="0.75" header="0.3" footer="0.3"/>
  <tableParts count="6">
    <tablePart r:id="rId1"/>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7706-58DF-4EF8-863D-335C1B176267}">
  <dimension ref="A1:AS66"/>
  <sheetViews>
    <sheetView topLeftCell="AN16" workbookViewId="0">
      <selection activeCell="H9" sqref="H9"/>
    </sheetView>
  </sheetViews>
  <sheetFormatPr defaultRowHeight="14.4" x14ac:dyDescent="0.3"/>
  <cols>
    <col min="1" max="1" width="48.109375" style="1" bestFit="1" customWidth="1"/>
    <col min="2" max="7" width="9.5546875" style="20" bestFit="1" customWidth="1"/>
    <col min="8" max="8" width="8.88671875" style="1"/>
    <col min="9" max="9" width="51.21875" style="1" bestFit="1" customWidth="1"/>
    <col min="10" max="14" width="10.5546875" style="20" bestFit="1" customWidth="1"/>
    <col min="15" max="15" width="8.88671875" style="1"/>
    <col min="16" max="16" width="62.6640625" style="1" bestFit="1" customWidth="1"/>
    <col min="17" max="22" width="10.5546875" style="20" bestFit="1" customWidth="1"/>
    <col min="23" max="23" width="8.88671875" style="1"/>
    <col min="24" max="24" width="51.21875" style="1" bestFit="1" customWidth="1"/>
    <col min="25" max="28" width="9.5546875" style="20" bestFit="1" customWidth="1"/>
    <col min="29" max="30" width="10.5546875" style="20" bestFit="1" customWidth="1"/>
    <col min="31" max="31" width="8.88671875" style="1"/>
    <col min="32" max="32" width="62" style="1" bestFit="1" customWidth="1"/>
    <col min="33" max="33" width="9.5546875" style="20" bestFit="1" customWidth="1"/>
    <col min="34" max="34" width="8.88671875" style="20"/>
    <col min="35" max="38" width="9.5546875" style="20" bestFit="1" customWidth="1"/>
    <col min="39" max="39" width="8.88671875" style="1"/>
    <col min="40" max="40" width="86.109375" style="1" bestFit="1" customWidth="1"/>
    <col min="41" max="45" width="10.21875" style="20" bestFit="1" customWidth="1"/>
    <col min="46" max="16384" width="8.88671875" style="1"/>
  </cols>
  <sheetData>
    <row r="1" spans="1:45" ht="35.4" customHeight="1" x14ac:dyDescent="0.3">
      <c r="A1" s="79" t="s">
        <v>191</v>
      </c>
      <c r="B1" s="1"/>
      <c r="C1" s="1"/>
      <c r="D1" s="1"/>
      <c r="E1" s="1"/>
      <c r="F1" s="1"/>
      <c r="G1" s="1" t="e" vm="13">
        <v>#VALUE!</v>
      </c>
      <c r="I1" s="79" t="s">
        <v>191</v>
      </c>
      <c r="J1" s="1"/>
      <c r="K1" s="1"/>
      <c r="L1" s="1"/>
      <c r="M1" s="1"/>
      <c r="N1" s="3" t="e" vm="6">
        <v>#VALUE!</v>
      </c>
      <c r="P1" s="79" t="s">
        <v>191</v>
      </c>
      <c r="Q1" s="1"/>
      <c r="R1" s="1"/>
      <c r="S1" s="1"/>
      <c r="T1" s="1"/>
      <c r="U1" s="1"/>
      <c r="V1" s="3" t="e" vm="2">
        <v>#VALUE!</v>
      </c>
      <c r="X1" s="79" t="s">
        <v>191</v>
      </c>
      <c r="Y1" s="1"/>
      <c r="Z1" s="1"/>
      <c r="AA1" s="1"/>
      <c r="AB1" s="1"/>
      <c r="AC1" s="1"/>
      <c r="AD1" s="3" t="e" vm="5">
        <v>#VALUE!</v>
      </c>
      <c r="AF1" s="79" t="s">
        <v>191</v>
      </c>
      <c r="AG1" s="1"/>
      <c r="AH1" s="1"/>
      <c r="AI1" s="1"/>
      <c r="AJ1" s="1"/>
      <c r="AK1" s="1"/>
      <c r="AL1" s="3" t="e" vm="14">
        <v>#VALUE!</v>
      </c>
      <c r="AN1" s="79" t="s">
        <v>191</v>
      </c>
      <c r="AO1" s="1"/>
      <c r="AP1" s="1"/>
      <c r="AQ1" s="1"/>
      <c r="AR1" s="1"/>
      <c r="AS1" s="3" t="e" vm="4">
        <v>#VALUE!</v>
      </c>
    </row>
    <row r="2" spans="1:45" x14ac:dyDescent="0.3">
      <c r="A2" s="23" t="s">
        <v>192</v>
      </c>
      <c r="B2" s="80" t="s">
        <v>27</v>
      </c>
      <c r="C2" s="80" t="s">
        <v>28</v>
      </c>
      <c r="D2" s="80" t="s">
        <v>29</v>
      </c>
      <c r="E2" s="80" t="s">
        <v>30</v>
      </c>
      <c r="F2" s="80" t="s">
        <v>31</v>
      </c>
      <c r="G2" s="80" t="s">
        <v>32</v>
      </c>
      <c r="I2" s="82" t="s">
        <v>1</v>
      </c>
      <c r="J2" s="83" t="s">
        <v>27</v>
      </c>
      <c r="K2" s="83" t="s">
        <v>28</v>
      </c>
      <c r="L2" s="83" t="s">
        <v>29</v>
      </c>
      <c r="M2" s="83" t="s">
        <v>30</v>
      </c>
      <c r="N2" s="83" t="s">
        <v>31</v>
      </c>
      <c r="P2" s="23" t="s">
        <v>1</v>
      </c>
      <c r="Q2" s="75" t="s">
        <v>27</v>
      </c>
      <c r="R2" s="75" t="s">
        <v>28</v>
      </c>
      <c r="S2" s="75" t="s">
        <v>29</v>
      </c>
      <c r="T2" s="75" t="s">
        <v>30</v>
      </c>
      <c r="U2" s="75" t="s">
        <v>31</v>
      </c>
      <c r="V2" s="75" t="s">
        <v>32</v>
      </c>
      <c r="X2" s="23" t="s">
        <v>1</v>
      </c>
      <c r="Y2" s="75" t="s">
        <v>27</v>
      </c>
      <c r="Z2" s="75" t="s">
        <v>28</v>
      </c>
      <c r="AA2" s="75" t="s">
        <v>29</v>
      </c>
      <c r="AB2" s="75" t="s">
        <v>30</v>
      </c>
      <c r="AC2" s="75" t="s">
        <v>31</v>
      </c>
      <c r="AD2" s="75" t="s">
        <v>32</v>
      </c>
      <c r="AF2" s="23" t="s">
        <v>1</v>
      </c>
      <c r="AG2" s="75" t="s">
        <v>27</v>
      </c>
      <c r="AH2" s="75" t="s">
        <v>28</v>
      </c>
      <c r="AI2" s="75" t="s">
        <v>29</v>
      </c>
      <c r="AJ2" s="75" t="s">
        <v>30</v>
      </c>
      <c r="AK2" s="75" t="s">
        <v>31</v>
      </c>
      <c r="AL2" s="75" t="s">
        <v>32</v>
      </c>
      <c r="AN2" s="23" t="s">
        <v>1</v>
      </c>
      <c r="AO2" s="75" t="s">
        <v>27</v>
      </c>
      <c r="AP2" s="75" t="s">
        <v>28</v>
      </c>
      <c r="AQ2" s="75" t="s">
        <v>29</v>
      </c>
      <c r="AR2" s="75" t="s">
        <v>30</v>
      </c>
      <c r="AS2" s="75" t="s">
        <v>31</v>
      </c>
    </row>
    <row r="3" spans="1:45" x14ac:dyDescent="0.3">
      <c r="A3" s="1" t="s">
        <v>135</v>
      </c>
      <c r="B3" s="21">
        <v>1744.77</v>
      </c>
      <c r="C3" s="21">
        <v>1483.45</v>
      </c>
      <c r="D3" s="21">
        <v>2064.12</v>
      </c>
      <c r="E3" s="21">
        <v>3060.09</v>
      </c>
      <c r="F3" s="21">
        <v>3461.33</v>
      </c>
      <c r="G3" s="21">
        <v>3672.67</v>
      </c>
      <c r="I3" s="18" t="s">
        <v>192</v>
      </c>
      <c r="J3" s="18"/>
      <c r="K3" s="18"/>
      <c r="L3" s="18"/>
      <c r="M3" s="18"/>
      <c r="N3" s="18"/>
      <c r="P3" s="18" t="s">
        <v>192</v>
      </c>
      <c r="Q3" s="18"/>
      <c r="R3" s="18"/>
      <c r="S3" s="18"/>
      <c r="T3" s="18"/>
      <c r="U3" s="18"/>
      <c r="V3" s="18"/>
      <c r="X3" s="18" t="s">
        <v>192</v>
      </c>
      <c r="Y3" s="18"/>
      <c r="Z3" s="18"/>
      <c r="AA3" s="18"/>
      <c r="AB3" s="18"/>
      <c r="AC3" s="18"/>
      <c r="AD3" s="18"/>
      <c r="AF3" s="18" t="s">
        <v>395</v>
      </c>
      <c r="AG3" s="18"/>
      <c r="AH3" s="18"/>
      <c r="AI3" s="18"/>
      <c r="AJ3" s="18"/>
      <c r="AK3" s="18"/>
      <c r="AL3" s="18"/>
      <c r="AN3" s="34" t="s">
        <v>436</v>
      </c>
      <c r="AO3" s="66">
        <v>362.505</v>
      </c>
      <c r="AP3" s="66">
        <v>1006.6079999999999</v>
      </c>
      <c r="AQ3" s="66">
        <v>2023.643</v>
      </c>
      <c r="AR3" s="66">
        <v>2739.8389999999999</v>
      </c>
      <c r="AS3" s="68">
        <v>3434.567</v>
      </c>
    </row>
    <row r="4" spans="1:45" x14ac:dyDescent="0.3">
      <c r="A4" s="19" t="s">
        <v>193</v>
      </c>
      <c r="B4" s="26"/>
      <c r="C4" s="26"/>
      <c r="D4" s="26"/>
      <c r="E4" s="26"/>
      <c r="F4" s="26"/>
      <c r="G4" s="26"/>
      <c r="I4" s="34" t="s">
        <v>135</v>
      </c>
      <c r="J4" s="66">
        <v>9173</v>
      </c>
      <c r="K4" s="66">
        <v>10606</v>
      </c>
      <c r="L4" s="66">
        <v>11874</v>
      </c>
      <c r="M4" s="66">
        <v>13345</v>
      </c>
      <c r="N4" s="68">
        <v>13926</v>
      </c>
      <c r="P4" s="34" t="s">
        <v>135</v>
      </c>
      <c r="Q4" s="66">
        <v>20034.57</v>
      </c>
      <c r="R4" s="66">
        <v>17938.169999999998</v>
      </c>
      <c r="S4" s="66">
        <v>20740.47</v>
      </c>
      <c r="T4" s="66">
        <v>25915.119999999999</v>
      </c>
      <c r="U4" s="66">
        <f>26400.28+739.6</f>
        <v>27139.879999999997</v>
      </c>
      <c r="V4" s="68">
        <f>26926.94+15654.65</f>
        <v>42581.59</v>
      </c>
      <c r="X4" s="34" t="s">
        <v>135</v>
      </c>
      <c r="Y4" s="66">
        <v>2102</v>
      </c>
      <c r="Z4" s="66">
        <v>1327</v>
      </c>
      <c r="AA4" s="66">
        <v>2904</v>
      </c>
      <c r="AB4" s="66">
        <v>4447</v>
      </c>
      <c r="AC4" s="66">
        <v>4623</v>
      </c>
      <c r="AD4" s="68">
        <v>4535</v>
      </c>
      <c r="AF4" s="63" t="s">
        <v>413</v>
      </c>
      <c r="AG4" s="66">
        <v>164.99</v>
      </c>
      <c r="AH4" s="66">
        <v>-203.81</v>
      </c>
      <c r="AI4" s="66">
        <v>138.66</v>
      </c>
      <c r="AJ4" s="66">
        <v>555.13</v>
      </c>
      <c r="AK4" s="66">
        <v>1344.76</v>
      </c>
      <c r="AL4" s="66">
        <v>2029.74</v>
      </c>
      <c r="AN4" s="19" t="s">
        <v>193</v>
      </c>
      <c r="AO4" s="26"/>
      <c r="AP4" s="26"/>
      <c r="AQ4" s="26"/>
      <c r="AR4" s="26"/>
      <c r="AS4" s="26"/>
    </row>
    <row r="5" spans="1:45" x14ac:dyDescent="0.3">
      <c r="A5" s="1" t="s">
        <v>194</v>
      </c>
      <c r="B5" s="21">
        <v>374.41</v>
      </c>
      <c r="C5" s="21">
        <v>414.16</v>
      </c>
      <c r="D5" s="21">
        <v>498.08</v>
      </c>
      <c r="E5" s="21">
        <v>638.87</v>
      </c>
      <c r="F5" s="21">
        <v>730.76</v>
      </c>
      <c r="G5" s="21">
        <v>869.52</v>
      </c>
      <c r="I5" s="18" t="s">
        <v>193</v>
      </c>
      <c r="J5" s="22"/>
      <c r="K5" s="22"/>
      <c r="L5" s="22"/>
      <c r="M5" s="22"/>
      <c r="N5" s="22"/>
      <c r="P5" s="18" t="s">
        <v>304</v>
      </c>
      <c r="Q5" s="22"/>
      <c r="R5" s="22"/>
      <c r="S5" s="22"/>
      <c r="T5" s="22"/>
      <c r="U5" s="22"/>
      <c r="V5" s="22"/>
      <c r="X5" s="18" t="s">
        <v>193</v>
      </c>
      <c r="Y5" s="22"/>
      <c r="Z5" s="22"/>
      <c r="AA5" s="22"/>
      <c r="AB5" s="22"/>
      <c r="AC5" s="22"/>
      <c r="AD5" s="22"/>
      <c r="AF5" s="18" t="s">
        <v>193</v>
      </c>
      <c r="AG5" s="76"/>
      <c r="AH5" s="76"/>
      <c r="AI5" s="76"/>
      <c r="AJ5" s="76"/>
      <c r="AK5" s="76"/>
      <c r="AL5" s="76"/>
      <c r="AN5" s="34" t="s">
        <v>437</v>
      </c>
      <c r="AO5" s="66">
        <v>523.19100000000003</v>
      </c>
      <c r="AP5" s="66">
        <v>503.75400000000002</v>
      </c>
      <c r="AQ5" s="66">
        <v>583.09900000000005</v>
      </c>
      <c r="AR5" s="66">
        <v>640.904</v>
      </c>
      <c r="AS5" s="68">
        <v>838.69500000000005</v>
      </c>
    </row>
    <row r="6" spans="1:45" x14ac:dyDescent="0.3">
      <c r="A6" s="1" t="s">
        <v>178</v>
      </c>
      <c r="B6" s="21">
        <v>69.12</v>
      </c>
      <c r="C6" s="21">
        <v>41.65</v>
      </c>
      <c r="D6" s="21">
        <v>53.79</v>
      </c>
      <c r="E6" s="21">
        <v>67.41</v>
      </c>
      <c r="F6" s="21">
        <v>58.13</v>
      </c>
      <c r="G6" s="21">
        <v>69.45</v>
      </c>
      <c r="I6" s="34" t="s">
        <v>194</v>
      </c>
      <c r="J6" s="66">
        <v>1002</v>
      </c>
      <c r="K6" s="66">
        <v>1134</v>
      </c>
      <c r="L6" s="66">
        <v>1106</v>
      </c>
      <c r="M6" s="66">
        <v>1152</v>
      </c>
      <c r="N6" s="68">
        <v>1216</v>
      </c>
      <c r="P6" s="34" t="s">
        <v>145</v>
      </c>
      <c r="Q6" s="66">
        <v>1644.91</v>
      </c>
      <c r="R6" s="66">
        <v>1645.59</v>
      </c>
      <c r="S6" s="66">
        <v>1732.41</v>
      </c>
      <c r="T6" s="66">
        <v>1809.01</v>
      </c>
      <c r="U6" s="66">
        <v>1816.39</v>
      </c>
      <c r="V6" s="68">
        <v>1950.58</v>
      </c>
      <c r="X6" s="34" t="s">
        <v>145</v>
      </c>
      <c r="Y6" s="66">
        <v>348</v>
      </c>
      <c r="Z6" s="66">
        <v>375</v>
      </c>
      <c r="AA6" s="66">
        <v>399</v>
      </c>
      <c r="AB6" s="66">
        <v>441</v>
      </c>
      <c r="AC6" s="66">
        <v>584</v>
      </c>
      <c r="AD6" s="68">
        <v>693</v>
      </c>
      <c r="AF6" s="63" t="s">
        <v>396</v>
      </c>
      <c r="AG6" s="66">
        <v>247.24</v>
      </c>
      <c r="AH6" s="66">
        <v>257.3</v>
      </c>
      <c r="AI6" s="66">
        <v>310.82</v>
      </c>
      <c r="AJ6" s="66">
        <v>493.69</v>
      </c>
      <c r="AK6" s="66">
        <v>671.11</v>
      </c>
      <c r="AL6" s="66">
        <v>895.18</v>
      </c>
      <c r="AN6" s="34" t="s">
        <v>438</v>
      </c>
      <c r="AO6" s="66">
        <v>5.5110000000000001</v>
      </c>
      <c r="AP6" s="66">
        <v>27.507999999999999</v>
      </c>
      <c r="AQ6" s="66">
        <v>34.090000000000003</v>
      </c>
      <c r="AR6" s="66">
        <v>40.002000000000002</v>
      </c>
      <c r="AS6" s="68">
        <v>108.691</v>
      </c>
    </row>
    <row r="7" spans="1:45" x14ac:dyDescent="0.3">
      <c r="A7" s="1" t="s">
        <v>195</v>
      </c>
      <c r="B7" s="21">
        <v>-32.49</v>
      </c>
      <c r="C7" s="21">
        <v>-178.13</v>
      </c>
      <c r="D7" s="21">
        <v>-103.96</v>
      </c>
      <c r="E7" s="21">
        <v>-107.56</v>
      </c>
      <c r="F7" s="21">
        <v>-107.46</v>
      </c>
      <c r="G7" s="21">
        <v>-87.83</v>
      </c>
      <c r="I7" s="34" t="s">
        <v>249</v>
      </c>
      <c r="J7" s="66">
        <v>53</v>
      </c>
      <c r="K7" s="66">
        <v>-57</v>
      </c>
      <c r="L7" s="66">
        <v>-97</v>
      </c>
      <c r="M7" s="66">
        <v>-100</v>
      </c>
      <c r="N7" s="68">
        <v>18</v>
      </c>
      <c r="P7" s="34" t="s">
        <v>305</v>
      </c>
      <c r="Q7" s="66">
        <v>112.99</v>
      </c>
      <c r="R7" s="66">
        <v>26.27</v>
      </c>
      <c r="S7" s="66">
        <v>33.17</v>
      </c>
      <c r="T7" s="66">
        <v>60.41</v>
      </c>
      <c r="U7" s="66">
        <v>107.3</v>
      </c>
      <c r="V7" s="68">
        <v>133.79</v>
      </c>
      <c r="X7" s="34" t="s">
        <v>349</v>
      </c>
      <c r="Y7" s="66">
        <v>-1</v>
      </c>
      <c r="Z7" s="66">
        <v>-1</v>
      </c>
      <c r="AA7" s="66">
        <v>-3</v>
      </c>
      <c r="AB7" s="66">
        <v>7</v>
      </c>
      <c r="AC7" s="66">
        <v>0</v>
      </c>
      <c r="AD7" s="68">
        <v>9</v>
      </c>
      <c r="AF7" s="63" t="s">
        <v>397</v>
      </c>
      <c r="AG7" s="66">
        <v>0.73</v>
      </c>
      <c r="AH7" s="66">
        <v>0.73</v>
      </c>
      <c r="AI7" s="66">
        <v>0.73</v>
      </c>
      <c r="AJ7" s="66">
        <v>0.73</v>
      </c>
      <c r="AK7" s="66">
        <v>0.73</v>
      </c>
      <c r="AL7" s="66">
        <v>0.73</v>
      </c>
      <c r="AN7" s="34" t="s">
        <v>147</v>
      </c>
      <c r="AO7" s="66">
        <v>66.528999999999996</v>
      </c>
      <c r="AP7" s="66">
        <v>185.03700000000001</v>
      </c>
      <c r="AQ7" s="66">
        <v>185.44900000000001</v>
      </c>
      <c r="AR7" s="66">
        <v>268.09899999999999</v>
      </c>
      <c r="AS7" s="68">
        <v>450.38600000000002</v>
      </c>
    </row>
    <row r="8" spans="1:45" x14ac:dyDescent="0.3">
      <c r="A8" s="1" t="s">
        <v>196</v>
      </c>
      <c r="B8" s="21">
        <v>-10.16</v>
      </c>
      <c r="C8" s="21">
        <v>-2.56</v>
      </c>
      <c r="D8" s="21">
        <v>-3.66</v>
      </c>
      <c r="E8" s="21">
        <v>-8.83</v>
      </c>
      <c r="F8" s="21">
        <v>-27.11</v>
      </c>
      <c r="G8" s="21">
        <v>-21.76</v>
      </c>
      <c r="I8" s="34" t="s">
        <v>250</v>
      </c>
      <c r="J8" s="66">
        <v>-26</v>
      </c>
      <c r="K8" s="66">
        <v>-22</v>
      </c>
      <c r="L8" s="66">
        <v>-9</v>
      </c>
      <c r="M8" s="66">
        <v>-2</v>
      </c>
      <c r="N8" s="68">
        <v>0</v>
      </c>
      <c r="P8" s="34" t="s">
        <v>131</v>
      </c>
      <c r="Q8" s="66">
        <v>54.68</v>
      </c>
      <c r="R8" s="66">
        <v>44.58</v>
      </c>
      <c r="S8" s="66">
        <v>39.36</v>
      </c>
      <c r="T8" s="66">
        <v>43.2</v>
      </c>
      <c r="U8" s="66">
        <v>45.96</v>
      </c>
      <c r="V8" s="68">
        <v>50.01</v>
      </c>
      <c r="X8" s="34" t="s">
        <v>350</v>
      </c>
      <c r="Y8" s="66">
        <v>4</v>
      </c>
      <c r="Z8" s="66">
        <v>5</v>
      </c>
      <c r="AA8" s="66">
        <v>0</v>
      </c>
      <c r="AB8" s="66">
        <v>-1</v>
      </c>
      <c r="AC8" s="66">
        <v>-1</v>
      </c>
      <c r="AD8" s="68">
        <v>-1</v>
      </c>
      <c r="AF8" s="63" t="s">
        <v>398</v>
      </c>
      <c r="AG8" s="66">
        <v>0</v>
      </c>
      <c r="AH8" s="66">
        <v>1.49</v>
      </c>
      <c r="AI8" s="66">
        <v>-0.19</v>
      </c>
      <c r="AJ8" s="66">
        <v>-2.44</v>
      </c>
      <c r="AK8" s="66">
        <v>-0.59</v>
      </c>
      <c r="AL8" s="66">
        <v>2.33</v>
      </c>
      <c r="AN8" s="34" t="s">
        <v>439</v>
      </c>
      <c r="AO8" s="66">
        <v>272.98200000000003</v>
      </c>
      <c r="AP8" s="66">
        <v>-14.516</v>
      </c>
      <c r="AQ8" s="66">
        <v>-22.829000000000001</v>
      </c>
      <c r="AR8" s="66">
        <v>-23.8</v>
      </c>
      <c r="AS8" s="68">
        <v>-41.9</v>
      </c>
    </row>
    <row r="9" spans="1:45" x14ac:dyDescent="0.3">
      <c r="A9" s="1" t="s">
        <v>197</v>
      </c>
      <c r="B9" s="21">
        <v>8.4600000000000009</v>
      </c>
      <c r="C9" s="21">
        <v>6.38</v>
      </c>
      <c r="D9" s="21">
        <v>6.42</v>
      </c>
      <c r="E9" s="21">
        <v>12.01</v>
      </c>
      <c r="F9" s="21">
        <v>18.84</v>
      </c>
      <c r="G9" s="21">
        <v>30.72</v>
      </c>
      <c r="I9" s="34" t="s">
        <v>251</v>
      </c>
      <c r="J9" s="66">
        <v>0</v>
      </c>
      <c r="K9" s="66">
        <v>0</v>
      </c>
      <c r="L9" s="66">
        <v>0</v>
      </c>
      <c r="M9" s="66">
        <v>0</v>
      </c>
      <c r="N9" s="68">
        <v>-132</v>
      </c>
      <c r="P9" s="34" t="s">
        <v>195</v>
      </c>
      <c r="Q9" s="66">
        <v>-1522.13</v>
      </c>
      <c r="R9" s="66">
        <v>-1297.9100000000001</v>
      </c>
      <c r="S9" s="66">
        <v>-1082.6300000000001</v>
      </c>
      <c r="T9" s="66">
        <v>-1534</v>
      </c>
      <c r="U9" s="66">
        <v>-1710.51</v>
      </c>
      <c r="V9" s="68">
        <v>-1510.46</v>
      </c>
      <c r="X9" s="34" t="s">
        <v>351</v>
      </c>
      <c r="Y9" s="66">
        <v>-3</v>
      </c>
      <c r="Z9" s="66">
        <v>6</v>
      </c>
      <c r="AA9" s="66">
        <v>2</v>
      </c>
      <c r="AB9" s="66">
        <v>1</v>
      </c>
      <c r="AC9" s="66">
        <v>48</v>
      </c>
      <c r="AD9" s="68">
        <v>13</v>
      </c>
      <c r="AF9" s="63" t="s">
        <v>399</v>
      </c>
      <c r="AG9" s="66">
        <v>2.34</v>
      </c>
      <c r="AH9" s="66">
        <v>9.65</v>
      </c>
      <c r="AI9" s="66">
        <v>2.11</v>
      </c>
      <c r="AJ9" s="66">
        <v>6.35</v>
      </c>
      <c r="AK9" s="66">
        <v>14.12</v>
      </c>
      <c r="AL9" s="66">
        <v>7.3</v>
      </c>
      <c r="AN9" s="34" t="s">
        <v>440</v>
      </c>
      <c r="AO9" s="66">
        <v>-8.8859999999999992</v>
      </c>
      <c r="AP9" s="66">
        <v>-7.0000000000000007E-2</v>
      </c>
      <c r="AQ9" s="66">
        <v>0.36699999999999999</v>
      </c>
      <c r="AR9" s="66">
        <v>-8.0999999999999996E-3</v>
      </c>
      <c r="AS9" s="68">
        <v>-8.0000000000000004E-4</v>
      </c>
    </row>
    <row r="10" spans="1:45" x14ac:dyDescent="0.3">
      <c r="A10" s="1" t="s">
        <v>198</v>
      </c>
      <c r="B10" s="21">
        <v>-2.88</v>
      </c>
      <c r="C10" s="21">
        <v>-2.89</v>
      </c>
      <c r="D10" s="21">
        <v>-3.55</v>
      </c>
      <c r="E10" s="21">
        <v>-4.6900000000000004</v>
      </c>
      <c r="F10" s="21">
        <v>-4.9800000000000004</v>
      </c>
      <c r="G10" s="21">
        <v>-5.04</v>
      </c>
      <c r="I10" s="34" t="s">
        <v>252</v>
      </c>
      <c r="J10" s="66">
        <v>-492</v>
      </c>
      <c r="K10" s="66">
        <v>-346</v>
      </c>
      <c r="L10" s="66">
        <v>-198</v>
      </c>
      <c r="M10" s="66">
        <v>-411</v>
      </c>
      <c r="N10" s="68">
        <v>-546</v>
      </c>
      <c r="P10" s="34" t="s">
        <v>253</v>
      </c>
      <c r="Q10" s="66">
        <v>-8.31</v>
      </c>
      <c r="R10" s="66">
        <v>-7.0000000000000007E-2</v>
      </c>
      <c r="S10" s="66">
        <v>-0.01</v>
      </c>
      <c r="T10" s="66">
        <v>-0.02</v>
      </c>
      <c r="U10" s="66">
        <v>-11.13</v>
      </c>
      <c r="V10" s="68">
        <v>-12.14</v>
      </c>
      <c r="X10" s="34" t="s">
        <v>352</v>
      </c>
      <c r="Y10" s="66">
        <v>4</v>
      </c>
      <c r="Z10" s="66">
        <v>35</v>
      </c>
      <c r="AA10" s="66">
        <v>3</v>
      </c>
      <c r="AB10" s="66">
        <v>3</v>
      </c>
      <c r="AC10" s="66">
        <v>-1</v>
      </c>
      <c r="AD10" s="68">
        <v>-1</v>
      </c>
      <c r="AF10" s="63" t="s">
        <v>400</v>
      </c>
      <c r="AG10" s="66">
        <v>212.64</v>
      </c>
      <c r="AH10" s="66">
        <v>219.72</v>
      </c>
      <c r="AI10" s="66">
        <v>281.43</v>
      </c>
      <c r="AJ10" s="66">
        <v>352.37</v>
      </c>
      <c r="AK10" s="66">
        <v>298.83</v>
      </c>
      <c r="AL10" s="66">
        <v>107.16</v>
      </c>
      <c r="AN10" s="34" t="s">
        <v>441</v>
      </c>
      <c r="AO10" s="66">
        <v>0</v>
      </c>
      <c r="AP10" s="66">
        <v>-5.8380000000000001</v>
      </c>
      <c r="AQ10" s="66">
        <v>-0.92</v>
      </c>
      <c r="AR10" s="66">
        <v>-0.35099999999999998</v>
      </c>
      <c r="AS10" s="68">
        <v>-2.2469999999999999</v>
      </c>
    </row>
    <row r="11" spans="1:45" x14ac:dyDescent="0.3">
      <c r="A11" s="1" t="s">
        <v>199</v>
      </c>
      <c r="B11" s="21">
        <v>-2.4500000000000002</v>
      </c>
      <c r="C11" s="21">
        <v>1.78</v>
      </c>
      <c r="D11" s="21">
        <v>3.85</v>
      </c>
      <c r="E11" s="21">
        <v>1.74</v>
      </c>
      <c r="F11" s="21">
        <v>1.87</v>
      </c>
      <c r="G11" s="21">
        <v>7.18</v>
      </c>
      <c r="I11" s="34" t="s">
        <v>253</v>
      </c>
      <c r="J11" s="66">
        <v>-1</v>
      </c>
      <c r="K11" s="66">
        <v>-1</v>
      </c>
      <c r="L11" s="66">
        <v>-1</v>
      </c>
      <c r="M11" s="66">
        <v>-2</v>
      </c>
      <c r="N11" s="68">
        <v>-3</v>
      </c>
      <c r="P11" s="34" t="s">
        <v>306</v>
      </c>
      <c r="Q11" s="66">
        <v>56.68</v>
      </c>
      <c r="R11" s="66">
        <v>54.61</v>
      </c>
      <c r="S11" s="66">
        <v>-56.22</v>
      </c>
      <c r="T11" s="66">
        <v>4.4000000000000004</v>
      </c>
      <c r="U11" s="66">
        <v>-57.04</v>
      </c>
      <c r="V11" s="68">
        <v>-135.69</v>
      </c>
      <c r="X11" s="34" t="s">
        <v>353</v>
      </c>
      <c r="Y11" s="66">
        <v>0</v>
      </c>
      <c r="Z11" s="66">
        <v>31</v>
      </c>
      <c r="AA11" s="66">
        <v>3</v>
      </c>
      <c r="AB11" s="66">
        <v>4</v>
      </c>
      <c r="AC11" s="66">
        <v>12</v>
      </c>
      <c r="AD11" s="68">
        <v>27</v>
      </c>
      <c r="AF11" s="63" t="s">
        <v>401</v>
      </c>
      <c r="AG11" s="66">
        <v>-4.79</v>
      </c>
      <c r="AH11" s="66">
        <v>0.99</v>
      </c>
      <c r="AI11" s="66">
        <v>-7.92</v>
      </c>
      <c r="AJ11" s="66">
        <v>-134.33000000000001</v>
      </c>
      <c r="AK11" s="66">
        <v>-155.72</v>
      </c>
      <c r="AL11" s="66">
        <v>-104.61</v>
      </c>
      <c r="AN11" s="34" t="s">
        <v>442</v>
      </c>
      <c r="AO11" s="66">
        <v>0</v>
      </c>
      <c r="AP11" s="66">
        <v>0</v>
      </c>
      <c r="AQ11" s="66">
        <v>2.9060000000000001</v>
      </c>
      <c r="AR11" s="66">
        <v>-32.235999999999997</v>
      </c>
      <c r="AS11" s="68">
        <v>-64.614999999999995</v>
      </c>
    </row>
    <row r="12" spans="1:45" x14ac:dyDescent="0.3">
      <c r="A12" s="23" t="s">
        <v>200</v>
      </c>
      <c r="B12" s="25">
        <f>SUM(B3:B11)</f>
        <v>2148.7800000000002</v>
      </c>
      <c r="C12" s="25">
        <f t="shared" ref="C12:G12" si="0">SUM(C3:C11)</f>
        <v>1763.8400000000001</v>
      </c>
      <c r="D12" s="25">
        <f t="shared" si="0"/>
        <v>2515.0899999999997</v>
      </c>
      <c r="E12" s="25">
        <f t="shared" si="0"/>
        <v>3659.04</v>
      </c>
      <c r="F12" s="25">
        <f t="shared" si="0"/>
        <v>4131.380000000001</v>
      </c>
      <c r="G12" s="25">
        <f t="shared" si="0"/>
        <v>4534.9100000000008</v>
      </c>
      <c r="I12" s="34" t="s">
        <v>254</v>
      </c>
      <c r="J12" s="66">
        <v>-139</v>
      </c>
      <c r="K12" s="66">
        <v>-63</v>
      </c>
      <c r="L12" s="66">
        <v>-59</v>
      </c>
      <c r="M12" s="66">
        <v>-99</v>
      </c>
      <c r="N12" s="68">
        <v>-249</v>
      </c>
      <c r="P12" s="34" t="s">
        <v>307</v>
      </c>
      <c r="Q12" s="66">
        <v>37.590000000000003</v>
      </c>
      <c r="R12" s="66">
        <v>29.93</v>
      </c>
      <c r="S12" s="66">
        <v>14.98</v>
      </c>
      <c r="T12" s="66">
        <v>5.96</v>
      </c>
      <c r="U12" s="66">
        <v>14.81</v>
      </c>
      <c r="V12" s="68">
        <v>11.64</v>
      </c>
      <c r="X12" s="34" t="s">
        <v>195</v>
      </c>
      <c r="Y12" s="66">
        <v>-98</v>
      </c>
      <c r="Z12" s="66">
        <v>-61</v>
      </c>
      <c r="AA12" s="66">
        <v>9</v>
      </c>
      <c r="AB12" s="66">
        <v>0</v>
      </c>
      <c r="AC12" s="66">
        <v>0</v>
      </c>
      <c r="AD12" s="68">
        <v>1</v>
      </c>
      <c r="AF12" s="63" t="s">
        <v>402</v>
      </c>
      <c r="AG12" s="66">
        <v>-14.69</v>
      </c>
      <c r="AH12" s="66">
        <v>-4.2699999999999996</v>
      </c>
      <c r="AI12" s="66">
        <v>-4.8499999999999996</v>
      </c>
      <c r="AJ12" s="66">
        <v>-10.16</v>
      </c>
      <c r="AK12" s="66">
        <v>-11.93</v>
      </c>
      <c r="AL12" s="66">
        <v>-28.3</v>
      </c>
      <c r="AN12" s="34" t="s">
        <v>443</v>
      </c>
      <c r="AO12" s="66">
        <v>0</v>
      </c>
      <c r="AP12" s="66">
        <v>25.870999999999999</v>
      </c>
      <c r="AQ12" s="66">
        <v>62.326000000000001</v>
      </c>
      <c r="AR12" s="66">
        <v>7.8609999999999998</v>
      </c>
      <c r="AS12" s="68">
        <v>16.242999999999999</v>
      </c>
    </row>
    <row r="13" spans="1:45" x14ac:dyDescent="0.3">
      <c r="A13" s="18" t="s">
        <v>193</v>
      </c>
      <c r="B13" s="22"/>
      <c r="C13" s="22"/>
      <c r="D13" s="22"/>
      <c r="E13" s="22"/>
      <c r="F13" s="22"/>
      <c r="G13" s="22"/>
      <c r="I13" s="34" t="s">
        <v>255</v>
      </c>
      <c r="J13" s="66">
        <v>118</v>
      </c>
      <c r="K13" s="66">
        <v>117</v>
      </c>
      <c r="L13" s="66">
        <v>106</v>
      </c>
      <c r="M13" s="66">
        <v>114</v>
      </c>
      <c r="N13" s="68">
        <v>317</v>
      </c>
      <c r="P13" s="34" t="s">
        <v>308</v>
      </c>
      <c r="Q13" s="66">
        <v>-2.68</v>
      </c>
      <c r="R13" s="66">
        <v>33.42</v>
      </c>
      <c r="S13" s="66">
        <v>0.93</v>
      </c>
      <c r="T13" s="66">
        <v>0.75</v>
      </c>
      <c r="U13" s="66">
        <v>24.61</v>
      </c>
      <c r="V13" s="68">
        <v>1.95</v>
      </c>
      <c r="X13" s="34" t="s">
        <v>354</v>
      </c>
      <c r="Y13" s="66">
        <v>-32</v>
      </c>
      <c r="Z13" s="66">
        <v>-35</v>
      </c>
      <c r="AA13" s="66">
        <v>-96</v>
      </c>
      <c r="AB13" s="66">
        <v>-143</v>
      </c>
      <c r="AC13" s="66">
        <v>-249</v>
      </c>
      <c r="AD13" s="68">
        <v>-288</v>
      </c>
      <c r="AF13" s="63" t="s">
        <v>403</v>
      </c>
      <c r="AG13" s="66">
        <v>-2.59</v>
      </c>
      <c r="AH13" s="66">
        <v>-0.09</v>
      </c>
      <c r="AI13" s="66">
        <v>-0.52</v>
      </c>
      <c r="AJ13" s="66">
        <v>-1.43</v>
      </c>
      <c r="AK13" s="66">
        <v>-1.4</v>
      </c>
      <c r="AL13" s="66">
        <v>-0.38</v>
      </c>
      <c r="AN13" s="34" t="s">
        <v>444</v>
      </c>
      <c r="AO13" s="66">
        <v>0</v>
      </c>
      <c r="AP13" s="66">
        <v>0</v>
      </c>
      <c r="AQ13" s="66">
        <v>2.5710000000000002</v>
      </c>
      <c r="AR13" s="66">
        <v>84.364000000000004</v>
      </c>
      <c r="AS13" s="68">
        <v>76.195999999999998</v>
      </c>
    </row>
    <row r="14" spans="1:45" x14ac:dyDescent="0.3">
      <c r="A14" s="1" t="s">
        <v>201</v>
      </c>
      <c r="B14" s="21">
        <v>-29.82</v>
      </c>
      <c r="C14" s="21">
        <v>144.68</v>
      </c>
      <c r="D14" s="21">
        <v>11.07</v>
      </c>
      <c r="E14" s="21">
        <v>164.59</v>
      </c>
      <c r="F14" s="21">
        <v>231.02</v>
      </c>
      <c r="G14" s="21">
        <v>86</v>
      </c>
      <c r="I14" s="34" t="s">
        <v>256</v>
      </c>
      <c r="J14" s="66">
        <v>0</v>
      </c>
      <c r="K14" s="66">
        <v>0</v>
      </c>
      <c r="L14" s="66">
        <v>0</v>
      </c>
      <c r="M14" s="66">
        <v>0</v>
      </c>
      <c r="N14" s="68">
        <v>-159</v>
      </c>
      <c r="P14" s="34" t="s">
        <v>309</v>
      </c>
      <c r="Q14" s="66">
        <v>-8.2200000000000006</v>
      </c>
      <c r="R14" s="66">
        <v>6.92</v>
      </c>
      <c r="S14" s="66">
        <v>-17.48</v>
      </c>
      <c r="T14" s="66">
        <v>-49.04</v>
      </c>
      <c r="U14" s="66">
        <v>-27.61</v>
      </c>
      <c r="V14" s="68">
        <v>-121.77</v>
      </c>
      <c r="X14" s="34" t="s">
        <v>355</v>
      </c>
      <c r="Y14" s="66">
        <v>0</v>
      </c>
      <c r="Z14" s="66">
        <v>-22</v>
      </c>
      <c r="AA14" s="66">
        <v>-87</v>
      </c>
      <c r="AB14" s="66">
        <v>-106</v>
      </c>
      <c r="AC14" s="66">
        <v>-203</v>
      </c>
      <c r="AD14" s="68">
        <v>-157</v>
      </c>
      <c r="AF14" s="63" t="s">
        <v>404</v>
      </c>
      <c r="AG14" s="66">
        <v>-1.1000000000000001</v>
      </c>
      <c r="AH14" s="66">
        <v>-0.65</v>
      </c>
      <c r="AI14" s="66">
        <v>-1.55</v>
      </c>
      <c r="AJ14" s="66">
        <v>-1.58</v>
      </c>
      <c r="AK14" s="66">
        <v>-6.64</v>
      </c>
      <c r="AL14" s="66">
        <v>-9.2100000000000009</v>
      </c>
      <c r="AN14" s="34" t="s">
        <v>445</v>
      </c>
      <c r="AO14" s="66">
        <v>1.4350000000000001</v>
      </c>
      <c r="AP14" s="66">
        <v>5.8920000000000003</v>
      </c>
      <c r="AQ14" s="66">
        <v>7.351</v>
      </c>
      <c r="AR14" s="66">
        <v>0.32400000000000001</v>
      </c>
      <c r="AS14" s="68">
        <v>2.8730000000000002</v>
      </c>
    </row>
    <row r="15" spans="1:45" x14ac:dyDescent="0.3">
      <c r="A15" s="1" t="s">
        <v>202</v>
      </c>
      <c r="B15" s="21">
        <v>-3.04</v>
      </c>
      <c r="C15" s="21">
        <v>6.24</v>
      </c>
      <c r="D15" s="21">
        <v>6.53</v>
      </c>
      <c r="E15" s="21">
        <v>7.99</v>
      </c>
      <c r="F15" s="21">
        <v>-1.24</v>
      </c>
      <c r="G15" s="21">
        <v>-23.23</v>
      </c>
      <c r="I15" s="34" t="s">
        <v>257</v>
      </c>
      <c r="J15" s="66">
        <v>2</v>
      </c>
      <c r="K15" s="66">
        <v>-1</v>
      </c>
      <c r="L15" s="66">
        <v>-1</v>
      </c>
      <c r="M15" s="66">
        <v>1</v>
      </c>
      <c r="N15" s="68">
        <v>0</v>
      </c>
      <c r="P15" s="34" t="s">
        <v>310</v>
      </c>
      <c r="Q15" s="66">
        <v>-974.03</v>
      </c>
      <c r="R15" s="66">
        <v>-1144.02</v>
      </c>
      <c r="S15" s="66">
        <v>-538.99</v>
      </c>
      <c r="T15" s="66">
        <v>-393.97</v>
      </c>
      <c r="U15" s="66">
        <v>-840.17</v>
      </c>
      <c r="V15" s="68">
        <v>-896.84</v>
      </c>
      <c r="X15" s="34" t="s">
        <v>356</v>
      </c>
      <c r="Y15" s="66">
        <v>-9</v>
      </c>
      <c r="Z15" s="66">
        <v>-13</v>
      </c>
      <c r="AA15" s="66">
        <v>-20</v>
      </c>
      <c r="AB15" s="66">
        <v>-14</v>
      </c>
      <c r="AC15" s="66">
        <v>-27</v>
      </c>
      <c r="AD15" s="68">
        <v>-11</v>
      </c>
      <c r="AF15" s="63" t="s">
        <v>405</v>
      </c>
      <c r="AG15" s="66">
        <v>-3.44</v>
      </c>
      <c r="AH15" s="66">
        <v>-4.4000000000000004</v>
      </c>
      <c r="AI15" s="66">
        <v>-1.1000000000000001</v>
      </c>
      <c r="AJ15" s="66">
        <v>-4.7699999999999996</v>
      </c>
      <c r="AK15" s="66">
        <v>-4.03</v>
      </c>
      <c r="AL15" s="66">
        <v>-4.34</v>
      </c>
      <c r="AN15" s="34" t="s">
        <v>446</v>
      </c>
      <c r="AO15" s="66">
        <v>1.194</v>
      </c>
      <c r="AP15" s="66">
        <v>0</v>
      </c>
      <c r="AQ15" s="66">
        <v>0</v>
      </c>
      <c r="AR15" s="66">
        <v>6.9470000000000001</v>
      </c>
      <c r="AS15" s="68">
        <v>8.4849999999999994</v>
      </c>
    </row>
    <row r="16" spans="1:45" x14ac:dyDescent="0.3">
      <c r="A16" s="1" t="s">
        <v>203</v>
      </c>
      <c r="B16" s="21">
        <v>24.28</v>
      </c>
      <c r="C16" s="21">
        <v>48.87</v>
      </c>
      <c r="D16" s="21">
        <v>-6.91</v>
      </c>
      <c r="E16" s="21">
        <v>-7.11</v>
      </c>
      <c r="F16" s="21">
        <v>39.92</v>
      </c>
      <c r="G16" s="21">
        <v>43.17</v>
      </c>
      <c r="I16" s="34" t="s">
        <v>258</v>
      </c>
      <c r="J16" s="66">
        <v>0</v>
      </c>
      <c r="K16" s="66">
        <v>0</v>
      </c>
      <c r="L16" s="66">
        <v>-29</v>
      </c>
      <c r="M16" s="66">
        <v>-60</v>
      </c>
      <c r="N16" s="68">
        <v>0</v>
      </c>
      <c r="P16" s="34" t="s">
        <v>311</v>
      </c>
      <c r="Q16" s="66">
        <v>-9.49</v>
      </c>
      <c r="R16" s="66">
        <v>-6.42</v>
      </c>
      <c r="S16" s="66">
        <v>-8.98</v>
      </c>
      <c r="T16" s="66">
        <v>31.37</v>
      </c>
      <c r="U16" s="66">
        <v>-13.38</v>
      </c>
      <c r="V16" s="68">
        <v>6.78</v>
      </c>
      <c r="X16" s="34" t="s">
        <v>357</v>
      </c>
      <c r="Y16" s="66">
        <v>0</v>
      </c>
      <c r="Z16" s="66">
        <v>-61</v>
      </c>
      <c r="AA16" s="66">
        <v>-34</v>
      </c>
      <c r="AB16" s="66">
        <v>-2</v>
      </c>
      <c r="AC16" s="66">
        <v>-1</v>
      </c>
      <c r="AD16" s="68">
        <v>1</v>
      </c>
      <c r="AF16" s="63" t="s">
        <v>406</v>
      </c>
      <c r="AG16" s="66">
        <v>30.43</v>
      </c>
      <c r="AH16" s="66">
        <v>71.36</v>
      </c>
      <c r="AI16" s="66">
        <v>-5.14</v>
      </c>
      <c r="AJ16" s="66">
        <v>-83.47</v>
      </c>
      <c r="AK16" s="66">
        <v>-123.57</v>
      </c>
      <c r="AL16" s="66">
        <f>-86.5-16.8</f>
        <v>-103.3</v>
      </c>
      <c r="AN16" s="34" t="s">
        <v>447</v>
      </c>
      <c r="AO16" s="66">
        <v>5.3090000000000002</v>
      </c>
      <c r="AP16" s="66">
        <v>0</v>
      </c>
      <c r="AQ16" s="66">
        <v>0</v>
      </c>
      <c r="AR16" s="66">
        <v>0.32600000000000001</v>
      </c>
      <c r="AS16" s="68">
        <v>-49.314999999999998</v>
      </c>
    </row>
    <row r="17" spans="1:45" x14ac:dyDescent="0.3">
      <c r="A17" s="1" t="s">
        <v>204</v>
      </c>
      <c r="B17" s="21">
        <v>-2.2400000000000002</v>
      </c>
      <c r="C17" s="21">
        <v>20.03</v>
      </c>
      <c r="D17" s="21">
        <v>17.64</v>
      </c>
      <c r="E17" s="21">
        <v>62.81</v>
      </c>
      <c r="F17" s="21">
        <v>-25.44</v>
      </c>
      <c r="G17" s="21">
        <v>42.88</v>
      </c>
      <c r="I17" s="34" t="s">
        <v>259</v>
      </c>
      <c r="J17" s="66">
        <v>0</v>
      </c>
      <c r="K17" s="66">
        <v>0</v>
      </c>
      <c r="L17" s="66">
        <v>0</v>
      </c>
      <c r="M17" s="66">
        <v>-1</v>
      </c>
      <c r="N17" s="68">
        <v>-1</v>
      </c>
      <c r="P17" s="34" t="s">
        <v>312</v>
      </c>
      <c r="Q17" s="66">
        <v>-0.15</v>
      </c>
      <c r="R17" s="66">
        <v>-4.67</v>
      </c>
      <c r="S17" s="66">
        <v>0</v>
      </c>
      <c r="T17" s="66">
        <v>1.42</v>
      </c>
      <c r="U17" s="66">
        <v>0.06</v>
      </c>
      <c r="V17" s="68">
        <v>7.87</v>
      </c>
      <c r="X17" s="34" t="s">
        <v>131</v>
      </c>
      <c r="Y17" s="66">
        <v>166</v>
      </c>
      <c r="Z17" s="66">
        <v>203</v>
      </c>
      <c r="AA17" s="66">
        <v>218</v>
      </c>
      <c r="AB17" s="66">
        <v>300</v>
      </c>
      <c r="AC17" s="66">
        <v>619</v>
      </c>
      <c r="AD17" s="68">
        <v>953</v>
      </c>
      <c r="AF17" s="63" t="s">
        <v>407</v>
      </c>
      <c r="AG17" s="66">
        <v>-22.3</v>
      </c>
      <c r="AH17" s="66">
        <v>-18.48</v>
      </c>
      <c r="AI17" s="66">
        <f>-25.94-64.74</f>
        <v>-90.679999999999993</v>
      </c>
      <c r="AJ17" s="66">
        <f>-0.95-0.26</f>
        <v>-1.21</v>
      </c>
      <c r="AK17" s="66">
        <v>-42.39</v>
      </c>
      <c r="AL17" s="66">
        <v>-51.64</v>
      </c>
      <c r="AN17" s="34" t="s">
        <v>448</v>
      </c>
      <c r="AO17" s="66">
        <v>-29.42</v>
      </c>
      <c r="AP17" s="66">
        <v>-109.85</v>
      </c>
      <c r="AQ17" s="66">
        <v>-128.768</v>
      </c>
      <c r="AR17" s="66">
        <v>0</v>
      </c>
      <c r="AS17" s="68">
        <v>0</v>
      </c>
    </row>
    <row r="18" spans="1:45" x14ac:dyDescent="0.3">
      <c r="A18" s="1" t="s">
        <v>205</v>
      </c>
      <c r="B18" s="21">
        <v>0.43</v>
      </c>
      <c r="C18" s="21">
        <v>0.97</v>
      </c>
      <c r="D18" s="21">
        <v>2.42</v>
      </c>
      <c r="E18" s="21">
        <v>1.54</v>
      </c>
      <c r="F18" s="21">
        <v>2.77</v>
      </c>
      <c r="G18" s="21">
        <v>3.49</v>
      </c>
      <c r="I18" s="34" t="s">
        <v>260</v>
      </c>
      <c r="J18" s="66">
        <v>0</v>
      </c>
      <c r="K18" s="66">
        <v>0</v>
      </c>
      <c r="L18" s="66">
        <v>0</v>
      </c>
      <c r="M18" s="66">
        <v>1</v>
      </c>
      <c r="N18" s="68">
        <v>4</v>
      </c>
      <c r="P18" s="63" t="s">
        <v>344</v>
      </c>
      <c r="Q18" s="72">
        <v>0</v>
      </c>
      <c r="R18" s="72">
        <v>0</v>
      </c>
      <c r="S18" s="72">
        <v>0</v>
      </c>
      <c r="T18" s="72">
        <v>0</v>
      </c>
      <c r="U18" s="72">
        <v>-9.84</v>
      </c>
      <c r="V18" s="72">
        <v>0</v>
      </c>
      <c r="X18" s="34"/>
      <c r="Y18" s="66"/>
      <c r="Z18" s="66"/>
      <c r="AA18" s="66"/>
      <c r="AB18" s="66"/>
      <c r="AC18" s="66"/>
      <c r="AD18" s="68"/>
      <c r="AF18" s="63" t="s">
        <v>408</v>
      </c>
      <c r="AG18" s="66">
        <v>0.21</v>
      </c>
      <c r="AH18" s="66">
        <v>0.99</v>
      </c>
      <c r="AI18" s="66">
        <v>0.32</v>
      </c>
      <c r="AJ18" s="66">
        <v>0.17</v>
      </c>
      <c r="AK18" s="66">
        <v>1.77</v>
      </c>
      <c r="AL18" s="66">
        <v>0.64</v>
      </c>
      <c r="AN18" s="35" t="s">
        <v>200</v>
      </c>
      <c r="AO18" s="67">
        <f>SUM(AO3,AO5:AO17)</f>
        <v>1200.3499999999999</v>
      </c>
      <c r="AP18" s="67">
        <f t="shared" ref="AP18:AS18" si="1">SUM(AP3,AP5:AP17)</f>
        <v>1624.3960000000004</v>
      </c>
      <c r="AQ18" s="67">
        <f t="shared" si="1"/>
        <v>2749.2850000000003</v>
      </c>
      <c r="AR18" s="67">
        <f t="shared" si="1"/>
        <v>3732.2709</v>
      </c>
      <c r="AS18" s="69">
        <f t="shared" si="1"/>
        <v>4778.0582000000004</v>
      </c>
    </row>
    <row r="19" spans="1:45" x14ac:dyDescent="0.3">
      <c r="A19" s="1" t="s">
        <v>206</v>
      </c>
      <c r="B19" s="21">
        <v>-0.31</v>
      </c>
      <c r="C19" s="21">
        <v>-0.03</v>
      </c>
      <c r="D19" s="21">
        <v>-0.03</v>
      </c>
      <c r="E19" s="21">
        <v>0.06</v>
      </c>
      <c r="F19" s="21">
        <v>-0.1</v>
      </c>
      <c r="G19" s="21">
        <v>0.12</v>
      </c>
      <c r="I19" s="34" t="s">
        <v>261</v>
      </c>
      <c r="J19" s="66">
        <v>0</v>
      </c>
      <c r="K19" s="66">
        <v>0</v>
      </c>
      <c r="L19" s="66">
        <v>0</v>
      </c>
      <c r="M19" s="66">
        <v>2</v>
      </c>
      <c r="N19" s="68">
        <v>0</v>
      </c>
      <c r="P19" s="63" t="s">
        <v>345</v>
      </c>
      <c r="Q19" s="72">
        <v>0</v>
      </c>
      <c r="R19" s="72">
        <v>0</v>
      </c>
      <c r="S19" s="72">
        <v>0</v>
      </c>
      <c r="T19" s="72">
        <v>0</v>
      </c>
      <c r="U19" s="72">
        <v>0</v>
      </c>
      <c r="V19" s="72">
        <v>-15583.12</v>
      </c>
      <c r="X19" s="35" t="s">
        <v>200</v>
      </c>
      <c r="Y19" s="67">
        <f>SUM(Y4,Y6:Y17)</f>
        <v>2481</v>
      </c>
      <c r="Z19" s="67">
        <f t="shared" ref="Z19:AD19" si="2">SUM(Z4,Z6:Z17)</f>
        <v>1789</v>
      </c>
      <c r="AA19" s="67">
        <f t="shared" si="2"/>
        <v>3298</v>
      </c>
      <c r="AB19" s="67">
        <f t="shared" si="2"/>
        <v>4937</v>
      </c>
      <c r="AC19" s="67">
        <f t="shared" si="2"/>
        <v>5404</v>
      </c>
      <c r="AD19" s="69">
        <f t="shared" si="2"/>
        <v>5774</v>
      </c>
      <c r="AF19" s="63" t="s">
        <v>409</v>
      </c>
      <c r="AG19" s="66">
        <v>-0.52</v>
      </c>
      <c r="AH19" s="66">
        <v>-0.48</v>
      </c>
      <c r="AI19" s="66">
        <v>-0.59</v>
      </c>
      <c r="AJ19" s="66">
        <v>-0.97</v>
      </c>
      <c r="AK19" s="66">
        <v>-1.33</v>
      </c>
      <c r="AL19" s="66">
        <v>-1.04</v>
      </c>
      <c r="AN19" s="19" t="s">
        <v>449</v>
      </c>
      <c r="AO19" s="26"/>
      <c r="AP19" s="26"/>
      <c r="AQ19" s="26"/>
      <c r="AR19" s="26"/>
      <c r="AS19" s="26"/>
    </row>
    <row r="20" spans="1:45" x14ac:dyDescent="0.3">
      <c r="A20" s="1" t="s">
        <v>207</v>
      </c>
      <c r="B20" s="21">
        <v>44.82</v>
      </c>
      <c r="C20" s="21">
        <v>-24.03</v>
      </c>
      <c r="D20" s="21">
        <v>-23.31</v>
      </c>
      <c r="E20" s="21">
        <v>4.7300000000000004</v>
      </c>
      <c r="F20" s="21">
        <v>-104.21</v>
      </c>
      <c r="G20" s="21">
        <v>12.58</v>
      </c>
      <c r="I20" s="63" t="s">
        <v>301</v>
      </c>
      <c r="J20" s="72">
        <v>-104</v>
      </c>
      <c r="K20" s="72">
        <v>13</v>
      </c>
      <c r="L20" s="72">
        <v>0</v>
      </c>
      <c r="M20" s="72">
        <v>184</v>
      </c>
      <c r="N20" s="72">
        <v>167</v>
      </c>
      <c r="P20" s="63" t="s">
        <v>346</v>
      </c>
      <c r="Q20" s="72">
        <v>0</v>
      </c>
      <c r="R20" s="72">
        <v>0</v>
      </c>
      <c r="S20" s="72">
        <v>0</v>
      </c>
      <c r="T20" s="72">
        <v>0</v>
      </c>
      <c r="U20" s="72">
        <v>156.12</v>
      </c>
      <c r="V20" s="72">
        <v>235.05</v>
      </c>
      <c r="X20" s="18" t="s">
        <v>193</v>
      </c>
      <c r="Y20" s="22"/>
      <c r="Z20" s="22"/>
      <c r="AA20" s="22"/>
      <c r="AB20" s="22"/>
      <c r="AC20" s="22"/>
      <c r="AD20" s="22"/>
      <c r="AF20" s="63" t="s">
        <v>410</v>
      </c>
      <c r="AG20" s="66">
        <v>-2.73</v>
      </c>
      <c r="AH20" s="66">
        <v>1.1000000000000001</v>
      </c>
      <c r="AI20" s="66">
        <v>-2.0099999999999998</v>
      </c>
      <c r="AJ20" s="66">
        <v>0.19</v>
      </c>
      <c r="AK20" s="66">
        <v>-4.78</v>
      </c>
      <c r="AL20" s="66">
        <v>-5.13</v>
      </c>
      <c r="AN20" s="34" t="s">
        <v>208</v>
      </c>
      <c r="AO20" s="66">
        <v>-47.290999999999997</v>
      </c>
      <c r="AP20" s="66">
        <v>-519.28300000000002</v>
      </c>
      <c r="AQ20" s="66">
        <v>-556.83299999999997</v>
      </c>
      <c r="AR20" s="66">
        <v>-160.173</v>
      </c>
      <c r="AS20" s="68">
        <v>-478.77</v>
      </c>
    </row>
    <row r="21" spans="1:45" x14ac:dyDescent="0.3">
      <c r="A21" s="1" t="s">
        <v>208</v>
      </c>
      <c r="B21" s="21">
        <v>-338.75</v>
      </c>
      <c r="C21" s="21">
        <v>-300.88</v>
      </c>
      <c r="D21" s="21">
        <v>-494.38</v>
      </c>
      <c r="E21" s="21">
        <v>-500.82</v>
      </c>
      <c r="F21" s="21">
        <v>-683.83</v>
      </c>
      <c r="G21" s="21">
        <v>-1117.06</v>
      </c>
      <c r="I21" s="34" t="s">
        <v>262</v>
      </c>
      <c r="J21" s="72">
        <v>138</v>
      </c>
      <c r="K21" s="72">
        <v>201</v>
      </c>
      <c r="L21" s="72">
        <v>156</v>
      </c>
      <c r="M21" s="72">
        <v>-27</v>
      </c>
      <c r="N21" s="73">
        <v>-11</v>
      </c>
      <c r="P21" s="63"/>
      <c r="Q21" s="72"/>
      <c r="R21" s="72"/>
      <c r="S21" s="72"/>
      <c r="T21" s="72"/>
      <c r="U21" s="72"/>
      <c r="V21" s="72"/>
      <c r="X21" s="34" t="s">
        <v>207</v>
      </c>
      <c r="Y21" s="66">
        <v>109</v>
      </c>
      <c r="Z21" s="66">
        <v>-59</v>
      </c>
      <c r="AA21" s="66">
        <v>-207</v>
      </c>
      <c r="AB21" s="66">
        <v>-112</v>
      </c>
      <c r="AC21" s="66">
        <v>-348</v>
      </c>
      <c r="AD21" s="68">
        <v>-95</v>
      </c>
      <c r="AF21" s="63" t="s">
        <v>411</v>
      </c>
      <c r="AG21" s="66">
        <v>-3.32</v>
      </c>
      <c r="AH21" s="66">
        <v>-4.7300000000000004</v>
      </c>
      <c r="AI21" s="66">
        <v>-3.59</v>
      </c>
      <c r="AJ21" s="66">
        <v>-1.76</v>
      </c>
      <c r="AK21" s="66">
        <v>-7.22</v>
      </c>
      <c r="AL21" s="66">
        <v>-11.75</v>
      </c>
      <c r="AN21" s="34" t="s">
        <v>450</v>
      </c>
      <c r="AO21" s="66">
        <v>-75.745000000000005</v>
      </c>
      <c r="AP21" s="66">
        <v>14.656000000000001</v>
      </c>
      <c r="AQ21" s="66">
        <v>-123.38</v>
      </c>
      <c r="AR21" s="66">
        <v>-73.018000000000001</v>
      </c>
      <c r="AS21" s="68">
        <v>-133.215</v>
      </c>
    </row>
    <row r="22" spans="1:45" x14ac:dyDescent="0.3">
      <c r="A22" s="1" t="s">
        <v>245</v>
      </c>
      <c r="B22" s="81">
        <v>0</v>
      </c>
      <c r="C22" s="81">
        <v>0</v>
      </c>
      <c r="D22" s="81">
        <v>0</v>
      </c>
      <c r="E22" s="81">
        <v>0</v>
      </c>
      <c r="F22" s="81">
        <v>-19.399999999999999</v>
      </c>
      <c r="G22" s="81">
        <v>-24.97</v>
      </c>
      <c r="I22" s="34" t="s">
        <v>263</v>
      </c>
      <c r="J22" s="72">
        <v>11</v>
      </c>
      <c r="K22" s="72">
        <v>77</v>
      </c>
      <c r="L22" s="72">
        <v>-15</v>
      </c>
      <c r="M22" s="72">
        <v>-8</v>
      </c>
      <c r="N22" s="73">
        <v>-10</v>
      </c>
      <c r="P22" s="35" t="s">
        <v>200</v>
      </c>
      <c r="Q22" s="67">
        <f>SUM(Q4,Q6:Q21)</f>
        <v>19416.409999999996</v>
      </c>
      <c r="R22" s="67">
        <f t="shared" ref="R22:V22" si="3">SUM(R4,R6:R21)</f>
        <v>17326.400000000001</v>
      </c>
      <c r="S22" s="67">
        <f t="shared" si="3"/>
        <v>20857.009999999998</v>
      </c>
      <c r="T22" s="67">
        <f t="shared" si="3"/>
        <v>25894.609999999993</v>
      </c>
      <c r="U22" s="67">
        <f t="shared" si="3"/>
        <v>26635.449999999997</v>
      </c>
      <c r="V22" s="67">
        <f t="shared" si="3"/>
        <v>26719.24</v>
      </c>
      <c r="X22" s="34" t="s">
        <v>358</v>
      </c>
      <c r="Y22" s="66">
        <v>-1057</v>
      </c>
      <c r="Z22" s="66">
        <v>-316</v>
      </c>
      <c r="AA22" s="66">
        <v>-5199</v>
      </c>
      <c r="AB22" s="66">
        <v>-2977</v>
      </c>
      <c r="AC22" s="66">
        <v>-2462</v>
      </c>
      <c r="AD22" s="68">
        <v>-9072</v>
      </c>
      <c r="AF22" s="63" t="s">
        <v>412</v>
      </c>
      <c r="AG22" s="66">
        <v>-61.07</v>
      </c>
      <c r="AH22" s="66">
        <v>-57.7</v>
      </c>
      <c r="AI22" s="66">
        <v>-46.47</v>
      </c>
      <c r="AJ22" s="66">
        <v>-87.48</v>
      </c>
      <c r="AK22" s="66">
        <v>-52.35</v>
      </c>
      <c r="AL22" s="66">
        <v>-0.7</v>
      </c>
      <c r="AN22" s="34" t="s">
        <v>451</v>
      </c>
      <c r="AO22" s="66">
        <v>24.468</v>
      </c>
      <c r="AP22" s="66">
        <v>-92.185000000000002</v>
      </c>
      <c r="AQ22" s="66">
        <v>-325.71300000000002</v>
      </c>
      <c r="AR22" s="66">
        <v>-457.21800000000002</v>
      </c>
      <c r="AS22" s="68">
        <v>-522.42999999999995</v>
      </c>
    </row>
    <row r="23" spans="1:45" x14ac:dyDescent="0.3">
      <c r="A23" s="1" t="s">
        <v>209</v>
      </c>
      <c r="B23" s="81">
        <v>1.85</v>
      </c>
      <c r="C23" s="81">
        <v>11.73</v>
      </c>
      <c r="D23" s="81">
        <v>-2.98</v>
      </c>
      <c r="E23" s="81">
        <v>0</v>
      </c>
      <c r="F23" s="81">
        <v>0</v>
      </c>
      <c r="G23" s="81">
        <v>0</v>
      </c>
      <c r="I23" s="34" t="s">
        <v>264</v>
      </c>
      <c r="J23" s="72">
        <v>-12</v>
      </c>
      <c r="K23" s="72">
        <v>14</v>
      </c>
      <c r="L23" s="72">
        <v>-4</v>
      </c>
      <c r="M23" s="72">
        <v>0</v>
      </c>
      <c r="N23" s="73">
        <v>0</v>
      </c>
      <c r="P23" s="18" t="s">
        <v>304</v>
      </c>
      <c r="Q23" s="22"/>
      <c r="R23" s="22"/>
      <c r="S23" s="22"/>
      <c r="T23" s="22"/>
      <c r="U23" s="22"/>
      <c r="V23" s="22"/>
      <c r="X23" s="34" t="s">
        <v>359</v>
      </c>
      <c r="Y23" s="66">
        <v>-20</v>
      </c>
      <c r="Z23" s="66">
        <v>-8</v>
      </c>
      <c r="AA23" s="66">
        <v>-3</v>
      </c>
      <c r="AB23" s="66">
        <v>-18</v>
      </c>
      <c r="AC23" s="66">
        <v>-21</v>
      </c>
      <c r="AD23" s="68">
        <v>4</v>
      </c>
      <c r="AF23" s="77" t="s">
        <v>200</v>
      </c>
      <c r="AG23" s="67">
        <f>SUM(AG4,AG6:AG22)</f>
        <v>542.02999999999986</v>
      </c>
      <c r="AH23" s="67">
        <f t="shared" ref="AH23:AL23" si="4">SUM(AH4,AH6:AH22)</f>
        <v>268.72000000000014</v>
      </c>
      <c r="AI23" s="67">
        <f t="shared" si="4"/>
        <v>569.46000000000015</v>
      </c>
      <c r="AJ23" s="67">
        <f t="shared" si="4"/>
        <v>1079.03</v>
      </c>
      <c r="AK23" s="67">
        <f t="shared" si="4"/>
        <v>1919.3700000000003</v>
      </c>
      <c r="AL23" s="67">
        <f t="shared" si="4"/>
        <v>2722.6799999999994</v>
      </c>
      <c r="AN23" s="34" t="s">
        <v>452</v>
      </c>
      <c r="AO23" s="66">
        <v>-12.276</v>
      </c>
      <c r="AP23" s="66">
        <v>328.06599999999997</v>
      </c>
      <c r="AQ23" s="66">
        <v>420.733</v>
      </c>
      <c r="AR23" s="66">
        <v>16.928000000000001</v>
      </c>
      <c r="AS23" s="68">
        <v>465.02699999999999</v>
      </c>
    </row>
    <row r="24" spans="1:45" x14ac:dyDescent="0.3">
      <c r="A24" s="1" t="s">
        <v>210</v>
      </c>
      <c r="B24" s="81">
        <v>-11.33</v>
      </c>
      <c r="C24" s="81">
        <v>-15.26</v>
      </c>
      <c r="D24" s="81">
        <v>-6.79</v>
      </c>
      <c r="E24" s="81">
        <v>-18.989999999999998</v>
      </c>
      <c r="F24" s="81">
        <v>-28.23</v>
      </c>
      <c r="G24" s="81">
        <v>-50.92</v>
      </c>
      <c r="I24" s="35" t="s">
        <v>200</v>
      </c>
      <c r="J24" s="67">
        <f>SUM(J4,J6:J23)</f>
        <v>9723</v>
      </c>
      <c r="K24" s="67">
        <f>SUM(K4:K23)</f>
        <v>11672</v>
      </c>
      <c r="L24" s="67">
        <f>SUM(L4:L23)</f>
        <v>12829</v>
      </c>
      <c r="M24" s="67">
        <f>SUM(M4:M23)</f>
        <v>14089</v>
      </c>
      <c r="N24" s="69">
        <f>SUM(N4:N23)</f>
        <v>14537</v>
      </c>
      <c r="P24" s="34" t="s">
        <v>313</v>
      </c>
      <c r="Q24" s="72">
        <v>1411</v>
      </c>
      <c r="R24" s="72">
        <v>-65.599999999999994</v>
      </c>
      <c r="S24" s="72">
        <v>-732.29</v>
      </c>
      <c r="T24" s="72">
        <v>-884.21</v>
      </c>
      <c r="U24" s="72">
        <v>-933.64</v>
      </c>
      <c r="V24" s="73">
        <v>-1022.8</v>
      </c>
      <c r="X24" s="34" t="s">
        <v>360</v>
      </c>
      <c r="Y24" s="66">
        <v>-336</v>
      </c>
      <c r="Z24" s="66">
        <v>237</v>
      </c>
      <c r="AA24" s="66">
        <v>-29</v>
      </c>
      <c r="AB24" s="66">
        <v>74</v>
      </c>
      <c r="AC24" s="66">
        <v>-130</v>
      </c>
      <c r="AD24" s="68">
        <v>75</v>
      </c>
      <c r="AF24" s="18" t="s">
        <v>193</v>
      </c>
      <c r="AG24" s="76"/>
      <c r="AH24" s="76"/>
      <c r="AI24" s="76"/>
      <c r="AJ24" s="76"/>
      <c r="AK24" s="76"/>
      <c r="AL24" s="76"/>
      <c r="AN24" s="35" t="s">
        <v>453</v>
      </c>
      <c r="AO24" s="67">
        <f>SUM(AO18,AO19:AO23)</f>
        <v>1089.5059999999999</v>
      </c>
      <c r="AP24" s="67">
        <f t="shared" ref="AP24:AS24" si="5">SUM(AP18,AP19:AP23)</f>
        <v>1355.6500000000003</v>
      </c>
      <c r="AQ24" s="67">
        <f t="shared" si="5"/>
        <v>2164.0920000000001</v>
      </c>
      <c r="AR24" s="67">
        <f t="shared" si="5"/>
        <v>3058.7898999999998</v>
      </c>
      <c r="AS24" s="69">
        <f t="shared" si="5"/>
        <v>4108.6702000000005</v>
      </c>
    </row>
    <row r="25" spans="1:45" x14ac:dyDescent="0.3">
      <c r="A25" s="1" t="s">
        <v>211</v>
      </c>
      <c r="B25" s="81">
        <v>-0.5</v>
      </c>
      <c r="C25" s="81">
        <v>-2.0699999999999998</v>
      </c>
      <c r="D25" s="81">
        <v>-48.96</v>
      </c>
      <c r="E25" s="81">
        <v>-48.71</v>
      </c>
      <c r="F25" s="81">
        <v>-0.04</v>
      </c>
      <c r="G25" s="81">
        <v>-0.15</v>
      </c>
      <c r="I25" s="18" t="s">
        <v>193</v>
      </c>
      <c r="J25" s="22"/>
      <c r="K25" s="22"/>
      <c r="L25" s="22"/>
      <c r="M25" s="22"/>
      <c r="N25" s="22"/>
      <c r="P25" s="34" t="s">
        <v>314</v>
      </c>
      <c r="Q25" s="72">
        <v>-507.99</v>
      </c>
      <c r="R25" s="72">
        <v>-1459.78</v>
      </c>
      <c r="S25" s="72">
        <v>-466.37</v>
      </c>
      <c r="T25" s="72">
        <v>-940.54</v>
      </c>
      <c r="U25" s="72">
        <v>-2544.87</v>
      </c>
      <c r="V25" s="73">
        <v>-2975.38</v>
      </c>
      <c r="X25" s="34" t="s">
        <v>361</v>
      </c>
      <c r="Y25" s="66">
        <v>36</v>
      </c>
      <c r="Z25" s="66">
        <v>-62</v>
      </c>
      <c r="AA25" s="66">
        <v>-223</v>
      </c>
      <c r="AB25" s="66">
        <v>-363</v>
      </c>
      <c r="AC25" s="66">
        <v>-481</v>
      </c>
      <c r="AD25" s="68">
        <v>-235</v>
      </c>
      <c r="AF25" s="63" t="s">
        <v>414</v>
      </c>
      <c r="AG25" s="66">
        <v>-88.96</v>
      </c>
      <c r="AH25" s="66">
        <v>179.42</v>
      </c>
      <c r="AI25" s="66">
        <v>-439.39</v>
      </c>
      <c r="AJ25" s="66">
        <v>-494.44</v>
      </c>
      <c r="AK25" s="66">
        <v>-221.57</v>
      </c>
      <c r="AL25" s="66">
        <v>-462.28</v>
      </c>
      <c r="AN25" s="34" t="s">
        <v>316</v>
      </c>
      <c r="AO25" s="66">
        <v>-77.519000000000005</v>
      </c>
      <c r="AP25" s="66">
        <v>-124.22799999999999</v>
      </c>
      <c r="AQ25" s="66">
        <v>-373.32900000000001</v>
      </c>
      <c r="AR25" s="66">
        <v>-667.93899999999996</v>
      </c>
      <c r="AS25" s="68">
        <v>-727.56600000000003</v>
      </c>
    </row>
    <row r="26" spans="1:45" x14ac:dyDescent="0.3">
      <c r="A26" s="1" t="s">
        <v>212</v>
      </c>
      <c r="B26" s="81">
        <v>-42.43</v>
      </c>
      <c r="C26" s="81">
        <v>-4.79</v>
      </c>
      <c r="D26" s="81">
        <v>-37.409999999999997</v>
      </c>
      <c r="E26" s="81">
        <v>13.91</v>
      </c>
      <c r="F26" s="81">
        <v>-19.559999999999999</v>
      </c>
      <c r="G26" s="81">
        <v>-71.209999999999994</v>
      </c>
      <c r="I26" s="34" t="s">
        <v>265</v>
      </c>
      <c r="J26" s="72">
        <v>-19</v>
      </c>
      <c r="K26" s="72">
        <v>-4</v>
      </c>
      <c r="L26" s="72">
        <v>3</v>
      </c>
      <c r="M26" s="72">
        <v>-14</v>
      </c>
      <c r="N26" s="73">
        <v>-30</v>
      </c>
      <c r="P26" s="34" t="s">
        <v>315</v>
      </c>
      <c r="Q26" s="72">
        <v>-606.87</v>
      </c>
      <c r="R26" s="72">
        <v>1112.5999999999999</v>
      </c>
      <c r="S26" s="72">
        <v>1099.1099999999999</v>
      </c>
      <c r="T26" s="72">
        <v>1057.93</v>
      </c>
      <c r="U26" s="72">
        <v>141.47999999999999</v>
      </c>
      <c r="V26" s="73">
        <v>1256.18</v>
      </c>
      <c r="X26" s="34" t="s">
        <v>362</v>
      </c>
      <c r="Y26" s="66">
        <v>-768</v>
      </c>
      <c r="Z26" s="66">
        <v>2625</v>
      </c>
      <c r="AA26" s="66">
        <f>1188+1</f>
        <v>1189</v>
      </c>
      <c r="AB26" s="66">
        <v>-99</v>
      </c>
      <c r="AC26" s="66">
        <v>42</v>
      </c>
      <c r="AD26" s="68">
        <v>2468</v>
      </c>
      <c r="AF26" s="63" t="s">
        <v>415</v>
      </c>
      <c r="AG26" s="66">
        <v>-19.89</v>
      </c>
      <c r="AH26" s="66">
        <v>-38.86</v>
      </c>
      <c r="AI26" s="66">
        <v>-102.62</v>
      </c>
      <c r="AJ26" s="66">
        <v>-101.23</v>
      </c>
      <c r="AK26" s="66">
        <v>-207.69</v>
      </c>
      <c r="AL26" s="66">
        <v>-202.76</v>
      </c>
      <c r="AN26" s="35" t="s">
        <v>454</v>
      </c>
      <c r="AO26" s="67">
        <f>AO24+AO25</f>
        <v>1011.9869999999999</v>
      </c>
      <c r="AP26" s="67">
        <f t="shared" ref="AP26:AS26" si="6">AP24+AP25</f>
        <v>1231.4220000000003</v>
      </c>
      <c r="AQ26" s="67">
        <f t="shared" si="6"/>
        <v>1790.7630000000001</v>
      </c>
      <c r="AR26" s="67">
        <f t="shared" si="6"/>
        <v>2390.8508999999999</v>
      </c>
      <c r="AS26" s="69">
        <f t="shared" si="6"/>
        <v>3381.1042000000007</v>
      </c>
    </row>
    <row r="27" spans="1:45" x14ac:dyDescent="0.3">
      <c r="A27" s="1" t="s">
        <v>213</v>
      </c>
      <c r="B27" s="81">
        <v>-19.2</v>
      </c>
      <c r="C27" s="81">
        <v>-12.59</v>
      </c>
      <c r="D27" s="81">
        <v>0.62</v>
      </c>
      <c r="E27" s="81">
        <v>0.12</v>
      </c>
      <c r="F27" s="81">
        <v>-35.43</v>
      </c>
      <c r="G27" s="81">
        <v>-13.41</v>
      </c>
      <c r="I27" s="34" t="s">
        <v>266</v>
      </c>
      <c r="J27" s="72">
        <v>471</v>
      </c>
      <c r="K27" s="72">
        <v>-412</v>
      </c>
      <c r="L27" s="72">
        <v>-480</v>
      </c>
      <c r="M27" s="72">
        <v>-1111</v>
      </c>
      <c r="N27" s="73">
        <v>220</v>
      </c>
      <c r="P27" s="35" t="s">
        <v>317</v>
      </c>
      <c r="Q27" s="67">
        <f>SUM(Q22,Q24:Q26)</f>
        <v>19712.549999999996</v>
      </c>
      <c r="R27" s="67">
        <f t="shared" ref="R27:V27" si="7">SUM(R22,R24:R26)</f>
        <v>16913.620000000003</v>
      </c>
      <c r="S27" s="67">
        <f t="shared" si="7"/>
        <v>20757.46</v>
      </c>
      <c r="T27" s="67">
        <f t="shared" si="7"/>
        <v>25127.789999999994</v>
      </c>
      <c r="U27" s="67">
        <f t="shared" si="7"/>
        <v>23298.42</v>
      </c>
      <c r="V27" s="69">
        <f t="shared" si="7"/>
        <v>23977.24</v>
      </c>
      <c r="X27" s="34" t="s">
        <v>363</v>
      </c>
      <c r="Y27" s="66">
        <v>-310</v>
      </c>
      <c r="Z27" s="66">
        <v>195</v>
      </c>
      <c r="AA27" s="66">
        <v>504</v>
      </c>
      <c r="AB27" s="66">
        <v>-89</v>
      </c>
      <c r="AC27" s="66">
        <v>196</v>
      </c>
      <c r="AD27" s="68">
        <v>564</v>
      </c>
      <c r="AF27" s="63" t="s">
        <v>416</v>
      </c>
      <c r="AG27" s="66">
        <v>-22.35</v>
      </c>
      <c r="AH27" s="66">
        <v>-22.35</v>
      </c>
      <c r="AI27" s="66">
        <v>-45.55</v>
      </c>
      <c r="AJ27" s="66">
        <v>-71.83</v>
      </c>
      <c r="AK27" s="66">
        <v>-112.63</v>
      </c>
      <c r="AL27" s="66">
        <v>-128.6</v>
      </c>
      <c r="AN27" s="18" t="s">
        <v>455</v>
      </c>
      <c r="AO27" s="22"/>
      <c r="AP27" s="22"/>
      <c r="AQ27" s="22"/>
      <c r="AR27" s="22"/>
      <c r="AS27" s="22"/>
    </row>
    <row r="28" spans="1:45" x14ac:dyDescent="0.3">
      <c r="A28" s="23" t="s">
        <v>192</v>
      </c>
      <c r="B28" s="25">
        <f t="shared" ref="B28:G28" si="8">SUM(B12,B14:B27)</f>
        <v>1772.5400000000004</v>
      </c>
      <c r="C28" s="25">
        <f t="shared" si="8"/>
        <v>1636.7100000000003</v>
      </c>
      <c r="D28" s="25">
        <f t="shared" si="8"/>
        <v>1932.5999999999997</v>
      </c>
      <c r="E28" s="25">
        <f t="shared" si="8"/>
        <v>3339.1599999999994</v>
      </c>
      <c r="F28" s="25">
        <f t="shared" si="8"/>
        <v>3487.6100000000024</v>
      </c>
      <c r="G28" s="25">
        <f t="shared" si="8"/>
        <v>3422.2000000000012</v>
      </c>
      <c r="I28" s="34" t="s">
        <v>267</v>
      </c>
      <c r="J28" s="72">
        <v>-331</v>
      </c>
      <c r="K28" s="72">
        <v>-543</v>
      </c>
      <c r="L28" s="72">
        <v>-758</v>
      </c>
      <c r="M28" s="72">
        <v>-339</v>
      </c>
      <c r="N28" s="73">
        <v>74</v>
      </c>
      <c r="P28" s="34" t="s">
        <v>316</v>
      </c>
      <c r="Q28" s="72">
        <v>-5022.8900000000003</v>
      </c>
      <c r="R28" s="72">
        <v>-4386.53</v>
      </c>
      <c r="S28" s="72">
        <v>-4981.95</v>
      </c>
      <c r="T28" s="72">
        <v>-6250.24</v>
      </c>
      <c r="U28" s="72">
        <v>-6119.56</v>
      </c>
      <c r="V28" s="73">
        <v>-6350.2</v>
      </c>
      <c r="X28" s="34" t="s">
        <v>364</v>
      </c>
      <c r="Y28" s="66">
        <v>-280</v>
      </c>
      <c r="Z28" s="66">
        <v>253</v>
      </c>
      <c r="AA28" s="66">
        <v>179</v>
      </c>
      <c r="AB28" s="66">
        <v>108</v>
      </c>
      <c r="AC28" s="66">
        <v>91</v>
      </c>
      <c r="AD28" s="68">
        <v>663</v>
      </c>
      <c r="AF28" s="63" t="s">
        <v>417</v>
      </c>
      <c r="AG28" s="66">
        <v>26.32</v>
      </c>
      <c r="AH28" s="66">
        <v>-10.81</v>
      </c>
      <c r="AI28" s="66">
        <v>134.1</v>
      </c>
      <c r="AJ28" s="66">
        <v>332.16</v>
      </c>
      <c r="AK28" s="66">
        <v>177.6</v>
      </c>
      <c r="AL28" s="66">
        <v>211.89</v>
      </c>
      <c r="AN28" s="34" t="s">
        <v>456</v>
      </c>
      <c r="AO28" s="66">
        <v>-559.67399999999998</v>
      </c>
      <c r="AP28" s="66">
        <v>-834.8</v>
      </c>
      <c r="AQ28" s="66">
        <v>-1800.992</v>
      </c>
      <c r="AR28" s="66">
        <v>-3264.049</v>
      </c>
      <c r="AS28" s="68">
        <v>-3779.01</v>
      </c>
    </row>
    <row r="29" spans="1:45" x14ac:dyDescent="0.3">
      <c r="A29" s="1" t="s">
        <v>214</v>
      </c>
      <c r="B29" s="81">
        <v>-492.4</v>
      </c>
      <c r="C29" s="81">
        <v>-261.57</v>
      </c>
      <c r="D29" s="81">
        <v>-560.25</v>
      </c>
      <c r="E29" s="81">
        <v>-708.89</v>
      </c>
      <c r="F29" s="81">
        <v>-741.77</v>
      </c>
      <c r="G29" s="81">
        <v>-959.23</v>
      </c>
      <c r="I29" s="34" t="s">
        <v>268</v>
      </c>
      <c r="J29" s="72">
        <v>56</v>
      </c>
      <c r="K29" s="72">
        <v>28</v>
      </c>
      <c r="L29" s="72">
        <v>86</v>
      </c>
      <c r="M29" s="72">
        <v>-116</v>
      </c>
      <c r="N29" s="73">
        <v>128</v>
      </c>
      <c r="P29" s="35" t="s">
        <v>318</v>
      </c>
      <c r="Q29" s="67">
        <f>Q27+Q28</f>
        <v>14689.659999999996</v>
      </c>
      <c r="R29" s="67">
        <f t="shared" ref="R29:V29" si="9">R27+R28</f>
        <v>12527.090000000004</v>
      </c>
      <c r="S29" s="67">
        <f t="shared" si="9"/>
        <v>15775.509999999998</v>
      </c>
      <c r="T29" s="67">
        <f t="shared" si="9"/>
        <v>18877.549999999996</v>
      </c>
      <c r="U29" s="67">
        <f t="shared" si="9"/>
        <v>17178.859999999997</v>
      </c>
      <c r="V29" s="69">
        <f t="shared" si="9"/>
        <v>17627.04</v>
      </c>
      <c r="X29" s="34" t="s">
        <v>365</v>
      </c>
      <c r="Y29" s="66">
        <v>316</v>
      </c>
      <c r="Z29" s="66">
        <v>-192</v>
      </c>
      <c r="AA29" s="66">
        <v>510</v>
      </c>
      <c r="AB29" s="66">
        <v>994</v>
      </c>
      <c r="AC29" s="66">
        <v>582</v>
      </c>
      <c r="AD29" s="68">
        <v>350</v>
      </c>
      <c r="AF29" s="63" t="s">
        <v>418</v>
      </c>
      <c r="AG29" s="66">
        <v>7.47</v>
      </c>
      <c r="AH29" s="66">
        <v>-1.1399999999999999</v>
      </c>
      <c r="AI29" s="66">
        <v>23.72</v>
      </c>
      <c r="AJ29" s="66">
        <v>42.18</v>
      </c>
      <c r="AK29" s="66">
        <v>92.79</v>
      </c>
      <c r="AL29" s="66">
        <v>14.06</v>
      </c>
      <c r="AN29" s="34" t="s">
        <v>457</v>
      </c>
      <c r="AO29" s="66">
        <v>24.059000000000001</v>
      </c>
      <c r="AP29" s="66">
        <v>19.350999999999999</v>
      </c>
      <c r="AQ29" s="66">
        <v>51.093000000000004</v>
      </c>
      <c r="AR29" s="66">
        <v>70.131</v>
      </c>
      <c r="AS29" s="68">
        <v>38.637</v>
      </c>
    </row>
    <row r="30" spans="1:45" x14ac:dyDescent="0.3">
      <c r="A30" s="23" t="s">
        <v>215</v>
      </c>
      <c r="B30" s="25">
        <f>B28+B29</f>
        <v>1280.1400000000003</v>
      </c>
      <c r="C30" s="25">
        <f t="shared" ref="C30:G30" si="10">C28+C29</f>
        <v>1375.1400000000003</v>
      </c>
      <c r="D30" s="25">
        <f t="shared" si="10"/>
        <v>1372.3499999999997</v>
      </c>
      <c r="E30" s="25">
        <f t="shared" si="10"/>
        <v>2630.2699999999995</v>
      </c>
      <c r="F30" s="25">
        <f t="shared" si="10"/>
        <v>2745.8400000000024</v>
      </c>
      <c r="G30" s="25">
        <f t="shared" si="10"/>
        <v>2462.9700000000012</v>
      </c>
      <c r="I30" s="34" t="s">
        <v>269</v>
      </c>
      <c r="J30" s="72">
        <v>234</v>
      </c>
      <c r="K30" s="72">
        <v>830</v>
      </c>
      <c r="L30" s="72">
        <v>149</v>
      </c>
      <c r="M30" s="72">
        <v>620</v>
      </c>
      <c r="N30" s="73">
        <v>921</v>
      </c>
      <c r="P30" s="18" t="s">
        <v>273</v>
      </c>
      <c r="Q30" s="22"/>
      <c r="R30" s="22"/>
      <c r="S30" s="22"/>
      <c r="T30" s="22"/>
      <c r="U30" s="22"/>
      <c r="V30" s="22"/>
      <c r="X30" s="34" t="s">
        <v>366</v>
      </c>
      <c r="Y30" s="66">
        <v>38</v>
      </c>
      <c r="Z30" s="66">
        <v>-52</v>
      </c>
      <c r="AA30" s="66">
        <v>59</v>
      </c>
      <c r="AB30" s="66">
        <v>69</v>
      </c>
      <c r="AC30" s="66">
        <v>-5</v>
      </c>
      <c r="AD30" s="68">
        <v>52</v>
      </c>
      <c r="AN30" s="34" t="s">
        <v>458</v>
      </c>
      <c r="AO30" s="66">
        <v>107.443</v>
      </c>
      <c r="AP30" s="66">
        <v>-107.443</v>
      </c>
      <c r="AQ30" s="66">
        <v>0</v>
      </c>
      <c r="AR30" s="66">
        <v>0</v>
      </c>
      <c r="AS30" s="68">
        <v>-401.88400000000001</v>
      </c>
    </row>
    <row r="31" spans="1:45" x14ac:dyDescent="0.3">
      <c r="A31" s="18" t="s">
        <v>216</v>
      </c>
      <c r="B31" s="22"/>
      <c r="C31" s="22"/>
      <c r="D31" s="22"/>
      <c r="E31" s="22"/>
      <c r="F31" s="22"/>
      <c r="G31" s="22"/>
      <c r="I31" s="35" t="s">
        <v>270</v>
      </c>
      <c r="J31" s="67">
        <f>SUM(J24,J26:J30)</f>
        <v>10134</v>
      </c>
      <c r="K31" s="67">
        <f t="shared" ref="K31:N31" si="11">SUM(K24,K26:K30)</f>
        <v>11571</v>
      </c>
      <c r="L31" s="67">
        <f t="shared" si="11"/>
        <v>11829</v>
      </c>
      <c r="M31" s="67">
        <f t="shared" si="11"/>
        <v>13129</v>
      </c>
      <c r="N31" s="69">
        <f t="shared" si="11"/>
        <v>15850</v>
      </c>
      <c r="P31" s="34" t="s">
        <v>319</v>
      </c>
      <c r="Q31" s="72">
        <v>-2441.15</v>
      </c>
      <c r="R31" s="72">
        <v>-1836.64</v>
      </c>
      <c r="S31" s="72">
        <v>-2141.64</v>
      </c>
      <c r="T31" s="72">
        <v>-2742.99</v>
      </c>
      <c r="U31" s="72">
        <v>-3562.53</v>
      </c>
      <c r="V31" s="73">
        <v>-2278.6999999999998</v>
      </c>
      <c r="X31" s="35" t="s">
        <v>367</v>
      </c>
      <c r="Y31" s="67">
        <f>SUM(Y21:Y30,Y19)</f>
        <v>209</v>
      </c>
      <c r="Z31" s="67">
        <f t="shared" ref="Z31:AD31" si="12">SUM(Z21:Z30,Z19)</f>
        <v>4410</v>
      </c>
      <c r="AA31" s="67">
        <f t="shared" si="12"/>
        <v>78</v>
      </c>
      <c r="AB31" s="67">
        <f t="shared" si="12"/>
        <v>2524</v>
      </c>
      <c r="AC31" s="67">
        <f t="shared" si="12"/>
        <v>2868</v>
      </c>
      <c r="AD31" s="69">
        <f t="shared" si="12"/>
        <v>548</v>
      </c>
      <c r="AF31" s="77" t="s">
        <v>317</v>
      </c>
      <c r="AG31" s="67">
        <f>SUM(AG23,AG25:AG30)</f>
        <v>444.61999999999989</v>
      </c>
      <c r="AH31" s="67">
        <f t="shared" ref="AH31:AL31" si="13">SUM(AH23,AH25:AH30)</f>
        <v>374.98000000000008</v>
      </c>
      <c r="AI31" s="67">
        <f t="shared" si="13"/>
        <v>139.72000000000014</v>
      </c>
      <c r="AJ31" s="67">
        <f t="shared" si="13"/>
        <v>785.86999999999989</v>
      </c>
      <c r="AK31" s="67">
        <f t="shared" si="13"/>
        <v>1647.8700000000003</v>
      </c>
      <c r="AL31" s="67">
        <f t="shared" si="13"/>
        <v>2154.9899999999993</v>
      </c>
      <c r="AN31" s="34" t="s">
        <v>459</v>
      </c>
      <c r="AO31" s="66">
        <v>0</v>
      </c>
      <c r="AP31" s="66">
        <v>0</v>
      </c>
      <c r="AQ31" s="66">
        <v>-0.01</v>
      </c>
      <c r="AR31" s="66">
        <v>-21.556999999999999</v>
      </c>
      <c r="AS31" s="68">
        <v>-39.898000000000003</v>
      </c>
    </row>
    <row r="32" spans="1:45" x14ac:dyDescent="0.3">
      <c r="A32" s="1" t="s">
        <v>217</v>
      </c>
      <c r="B32" s="81">
        <v>6.15</v>
      </c>
      <c r="C32" s="81">
        <v>1.88</v>
      </c>
      <c r="D32" s="81">
        <v>20.92</v>
      </c>
      <c r="E32" s="81">
        <v>5.46</v>
      </c>
      <c r="F32" s="81">
        <v>9.4499999999999993</v>
      </c>
      <c r="G32" s="81">
        <v>5.83</v>
      </c>
      <c r="I32" s="34" t="s">
        <v>271</v>
      </c>
      <c r="J32" s="72">
        <v>-2511</v>
      </c>
      <c r="K32" s="72">
        <f>-2408</f>
        <v>-2408</v>
      </c>
      <c r="L32" s="72">
        <v>-2781</v>
      </c>
      <c r="M32" s="72">
        <v>-3138</v>
      </c>
      <c r="N32" s="73">
        <v>-381</v>
      </c>
      <c r="P32" s="34" t="s">
        <v>320</v>
      </c>
      <c r="Q32" s="72">
        <v>27.02</v>
      </c>
      <c r="R32" s="72">
        <v>2.5299999999999998</v>
      </c>
      <c r="S32" s="72">
        <v>133.1</v>
      </c>
      <c r="T32" s="72">
        <v>49.17</v>
      </c>
      <c r="U32" s="72">
        <v>107.48</v>
      </c>
      <c r="V32" s="73">
        <v>175.42</v>
      </c>
      <c r="X32" s="34" t="s">
        <v>368</v>
      </c>
      <c r="Y32" s="66">
        <v>-557</v>
      </c>
      <c r="Z32" s="66">
        <v>-271</v>
      </c>
      <c r="AA32" s="66">
        <v>-802</v>
      </c>
      <c r="AB32" s="66">
        <v>-1154</v>
      </c>
      <c r="AC32" s="66">
        <v>-1173</v>
      </c>
      <c r="AD32" s="68">
        <v>-1089</v>
      </c>
      <c r="AF32" s="63" t="s">
        <v>214</v>
      </c>
      <c r="AG32" s="66">
        <v>-83.46</v>
      </c>
      <c r="AH32" s="66">
        <v>-1.1399999999999999</v>
      </c>
      <c r="AI32" s="66">
        <v>-81.64</v>
      </c>
      <c r="AJ32" s="66">
        <v>-190.99</v>
      </c>
      <c r="AK32" s="66">
        <v>-298.89</v>
      </c>
      <c r="AL32" s="66">
        <v>-494.09</v>
      </c>
      <c r="AN32" s="34" t="s">
        <v>460</v>
      </c>
      <c r="AO32" s="66">
        <v>0</v>
      </c>
      <c r="AP32" s="66">
        <v>13.246</v>
      </c>
      <c r="AQ32" s="66">
        <v>23.242000000000001</v>
      </c>
      <c r="AR32" s="66">
        <v>-10</v>
      </c>
      <c r="AS32" s="68">
        <v>-200</v>
      </c>
    </row>
    <row r="33" spans="1:45" x14ac:dyDescent="0.3">
      <c r="A33" s="1" t="s">
        <v>218</v>
      </c>
      <c r="B33" s="81">
        <v>92.58</v>
      </c>
      <c r="C33" s="81">
        <v>0</v>
      </c>
      <c r="D33" s="81">
        <v>0</v>
      </c>
      <c r="E33" s="81">
        <v>0</v>
      </c>
      <c r="F33" s="81">
        <v>0</v>
      </c>
      <c r="G33" s="81">
        <v>0</v>
      </c>
      <c r="I33" s="35" t="s">
        <v>272</v>
      </c>
      <c r="J33" s="67">
        <f>SUM(J31:J32)</f>
        <v>7623</v>
      </c>
      <c r="K33" s="67">
        <f t="shared" ref="K33:N33" si="14">SUM(K31:K32)</f>
        <v>9163</v>
      </c>
      <c r="L33" s="67">
        <f t="shared" si="14"/>
        <v>9048</v>
      </c>
      <c r="M33" s="67">
        <f t="shared" si="14"/>
        <v>9991</v>
      </c>
      <c r="N33" s="69">
        <f t="shared" si="14"/>
        <v>15469</v>
      </c>
      <c r="P33" s="34" t="s">
        <v>248</v>
      </c>
      <c r="Q33" s="72">
        <v>-77847.64</v>
      </c>
      <c r="R33" s="72">
        <v>-55913.52</v>
      </c>
      <c r="S33" s="72">
        <v>-64874.32</v>
      </c>
      <c r="T33" s="72">
        <v>-78483.490000000005</v>
      </c>
      <c r="U33" s="72">
        <v>-72237.17</v>
      </c>
      <c r="V33" s="73">
        <v>-65999.55</v>
      </c>
      <c r="X33" s="35" t="s">
        <v>369</v>
      </c>
      <c r="Y33" s="67">
        <f>Y31+Y32</f>
        <v>-348</v>
      </c>
      <c r="Z33" s="67">
        <f t="shared" ref="Z33:AD33" si="15">Z31+Z32</f>
        <v>4139</v>
      </c>
      <c r="AA33" s="67">
        <f t="shared" si="15"/>
        <v>-724</v>
      </c>
      <c r="AB33" s="67">
        <f t="shared" si="15"/>
        <v>1370</v>
      </c>
      <c r="AC33" s="67">
        <f t="shared" si="15"/>
        <v>1695</v>
      </c>
      <c r="AD33" s="69">
        <f t="shared" si="15"/>
        <v>-541</v>
      </c>
      <c r="AF33" s="77" t="s">
        <v>419</v>
      </c>
      <c r="AG33" s="67">
        <f>AG31+AG32</f>
        <v>361.15999999999991</v>
      </c>
      <c r="AH33" s="67">
        <f t="shared" ref="AH33:AL33" si="16">AH31+AH32</f>
        <v>373.84000000000009</v>
      </c>
      <c r="AI33" s="67">
        <f t="shared" si="16"/>
        <v>58.08000000000014</v>
      </c>
      <c r="AJ33" s="67">
        <f t="shared" si="16"/>
        <v>594.87999999999988</v>
      </c>
      <c r="AK33" s="67">
        <f t="shared" si="16"/>
        <v>1348.9800000000005</v>
      </c>
      <c r="AL33" s="67">
        <f t="shared" si="16"/>
        <v>1660.8999999999994</v>
      </c>
      <c r="AN33" s="34" t="s">
        <v>461</v>
      </c>
      <c r="AO33" s="66">
        <v>0</v>
      </c>
      <c r="AP33" s="66">
        <v>7.0000000000000007E-2</v>
      </c>
      <c r="AQ33" s="66">
        <v>0.36699999999999999</v>
      </c>
      <c r="AR33" s="66">
        <v>22.015999999999998</v>
      </c>
      <c r="AS33" s="68">
        <v>28.113</v>
      </c>
    </row>
    <row r="34" spans="1:45" x14ac:dyDescent="0.3">
      <c r="A34" s="1" t="s">
        <v>219</v>
      </c>
      <c r="B34" s="81">
        <v>129</v>
      </c>
      <c r="C34" s="81">
        <v>783</v>
      </c>
      <c r="D34" s="81">
        <v>1050</v>
      </c>
      <c r="E34" s="81">
        <v>37.4</v>
      </c>
      <c r="F34" s="81">
        <v>-136.26</v>
      </c>
      <c r="G34" s="81">
        <v>998.44</v>
      </c>
      <c r="I34" s="18" t="s">
        <v>273</v>
      </c>
      <c r="J34" s="22"/>
      <c r="K34" s="22"/>
      <c r="L34" s="22"/>
      <c r="M34" s="22"/>
      <c r="N34" s="22"/>
      <c r="P34" s="34" t="s">
        <v>321</v>
      </c>
      <c r="Q34" s="72">
        <v>72405.47</v>
      </c>
      <c r="R34" s="72">
        <v>61084.47</v>
      </c>
      <c r="S34" s="72">
        <v>68260.67</v>
      </c>
      <c r="T34" s="72">
        <v>73172.800000000003</v>
      </c>
      <c r="U34" s="72">
        <v>75201.73</v>
      </c>
      <c r="V34" s="73">
        <v>66919.64</v>
      </c>
      <c r="X34" s="18" t="s">
        <v>216</v>
      </c>
      <c r="Y34" s="22"/>
      <c r="Z34" s="22"/>
      <c r="AA34" s="22"/>
      <c r="AB34" s="22"/>
      <c r="AC34" s="22"/>
      <c r="AD34" s="22"/>
      <c r="AF34" s="18" t="s">
        <v>273</v>
      </c>
      <c r="AG34" s="76"/>
      <c r="AH34" s="76"/>
      <c r="AI34" s="76"/>
      <c r="AJ34" s="76"/>
      <c r="AK34" s="76"/>
      <c r="AL34" s="76"/>
      <c r="AN34" s="34" t="s">
        <v>220</v>
      </c>
      <c r="AO34" s="66">
        <v>8.69</v>
      </c>
      <c r="AP34" s="66">
        <v>0</v>
      </c>
      <c r="AQ34" s="66">
        <v>0</v>
      </c>
      <c r="AR34" s="66">
        <v>0.35099999999999998</v>
      </c>
      <c r="AS34" s="68">
        <v>2.2469999999999999</v>
      </c>
    </row>
    <row r="35" spans="1:45" x14ac:dyDescent="0.3">
      <c r="A35" s="1" t="s">
        <v>220</v>
      </c>
      <c r="B35" s="81">
        <v>11.84</v>
      </c>
      <c r="C35" s="81">
        <v>129.09</v>
      </c>
      <c r="D35" s="81">
        <v>42.8</v>
      </c>
      <c r="E35" s="81">
        <v>38.72</v>
      </c>
      <c r="F35" s="81">
        <v>262.29000000000002</v>
      </c>
      <c r="G35" s="81">
        <v>103.1</v>
      </c>
      <c r="I35" s="34" t="s">
        <v>274</v>
      </c>
      <c r="J35" s="72">
        <v>-850</v>
      </c>
      <c r="K35" s="72">
        <v>-741</v>
      </c>
      <c r="L35" s="72">
        <v>-1225</v>
      </c>
      <c r="M35" s="72">
        <v>-1174</v>
      </c>
      <c r="N35" s="73">
        <v>-1468</v>
      </c>
      <c r="P35" s="34" t="s">
        <v>120</v>
      </c>
      <c r="Q35" s="72">
        <v>0</v>
      </c>
      <c r="R35" s="72">
        <v>-1.87</v>
      </c>
      <c r="S35" s="72">
        <v>-1.87</v>
      </c>
      <c r="T35" s="72">
        <v>-1.88</v>
      </c>
      <c r="U35" s="72">
        <v>-65.040000000000006</v>
      </c>
      <c r="V35" s="73">
        <v>-29.99</v>
      </c>
      <c r="X35" s="34" t="s">
        <v>274</v>
      </c>
      <c r="Y35" s="66">
        <v>-355</v>
      </c>
      <c r="Z35" s="66">
        <v>-146</v>
      </c>
      <c r="AA35" s="66">
        <v>-224</v>
      </c>
      <c r="AB35" s="66">
        <v>-432</v>
      </c>
      <c r="AC35" s="66">
        <v>-691</v>
      </c>
      <c r="AD35" s="68">
        <v>-494</v>
      </c>
      <c r="AF35" s="63" t="s">
        <v>420</v>
      </c>
      <c r="AG35" s="66">
        <v>-155.91</v>
      </c>
      <c r="AH35" s="66">
        <v>-113.36</v>
      </c>
      <c r="AI35" s="66">
        <v>-270.92</v>
      </c>
      <c r="AJ35" s="66">
        <v>-503.4</v>
      </c>
      <c r="AK35" s="66">
        <v>-736.95</v>
      </c>
      <c r="AL35" s="66">
        <v>-1268.19</v>
      </c>
      <c r="AN35" s="34" t="s">
        <v>441</v>
      </c>
      <c r="AO35" s="66">
        <v>0</v>
      </c>
      <c r="AP35" s="66">
        <v>0</v>
      </c>
      <c r="AQ35" s="66">
        <v>0</v>
      </c>
      <c r="AR35" s="66">
        <v>0</v>
      </c>
      <c r="AS35" s="68">
        <v>0</v>
      </c>
    </row>
    <row r="36" spans="1:45" x14ac:dyDescent="0.3">
      <c r="A36" s="1" t="s">
        <v>221</v>
      </c>
      <c r="B36" s="81">
        <v>10.16</v>
      </c>
      <c r="C36" s="81">
        <v>2.56</v>
      </c>
      <c r="D36" s="81">
        <v>3.66</v>
      </c>
      <c r="E36" s="81">
        <v>5.66</v>
      </c>
      <c r="F36" s="81">
        <v>0</v>
      </c>
      <c r="G36" s="81">
        <v>0</v>
      </c>
      <c r="I36" s="34" t="s">
        <v>275</v>
      </c>
      <c r="J36" s="72">
        <v>52</v>
      </c>
      <c r="K36" s="72">
        <v>97</v>
      </c>
      <c r="L36" s="72">
        <v>146</v>
      </c>
      <c r="M36" s="72">
        <v>121</v>
      </c>
      <c r="N36" s="73">
        <v>20</v>
      </c>
      <c r="P36" s="34" t="s">
        <v>246</v>
      </c>
      <c r="Q36" s="72">
        <v>-1987.78</v>
      </c>
      <c r="R36" s="72">
        <v>-1639.74</v>
      </c>
      <c r="S36" s="72">
        <v>-4902.0200000000004</v>
      </c>
      <c r="T36" s="72">
        <v>-2448.96</v>
      </c>
      <c r="U36" s="72">
        <v>-2870.12</v>
      </c>
      <c r="V36" s="73">
        <v>-373.69</v>
      </c>
      <c r="X36" s="34" t="s">
        <v>370</v>
      </c>
      <c r="Y36" s="66">
        <v>10</v>
      </c>
      <c r="Z36" s="66">
        <v>7</v>
      </c>
      <c r="AA36" s="66">
        <v>8</v>
      </c>
      <c r="AB36" s="66">
        <v>12</v>
      </c>
      <c r="AC36" s="66">
        <v>20</v>
      </c>
      <c r="AD36" s="68">
        <v>24</v>
      </c>
      <c r="AF36" s="63" t="s">
        <v>421</v>
      </c>
      <c r="AG36" s="66">
        <v>41.68</v>
      </c>
      <c r="AH36" s="66">
        <v>22.34</v>
      </c>
      <c r="AI36" s="66">
        <v>60.82</v>
      </c>
      <c r="AJ36" s="66">
        <v>279.91000000000003</v>
      </c>
      <c r="AK36" s="66">
        <v>343.21</v>
      </c>
      <c r="AL36" s="66">
        <v>406.52</v>
      </c>
      <c r="AN36" s="34" t="s">
        <v>248</v>
      </c>
      <c r="AO36" s="66">
        <v>0</v>
      </c>
      <c r="AP36" s="66">
        <v>0</v>
      </c>
      <c r="AQ36" s="66">
        <v>0</v>
      </c>
      <c r="AR36" s="66">
        <v>0</v>
      </c>
      <c r="AS36" s="68">
        <v>0</v>
      </c>
    </row>
    <row r="37" spans="1:45" x14ac:dyDescent="0.3">
      <c r="A37" s="1" t="s">
        <v>222</v>
      </c>
      <c r="B37" s="81">
        <v>2.88</v>
      </c>
      <c r="C37" s="81">
        <v>2.89</v>
      </c>
      <c r="D37" s="81">
        <v>3.55</v>
      </c>
      <c r="E37" s="81">
        <v>4.6900000000000004</v>
      </c>
      <c r="F37" s="81">
        <v>4.9000000000000004</v>
      </c>
      <c r="G37" s="81">
        <v>5.2</v>
      </c>
      <c r="I37" s="34" t="s">
        <v>276</v>
      </c>
      <c r="J37" s="72">
        <v>-12</v>
      </c>
      <c r="K37" s="72">
        <v>-3422</v>
      </c>
      <c r="L37" s="72">
        <v>-3</v>
      </c>
      <c r="M37" s="72">
        <v>-18</v>
      </c>
      <c r="N37" s="73">
        <v>-9</v>
      </c>
      <c r="P37" s="34" t="s">
        <v>322</v>
      </c>
      <c r="Q37" s="72">
        <v>3429.63</v>
      </c>
      <c r="R37" s="72">
        <v>1712.05</v>
      </c>
      <c r="S37" s="72">
        <v>2731.24</v>
      </c>
      <c r="T37" s="72">
        <v>4057.6</v>
      </c>
      <c r="U37" s="72">
        <v>2627.78</v>
      </c>
      <c r="V37" s="73">
        <v>390.91</v>
      </c>
      <c r="X37" s="34" t="s">
        <v>371</v>
      </c>
      <c r="Y37" s="66">
        <v>0</v>
      </c>
      <c r="Z37" s="66">
        <v>-5</v>
      </c>
      <c r="AA37" s="66">
        <v>-100</v>
      </c>
      <c r="AB37" s="66">
        <v>-353</v>
      </c>
      <c r="AC37" s="66">
        <v>-393</v>
      </c>
      <c r="AD37" s="68">
        <v>-663</v>
      </c>
      <c r="AF37" s="63" t="s">
        <v>422</v>
      </c>
      <c r="AG37" s="66">
        <v>-2894.79</v>
      </c>
      <c r="AH37" s="66">
        <v>-590.63</v>
      </c>
      <c r="AI37" s="66">
        <v>-1322.04</v>
      </c>
      <c r="AJ37" s="66">
        <v>-1609.56</v>
      </c>
      <c r="AK37" s="66">
        <v>-1937.98</v>
      </c>
      <c r="AL37" s="66">
        <v>-3884.85</v>
      </c>
      <c r="AN37" s="34" t="s">
        <v>247</v>
      </c>
      <c r="AO37" s="66">
        <v>0</v>
      </c>
      <c r="AP37" s="66">
        <v>0</v>
      </c>
      <c r="AQ37" s="66">
        <v>0</v>
      </c>
      <c r="AR37" s="66">
        <v>0</v>
      </c>
      <c r="AS37" s="68">
        <v>0</v>
      </c>
    </row>
    <row r="38" spans="1:45" x14ac:dyDescent="0.3">
      <c r="A38" s="23" t="s">
        <v>223</v>
      </c>
      <c r="B38" s="25">
        <f>SUM(B32:B37)</f>
        <v>252.61</v>
      </c>
      <c r="C38" s="25">
        <f t="shared" ref="C38:G38" si="17">SUM(C32:C37)</f>
        <v>919.42</v>
      </c>
      <c r="D38" s="25">
        <f t="shared" si="17"/>
        <v>1120.93</v>
      </c>
      <c r="E38" s="25">
        <f t="shared" si="17"/>
        <v>91.929999999999993</v>
      </c>
      <c r="F38" s="25">
        <f t="shared" si="17"/>
        <v>140.38000000000002</v>
      </c>
      <c r="G38" s="25">
        <f t="shared" si="17"/>
        <v>1112.5700000000002</v>
      </c>
      <c r="I38" s="34" t="s">
        <v>277</v>
      </c>
      <c r="J38" s="72">
        <v>0</v>
      </c>
      <c r="K38" s="72">
        <v>0</v>
      </c>
      <c r="L38" s="72">
        <v>29</v>
      </c>
      <c r="M38" s="72">
        <v>60</v>
      </c>
      <c r="N38" s="73">
        <v>0</v>
      </c>
      <c r="P38" s="34" t="s">
        <v>323</v>
      </c>
      <c r="Q38" s="72">
        <v>0</v>
      </c>
      <c r="R38" s="72">
        <v>-2189.2199999999998</v>
      </c>
      <c r="S38" s="72">
        <v>-71.25</v>
      </c>
      <c r="T38" s="72">
        <v>-63.75</v>
      </c>
      <c r="U38" s="72">
        <v>0</v>
      </c>
      <c r="V38" s="73">
        <v>-280.45</v>
      </c>
      <c r="X38" s="34" t="s">
        <v>372</v>
      </c>
      <c r="Y38" s="66">
        <v>-100</v>
      </c>
      <c r="Z38" s="66">
        <v>-150</v>
      </c>
      <c r="AA38" s="66">
        <v>-1094</v>
      </c>
      <c r="AB38" s="66">
        <v>-570</v>
      </c>
      <c r="AC38" s="66">
        <v>-821</v>
      </c>
      <c r="AD38" s="68">
        <v>-332</v>
      </c>
      <c r="AF38" s="63" t="s">
        <v>423</v>
      </c>
      <c r="AG38" s="66">
        <v>2237.4499999999998</v>
      </c>
      <c r="AH38" s="66">
        <v>730.59</v>
      </c>
      <c r="AI38" s="66">
        <v>1530.42</v>
      </c>
      <c r="AJ38" s="66">
        <v>1616.01</v>
      </c>
      <c r="AK38" s="66">
        <v>1808.09</v>
      </c>
      <c r="AL38" s="66">
        <v>3726.26</v>
      </c>
      <c r="AN38" s="34" t="s">
        <v>462</v>
      </c>
      <c r="AO38" s="66">
        <v>-51.613999999999997</v>
      </c>
      <c r="AP38" s="66">
        <v>-101.063</v>
      </c>
      <c r="AQ38" s="66">
        <v>21.702000000000002</v>
      </c>
      <c r="AR38" s="66">
        <v>-86.759</v>
      </c>
      <c r="AS38" s="68">
        <v>35.015000000000001</v>
      </c>
    </row>
    <row r="39" spans="1:45" x14ac:dyDescent="0.3">
      <c r="A39" s="1" t="s">
        <v>224</v>
      </c>
      <c r="B39" s="81">
        <v>-1712.17</v>
      </c>
      <c r="C39" s="81">
        <v>-2029.42</v>
      </c>
      <c r="D39" s="81">
        <v>-2410.42</v>
      </c>
      <c r="E39" s="81">
        <v>-2211.9499999999998</v>
      </c>
      <c r="F39" s="81">
        <v>-2731.25</v>
      </c>
      <c r="G39" s="81">
        <v>-3423.04</v>
      </c>
      <c r="I39" s="34" t="s">
        <v>278</v>
      </c>
      <c r="J39" s="72">
        <v>0</v>
      </c>
      <c r="K39" s="72">
        <v>0</v>
      </c>
      <c r="L39" s="72">
        <v>0</v>
      </c>
      <c r="M39" s="72">
        <v>-264</v>
      </c>
      <c r="N39" s="73">
        <v>0</v>
      </c>
      <c r="P39" s="34" t="s">
        <v>324</v>
      </c>
      <c r="Q39" s="72">
        <v>8.34</v>
      </c>
      <c r="R39" s="72">
        <v>7.18</v>
      </c>
      <c r="S39" s="72">
        <v>0.01</v>
      </c>
      <c r="T39" s="72">
        <v>56</v>
      </c>
      <c r="U39" s="72">
        <v>24.52</v>
      </c>
      <c r="V39" s="73">
        <v>25.53</v>
      </c>
      <c r="X39" s="34" t="s">
        <v>373</v>
      </c>
      <c r="Y39" s="66">
        <v>300</v>
      </c>
      <c r="Z39" s="66">
        <v>100</v>
      </c>
      <c r="AA39" s="66">
        <v>750</v>
      </c>
      <c r="AB39" s="66">
        <v>864</v>
      </c>
      <c r="AC39" s="66">
        <v>678</v>
      </c>
      <c r="AD39" s="68">
        <v>575</v>
      </c>
      <c r="AF39" s="63" t="s">
        <v>329</v>
      </c>
      <c r="AG39" s="66">
        <v>-88.25</v>
      </c>
      <c r="AH39" s="66">
        <v>-13.95</v>
      </c>
      <c r="AI39" s="66">
        <v>0</v>
      </c>
      <c r="AJ39" s="66">
        <v>10</v>
      </c>
      <c r="AK39" s="66">
        <v>2.36</v>
      </c>
      <c r="AL39" s="66">
        <v>5.81</v>
      </c>
      <c r="AN39" s="35" t="s">
        <v>463</v>
      </c>
      <c r="AO39" s="67">
        <f>SUM(AO28:AO38)</f>
        <v>-471.096</v>
      </c>
      <c r="AP39" s="67">
        <f t="shared" ref="AP39:AS39" si="18">SUM(AP28:AP38)</f>
        <v>-1010.6389999999999</v>
      </c>
      <c r="AQ39" s="67">
        <f t="shared" si="18"/>
        <v>-1704.598</v>
      </c>
      <c r="AR39" s="67">
        <f t="shared" si="18"/>
        <v>-3289.8669999999997</v>
      </c>
      <c r="AS39" s="69">
        <f t="shared" si="18"/>
        <v>-4316.7799999999988</v>
      </c>
    </row>
    <row r="40" spans="1:45" x14ac:dyDescent="0.3">
      <c r="A40" s="1" t="s">
        <v>246</v>
      </c>
      <c r="B40" s="81">
        <v>0</v>
      </c>
      <c r="C40" s="81">
        <v>0</v>
      </c>
      <c r="D40" s="81">
        <v>0</v>
      </c>
      <c r="E40" s="81">
        <v>0</v>
      </c>
      <c r="F40" s="81">
        <v>0</v>
      </c>
      <c r="G40" s="81">
        <v>-2</v>
      </c>
      <c r="I40" s="34" t="s">
        <v>279</v>
      </c>
      <c r="J40" s="72">
        <v>0</v>
      </c>
      <c r="K40" s="72">
        <v>0</v>
      </c>
      <c r="L40" s="72">
        <v>0</v>
      </c>
      <c r="M40" s="72">
        <v>-2</v>
      </c>
      <c r="N40" s="73">
        <v>0</v>
      </c>
      <c r="P40" s="34" t="s">
        <v>325</v>
      </c>
      <c r="Q40" s="72">
        <v>8.31</v>
      </c>
      <c r="R40" s="72">
        <v>7.0000000000000007E-2</v>
      </c>
      <c r="S40" s="72">
        <v>16.059999999999999</v>
      </c>
      <c r="T40" s="72">
        <v>18.559999999999999</v>
      </c>
      <c r="U40" s="72">
        <v>11.13</v>
      </c>
      <c r="V40" s="73">
        <v>12.14</v>
      </c>
      <c r="X40" s="34" t="s">
        <v>374</v>
      </c>
      <c r="Y40" s="66">
        <v>331</v>
      </c>
      <c r="Z40" s="66">
        <v>-73</v>
      </c>
      <c r="AA40" s="66">
        <v>-975</v>
      </c>
      <c r="AB40" s="66">
        <v>243</v>
      </c>
      <c r="AC40" s="66">
        <v>309</v>
      </c>
      <c r="AD40" s="68">
        <v>325</v>
      </c>
      <c r="AF40" s="63" t="s">
        <v>424</v>
      </c>
      <c r="AG40" s="66">
        <v>32.5</v>
      </c>
      <c r="AH40" s="66">
        <v>0</v>
      </c>
      <c r="AI40" s="66">
        <v>15</v>
      </c>
      <c r="AJ40" s="66">
        <v>7.7</v>
      </c>
      <c r="AK40" s="66">
        <v>73.58</v>
      </c>
      <c r="AL40" s="66">
        <v>0</v>
      </c>
      <c r="AN40" s="18" t="s">
        <v>464</v>
      </c>
      <c r="AO40" s="22"/>
      <c r="AP40" s="22"/>
      <c r="AQ40" s="22"/>
      <c r="AR40" s="22"/>
      <c r="AS40" s="22"/>
    </row>
    <row r="41" spans="1:45" x14ac:dyDescent="0.3">
      <c r="A41" s="1" t="s">
        <v>247</v>
      </c>
      <c r="B41" s="81">
        <v>0</v>
      </c>
      <c r="C41" s="81">
        <v>0</v>
      </c>
      <c r="D41" s="81">
        <v>0</v>
      </c>
      <c r="E41" s="81">
        <v>0</v>
      </c>
      <c r="F41" s="81">
        <v>4323.8100000000004</v>
      </c>
      <c r="G41" s="81">
        <v>5073.51</v>
      </c>
      <c r="I41" s="34" t="s">
        <v>280</v>
      </c>
      <c r="J41" s="72">
        <v>0</v>
      </c>
      <c r="K41" s="72">
        <v>0</v>
      </c>
      <c r="L41" s="72">
        <v>0</v>
      </c>
      <c r="M41" s="72">
        <v>-70</v>
      </c>
      <c r="N41" s="73">
        <v>0</v>
      </c>
      <c r="P41" s="34" t="s">
        <v>220</v>
      </c>
      <c r="Q41" s="72">
        <v>1513.35</v>
      </c>
      <c r="R41" s="72">
        <v>1274.92</v>
      </c>
      <c r="S41" s="72">
        <v>1034.55</v>
      </c>
      <c r="T41" s="72">
        <v>1323.74</v>
      </c>
      <c r="U41" s="72">
        <v>1138.3499999999999</v>
      </c>
      <c r="V41" s="73">
        <v>1072.28</v>
      </c>
      <c r="X41" s="34" t="s">
        <v>375</v>
      </c>
      <c r="Y41" s="66">
        <v>0</v>
      </c>
      <c r="Z41" s="66">
        <v>43</v>
      </c>
      <c r="AA41" s="66">
        <v>0</v>
      </c>
      <c r="AB41" s="66">
        <v>0</v>
      </c>
      <c r="AC41" s="66">
        <v>-29</v>
      </c>
      <c r="AD41" s="68">
        <v>0</v>
      </c>
      <c r="AF41" s="63" t="s">
        <v>220</v>
      </c>
      <c r="AG41" s="66">
        <v>18.97</v>
      </c>
      <c r="AH41" s="66">
        <v>20.82</v>
      </c>
      <c r="AI41" s="66">
        <v>107.8</v>
      </c>
      <c r="AJ41" s="66">
        <v>146.86000000000001</v>
      </c>
      <c r="AK41" s="66">
        <v>0</v>
      </c>
      <c r="AL41" s="66">
        <v>125.85</v>
      </c>
      <c r="AN41" s="34" t="s">
        <v>465</v>
      </c>
      <c r="AO41" s="66">
        <v>773.48199999999997</v>
      </c>
      <c r="AP41" s="66">
        <v>854.80600000000004</v>
      </c>
      <c r="AQ41" s="66">
        <v>1477.72</v>
      </c>
      <c r="AR41" s="66">
        <v>2401.6610000000001</v>
      </c>
      <c r="AS41" s="68">
        <v>1771.127</v>
      </c>
    </row>
    <row r="42" spans="1:45" x14ac:dyDescent="0.3">
      <c r="A42" s="1" t="s">
        <v>248</v>
      </c>
      <c r="B42" s="81">
        <v>0</v>
      </c>
      <c r="C42" s="81">
        <v>0</v>
      </c>
      <c r="D42" s="81">
        <v>0</v>
      </c>
      <c r="E42" s="81">
        <v>0</v>
      </c>
      <c r="F42" s="81">
        <v>-4201.17</v>
      </c>
      <c r="G42" s="81">
        <v>-4946.3500000000004</v>
      </c>
      <c r="I42" s="34" t="s">
        <v>281</v>
      </c>
      <c r="J42" s="72">
        <v>-30</v>
      </c>
      <c r="K42" s="72">
        <v>-33</v>
      </c>
      <c r="L42" s="72">
        <v>-41</v>
      </c>
      <c r="M42" s="72">
        <v>-40</v>
      </c>
      <c r="N42" s="73">
        <v>-4</v>
      </c>
      <c r="P42" s="34" t="s">
        <v>326</v>
      </c>
      <c r="Q42" s="72">
        <v>-5602.32</v>
      </c>
      <c r="R42" s="72">
        <v>-4691.92</v>
      </c>
      <c r="S42" s="72">
        <v>-4531.12</v>
      </c>
      <c r="T42" s="72">
        <v>-8904.33</v>
      </c>
      <c r="U42" s="72">
        <v>-4612.1000000000004</v>
      </c>
      <c r="V42" s="73">
        <v>-6256.85</v>
      </c>
      <c r="X42" s="34" t="s">
        <v>376</v>
      </c>
      <c r="Y42" s="66">
        <v>-39</v>
      </c>
      <c r="Z42" s="66">
        <v>0</v>
      </c>
      <c r="AA42" s="66">
        <v>-153</v>
      </c>
      <c r="AB42" s="66">
        <v>-1</v>
      </c>
      <c r="AC42" s="66">
        <v>249</v>
      </c>
      <c r="AD42" s="68">
        <v>288</v>
      </c>
      <c r="AF42" s="63" t="s">
        <v>425</v>
      </c>
      <c r="AG42" s="66">
        <v>-22</v>
      </c>
      <c r="AH42" s="66">
        <v>-45</v>
      </c>
      <c r="AI42" s="66">
        <v>-66.27</v>
      </c>
      <c r="AJ42" s="66">
        <v>-51.5</v>
      </c>
      <c r="AK42" s="66">
        <v>-61.85</v>
      </c>
      <c r="AL42" s="66">
        <v>-36.51</v>
      </c>
      <c r="AN42" s="34" t="s">
        <v>466</v>
      </c>
      <c r="AO42" s="66">
        <v>-1233.2249999999999</v>
      </c>
      <c r="AP42" s="66">
        <v>-640.851</v>
      </c>
      <c r="AQ42" s="66">
        <v>-1137.3589999999999</v>
      </c>
      <c r="AR42" s="66">
        <v>-1276.5219999999999</v>
      </c>
      <c r="AS42" s="68">
        <v>-5508.4160000000002</v>
      </c>
    </row>
    <row r="43" spans="1:45" x14ac:dyDescent="0.3">
      <c r="A43" s="1" t="s">
        <v>225</v>
      </c>
      <c r="B43" s="81">
        <v>-3197</v>
      </c>
      <c r="C43" s="81">
        <v>0</v>
      </c>
      <c r="D43" s="81">
        <v>0</v>
      </c>
      <c r="E43" s="81">
        <v>-193.08</v>
      </c>
      <c r="F43" s="81">
        <v>0</v>
      </c>
      <c r="G43" s="81">
        <v>0</v>
      </c>
      <c r="I43" s="34" t="s">
        <v>248</v>
      </c>
      <c r="J43" s="72">
        <v>-36090</v>
      </c>
      <c r="K43" s="72">
        <v>-39876</v>
      </c>
      <c r="L43" s="72">
        <v>-48522</v>
      </c>
      <c r="M43" s="72">
        <v>-22649</v>
      </c>
      <c r="N43" s="73">
        <v>-21337</v>
      </c>
      <c r="P43" s="34" t="s">
        <v>327</v>
      </c>
      <c r="Q43" s="72">
        <v>4321.2</v>
      </c>
      <c r="R43" s="72">
        <v>6977.33</v>
      </c>
      <c r="S43" s="72">
        <v>4546.49</v>
      </c>
      <c r="T43" s="72">
        <v>6754.44</v>
      </c>
      <c r="U43" s="72">
        <v>5800</v>
      </c>
      <c r="V43" s="73">
        <v>6931.16</v>
      </c>
      <c r="X43" s="34" t="s">
        <v>377</v>
      </c>
      <c r="Y43" s="66">
        <v>-13</v>
      </c>
      <c r="Z43" s="66">
        <v>-2651</v>
      </c>
      <c r="AA43" s="66">
        <v>2870</v>
      </c>
      <c r="AB43" s="66">
        <v>-1750</v>
      </c>
      <c r="AC43" s="66">
        <v>-7208</v>
      </c>
      <c r="AD43" s="68">
        <v>-2384</v>
      </c>
      <c r="AF43" s="63" t="s">
        <v>426</v>
      </c>
      <c r="AG43" s="66">
        <v>12.19</v>
      </c>
      <c r="AH43" s="66">
        <v>4.78</v>
      </c>
      <c r="AI43" s="66">
        <v>0</v>
      </c>
      <c r="AJ43" s="66">
        <v>0</v>
      </c>
      <c r="AK43" s="66"/>
      <c r="AL43" s="66"/>
      <c r="AN43" s="34" t="s">
        <v>467</v>
      </c>
      <c r="AO43" s="66">
        <v>-11.154999999999999</v>
      </c>
      <c r="AP43" s="66">
        <v>-18.864999999999998</v>
      </c>
      <c r="AQ43" s="66">
        <v>-23.44</v>
      </c>
      <c r="AR43" s="66">
        <v>-29.507000000000001</v>
      </c>
      <c r="AS43" s="68">
        <v>-155.86500000000001</v>
      </c>
    </row>
    <row r="44" spans="1:45" x14ac:dyDescent="0.3">
      <c r="A44" s="23" t="s">
        <v>226</v>
      </c>
      <c r="B44" s="25">
        <f t="shared" ref="B44:G44" si="19">SUM(B38:B43)</f>
        <v>-4656.5599999999995</v>
      </c>
      <c r="C44" s="25">
        <f t="shared" si="19"/>
        <v>-1110</v>
      </c>
      <c r="D44" s="25">
        <f t="shared" si="19"/>
        <v>-1289.49</v>
      </c>
      <c r="E44" s="25">
        <f t="shared" si="19"/>
        <v>-2313.1</v>
      </c>
      <c r="F44" s="25">
        <f t="shared" si="19"/>
        <v>-2468.2299999999996</v>
      </c>
      <c r="G44" s="25">
        <f t="shared" si="19"/>
        <v>-2185.31</v>
      </c>
      <c r="I44" s="34" t="s">
        <v>282</v>
      </c>
      <c r="J44" s="72">
        <v>37690</v>
      </c>
      <c r="K44" s="72">
        <v>38486</v>
      </c>
      <c r="L44" s="72">
        <v>47786</v>
      </c>
      <c r="M44" s="72">
        <v>23462</v>
      </c>
      <c r="N44" s="73">
        <v>19846</v>
      </c>
      <c r="P44" s="34" t="s">
        <v>328</v>
      </c>
      <c r="Q44" s="72">
        <v>-712.16</v>
      </c>
      <c r="R44" s="72">
        <v>-78.38</v>
      </c>
      <c r="S44" s="72">
        <v>-3011.37</v>
      </c>
      <c r="T44" s="72">
        <v>-3520</v>
      </c>
      <c r="U44" s="72">
        <v>0</v>
      </c>
      <c r="V44" s="73">
        <v>-1200</v>
      </c>
      <c r="X44" s="34" t="s">
        <v>378</v>
      </c>
      <c r="Y44" s="66">
        <v>0</v>
      </c>
      <c r="Z44" s="66">
        <v>-97</v>
      </c>
      <c r="AA44" s="66">
        <v>-34</v>
      </c>
      <c r="AB44" s="66">
        <v>0</v>
      </c>
      <c r="AC44" s="66">
        <v>7200</v>
      </c>
      <c r="AD44" s="68">
        <v>2332</v>
      </c>
      <c r="AF44" s="63" t="s">
        <v>427</v>
      </c>
      <c r="AG44" s="66">
        <v>2.59</v>
      </c>
      <c r="AH44" s="66">
        <v>0.06</v>
      </c>
      <c r="AI44" s="66">
        <v>1.22</v>
      </c>
      <c r="AJ44" s="66">
        <v>1.34</v>
      </c>
      <c r="AK44" s="66">
        <v>1.32</v>
      </c>
      <c r="AL44" s="66">
        <v>1.44</v>
      </c>
      <c r="AN44" s="34" t="s">
        <v>468</v>
      </c>
      <c r="AO44" s="66">
        <v>0</v>
      </c>
      <c r="AP44" s="66">
        <v>-85.366</v>
      </c>
      <c r="AQ44" s="66">
        <v>-0.79700000000000004</v>
      </c>
      <c r="AR44" s="66">
        <v>4.4409999999999998</v>
      </c>
      <c r="AS44" s="68">
        <v>7511.88</v>
      </c>
    </row>
    <row r="45" spans="1:45" x14ac:dyDescent="0.3">
      <c r="A45" s="18" t="s">
        <v>227</v>
      </c>
      <c r="B45" s="22"/>
      <c r="C45" s="22"/>
      <c r="D45" s="22"/>
      <c r="E45" s="22"/>
      <c r="F45" s="22"/>
      <c r="G45" s="22"/>
      <c r="I45" s="34" t="s">
        <v>283</v>
      </c>
      <c r="J45" s="72">
        <v>0</v>
      </c>
      <c r="K45" s="72">
        <v>0</v>
      </c>
      <c r="L45" s="72">
        <v>-4</v>
      </c>
      <c r="M45" s="72">
        <v>-1</v>
      </c>
      <c r="N45" s="73">
        <v>1</v>
      </c>
      <c r="P45" s="63" t="s">
        <v>343</v>
      </c>
      <c r="Q45" s="72">
        <v>7.1</v>
      </c>
      <c r="R45" s="72">
        <v>6.66</v>
      </c>
      <c r="S45" s="72">
        <v>578.82000000000005</v>
      </c>
      <c r="T45" s="72">
        <v>5000</v>
      </c>
      <c r="U45" s="72">
        <v>0</v>
      </c>
      <c r="V45" s="72">
        <v>500</v>
      </c>
      <c r="X45" s="34" t="s">
        <v>379</v>
      </c>
      <c r="Y45" s="66">
        <v>0</v>
      </c>
      <c r="Z45" s="66">
        <v>94</v>
      </c>
      <c r="AA45" s="66">
        <v>34</v>
      </c>
      <c r="AB45" s="66">
        <v>3</v>
      </c>
      <c r="AC45" s="66">
        <v>-21471</v>
      </c>
      <c r="AD45" s="68">
        <v>-14679</v>
      </c>
      <c r="AF45" s="77" t="s">
        <v>331</v>
      </c>
      <c r="AG45" s="67">
        <f>SUM(AG35:AG44)</f>
        <v>-815.57</v>
      </c>
      <c r="AH45" s="67">
        <f t="shared" ref="AH45:AL45" si="20">SUM(AH35:AH44)</f>
        <v>15.650000000000054</v>
      </c>
      <c r="AI45" s="67">
        <f t="shared" si="20"/>
        <v>56.0300000000002</v>
      </c>
      <c r="AJ45" s="67">
        <f t="shared" si="20"/>
        <v>-102.63999999999996</v>
      </c>
      <c r="AK45" s="67">
        <f t="shared" si="20"/>
        <v>-508.22000000000037</v>
      </c>
      <c r="AL45" s="67">
        <f t="shared" si="20"/>
        <v>-923.67000000000019</v>
      </c>
      <c r="AN45" s="34" t="s">
        <v>469</v>
      </c>
      <c r="AO45" s="66">
        <v>246.70400000000001</v>
      </c>
      <c r="AP45" s="66">
        <v>0</v>
      </c>
      <c r="AQ45" s="66">
        <v>0</v>
      </c>
      <c r="AR45" s="66">
        <v>381.26600000000002</v>
      </c>
      <c r="AS45" s="68">
        <v>185.696</v>
      </c>
    </row>
    <row r="46" spans="1:45" x14ac:dyDescent="0.3">
      <c r="A46" s="1" t="s">
        <v>228</v>
      </c>
      <c r="B46" s="81">
        <v>4076.51</v>
      </c>
      <c r="C46" s="81">
        <v>0</v>
      </c>
      <c r="D46" s="81">
        <v>0</v>
      </c>
      <c r="E46" s="81">
        <v>0.91</v>
      </c>
      <c r="F46" s="81">
        <v>0</v>
      </c>
      <c r="G46" s="81">
        <v>0</v>
      </c>
      <c r="I46" s="34" t="s">
        <v>284</v>
      </c>
      <c r="J46" s="72">
        <v>-4979</v>
      </c>
      <c r="K46" s="72">
        <v>-2874</v>
      </c>
      <c r="L46" s="72">
        <v>-3711</v>
      </c>
      <c r="M46" s="72">
        <v>-3668</v>
      </c>
      <c r="N46" s="73">
        <v>-9170</v>
      </c>
      <c r="P46" s="34" t="s">
        <v>329</v>
      </c>
      <c r="Q46" s="72">
        <v>700.22</v>
      </c>
      <c r="R46" s="72">
        <v>971.43</v>
      </c>
      <c r="S46" s="72">
        <v>-13.16</v>
      </c>
      <c r="T46" s="72">
        <v>-8.56</v>
      </c>
      <c r="U46" s="72">
        <v>-12.55</v>
      </c>
      <c r="V46" s="73">
        <v>-17.55</v>
      </c>
      <c r="X46" s="34" t="s">
        <v>380</v>
      </c>
      <c r="Y46" s="66">
        <v>28</v>
      </c>
      <c r="Z46" s="66">
        <v>28</v>
      </c>
      <c r="AA46" s="66">
        <v>26</v>
      </c>
      <c r="AB46" s="66">
        <v>30</v>
      </c>
      <c r="AC46" s="66">
        <v>21904</v>
      </c>
      <c r="AD46" s="68">
        <v>15422</v>
      </c>
      <c r="AF46" s="18" t="s">
        <v>288</v>
      </c>
      <c r="AG46" s="76"/>
      <c r="AH46" s="76"/>
      <c r="AI46" s="76"/>
      <c r="AJ46" s="76"/>
      <c r="AK46" s="76"/>
      <c r="AL46" s="76"/>
      <c r="AN46" s="34" t="s">
        <v>332</v>
      </c>
      <c r="AO46" s="66">
        <v>0</v>
      </c>
      <c r="AP46" s="66">
        <v>0</v>
      </c>
      <c r="AQ46" s="66">
        <v>0</v>
      </c>
      <c r="AR46" s="66">
        <v>0</v>
      </c>
      <c r="AS46" s="68">
        <v>0</v>
      </c>
    </row>
    <row r="47" spans="1:45" x14ac:dyDescent="0.3">
      <c r="A47" s="1" t="s">
        <v>229</v>
      </c>
      <c r="B47" s="81">
        <v>110.34</v>
      </c>
      <c r="C47" s="81">
        <v>0</v>
      </c>
      <c r="D47" s="81">
        <v>0</v>
      </c>
      <c r="E47" s="81">
        <v>14.63</v>
      </c>
      <c r="F47" s="81">
        <v>74.81</v>
      </c>
      <c r="G47" s="81">
        <v>0</v>
      </c>
      <c r="I47" s="34" t="s">
        <v>285</v>
      </c>
      <c r="J47" s="72">
        <v>5658</v>
      </c>
      <c r="K47" s="72">
        <v>6601</v>
      </c>
      <c r="L47" s="72">
        <v>3656</v>
      </c>
      <c r="M47" s="72">
        <v>2488</v>
      </c>
      <c r="N47" s="73">
        <v>6369</v>
      </c>
      <c r="P47" s="34" t="s">
        <v>330</v>
      </c>
      <c r="Q47" s="72">
        <v>-3.61</v>
      </c>
      <c r="R47" s="72">
        <v>-2.44</v>
      </c>
      <c r="S47" s="72">
        <v>7.32</v>
      </c>
      <c r="T47" s="72">
        <v>9.34</v>
      </c>
      <c r="U47" s="72">
        <v>11.29</v>
      </c>
      <c r="V47" s="73">
        <v>13.88</v>
      </c>
      <c r="X47" s="34" t="s">
        <v>220</v>
      </c>
      <c r="Y47" s="66">
        <v>73</v>
      </c>
      <c r="Z47" s="66">
        <v>49</v>
      </c>
      <c r="AA47" s="66">
        <v>56</v>
      </c>
      <c r="AB47" s="66">
        <v>143</v>
      </c>
      <c r="AC47" s="66">
        <v>64</v>
      </c>
      <c r="AD47" s="68">
        <v>132</v>
      </c>
      <c r="AF47" s="63" t="s">
        <v>428</v>
      </c>
      <c r="AG47" s="66">
        <v>-100</v>
      </c>
      <c r="AH47" s="66">
        <v>0</v>
      </c>
      <c r="AI47" s="66">
        <v>551.30999999999995</v>
      </c>
      <c r="AJ47" s="66">
        <v>46.31</v>
      </c>
      <c r="AK47" s="66">
        <v>35.729999999999997</v>
      </c>
      <c r="AL47" s="66">
        <v>93.49</v>
      </c>
      <c r="AN47" s="34" t="s">
        <v>240</v>
      </c>
      <c r="AO47" s="66">
        <v>-277.351</v>
      </c>
      <c r="AP47" s="66">
        <v>-179.148</v>
      </c>
      <c r="AQ47" s="66">
        <v>-171.679</v>
      </c>
      <c r="AR47" s="66">
        <v>-269.44200000000001</v>
      </c>
      <c r="AS47" s="68">
        <v>-464.95499999999998</v>
      </c>
    </row>
    <row r="48" spans="1:45" x14ac:dyDescent="0.3">
      <c r="A48" s="1" t="s">
        <v>230</v>
      </c>
      <c r="B48" s="81">
        <v>50</v>
      </c>
      <c r="C48" s="81">
        <v>0</v>
      </c>
      <c r="D48" s="81">
        <v>0</v>
      </c>
      <c r="E48" s="81">
        <v>0</v>
      </c>
      <c r="F48" s="81">
        <v>0</v>
      </c>
      <c r="G48" s="81">
        <v>0</v>
      </c>
      <c r="I48" s="34" t="s">
        <v>220</v>
      </c>
      <c r="J48" s="72">
        <v>351</v>
      </c>
      <c r="K48" s="72">
        <v>277</v>
      </c>
      <c r="L48" s="72">
        <v>161</v>
      </c>
      <c r="M48" s="72">
        <v>259</v>
      </c>
      <c r="N48" s="73">
        <v>425</v>
      </c>
      <c r="P48" s="35" t="s">
        <v>331</v>
      </c>
      <c r="Q48" s="67">
        <f t="shared" ref="Q48:V48" si="21">SUM(Q31:Q47)</f>
        <v>-6174.0200000000013</v>
      </c>
      <c r="R48" s="67">
        <f t="shared" si="21"/>
        <v>5682.9100000000044</v>
      </c>
      <c r="S48" s="67">
        <f t="shared" si="21"/>
        <v>-2238.4900000000025</v>
      </c>
      <c r="T48" s="67">
        <f t="shared" si="21"/>
        <v>-5732.3099999999968</v>
      </c>
      <c r="U48" s="67">
        <f t="shared" si="21"/>
        <v>1562.7699999999943</v>
      </c>
      <c r="V48" s="69">
        <f t="shared" si="21"/>
        <v>-395.82000000000329</v>
      </c>
      <c r="X48" s="35" t="s">
        <v>381</v>
      </c>
      <c r="Y48" s="67">
        <f>SUM(Y35:Y47)</f>
        <v>235</v>
      </c>
      <c r="Z48" s="67">
        <f t="shared" ref="Z48:AD48" si="22">SUM(Z35:Z47)</f>
        <v>-2801</v>
      </c>
      <c r="AA48" s="67">
        <f t="shared" si="22"/>
        <v>1164</v>
      </c>
      <c r="AB48" s="67">
        <f t="shared" si="22"/>
        <v>-1811</v>
      </c>
      <c r="AC48" s="67">
        <f t="shared" si="22"/>
        <v>-189</v>
      </c>
      <c r="AD48" s="69">
        <f t="shared" si="22"/>
        <v>546</v>
      </c>
      <c r="AF48" s="63" t="s">
        <v>429</v>
      </c>
      <c r="AG48" s="66">
        <v>1032.42</v>
      </c>
      <c r="AH48" s="66">
        <v>-0.26</v>
      </c>
      <c r="AI48" s="66">
        <v>-300.89999999999998</v>
      </c>
      <c r="AJ48" s="66">
        <v>0</v>
      </c>
      <c r="AK48" s="66">
        <v>-0.05</v>
      </c>
      <c r="AL48" s="66">
        <v>0</v>
      </c>
      <c r="AN48" s="34" t="s">
        <v>470</v>
      </c>
      <c r="AO48" s="66">
        <v>0</v>
      </c>
      <c r="AP48" s="66">
        <v>0</v>
      </c>
      <c r="AQ48" s="66">
        <v>0</v>
      </c>
      <c r="AR48" s="66">
        <v>0</v>
      </c>
      <c r="AS48" s="68">
        <v>-61.1</v>
      </c>
    </row>
    <row r="49" spans="1:45" x14ac:dyDescent="0.3">
      <c r="A49" s="1" t="s">
        <v>231</v>
      </c>
      <c r="B49" s="81">
        <v>261.02999999999997</v>
      </c>
      <c r="C49" s="81">
        <v>200</v>
      </c>
      <c r="D49" s="81">
        <v>248</v>
      </c>
      <c r="E49" s="81">
        <v>0</v>
      </c>
      <c r="F49" s="81">
        <v>0</v>
      </c>
      <c r="G49" s="81">
        <v>0</v>
      </c>
      <c r="I49" s="34" t="s">
        <v>286</v>
      </c>
      <c r="J49" s="72">
        <v>1</v>
      </c>
      <c r="K49" s="72">
        <v>1</v>
      </c>
      <c r="L49" s="72">
        <v>1</v>
      </c>
      <c r="M49" s="72">
        <v>2</v>
      </c>
      <c r="N49" s="73">
        <v>3</v>
      </c>
      <c r="P49" s="18" t="s">
        <v>288</v>
      </c>
      <c r="Q49" s="22"/>
      <c r="R49" s="22"/>
      <c r="S49" s="22"/>
      <c r="T49" s="22"/>
      <c r="U49" s="22"/>
      <c r="V49" s="22"/>
      <c r="X49" s="18" t="s">
        <v>227</v>
      </c>
      <c r="Y49" s="22"/>
      <c r="Z49" s="22"/>
      <c r="AA49" s="22"/>
      <c r="AB49" s="22"/>
      <c r="AC49" s="22"/>
      <c r="AD49" s="22"/>
      <c r="AF49" s="63" t="s">
        <v>430</v>
      </c>
      <c r="AG49" s="66">
        <v>93.45</v>
      </c>
      <c r="AH49" s="66">
        <v>0</v>
      </c>
      <c r="AI49" s="66">
        <v>0</v>
      </c>
      <c r="AJ49" s="66">
        <v>173.27</v>
      </c>
      <c r="AK49" s="66"/>
      <c r="AL49" s="66"/>
      <c r="AN49" s="34" t="s">
        <v>336</v>
      </c>
      <c r="AO49" s="66">
        <v>-72.171999999999997</v>
      </c>
      <c r="AP49" s="66">
        <v>-108.258</v>
      </c>
      <c r="AQ49" s="66">
        <v>-162.387</v>
      </c>
      <c r="AR49" s="66">
        <v>-227.34800000000001</v>
      </c>
      <c r="AS49" s="68">
        <v>-324.82</v>
      </c>
    </row>
    <row r="50" spans="1:45" x14ac:dyDescent="0.3">
      <c r="A50" s="1" t="s">
        <v>232</v>
      </c>
      <c r="B50" s="81">
        <v>789.46</v>
      </c>
      <c r="C50" s="81">
        <v>0</v>
      </c>
      <c r="D50" s="81">
        <v>0</v>
      </c>
      <c r="E50" s="81">
        <v>0</v>
      </c>
      <c r="F50" s="81">
        <v>0</v>
      </c>
      <c r="G50" s="81">
        <v>0</v>
      </c>
      <c r="I50" s="63" t="s">
        <v>303</v>
      </c>
      <c r="J50" s="72">
        <v>0</v>
      </c>
      <c r="K50" s="72">
        <v>-44</v>
      </c>
      <c r="L50" s="72">
        <v>-1</v>
      </c>
      <c r="M50" s="72">
        <v>0</v>
      </c>
      <c r="N50" s="72">
        <v>0</v>
      </c>
      <c r="P50" s="34" t="s">
        <v>332</v>
      </c>
      <c r="Q50" s="72">
        <v>625.29999999999995</v>
      </c>
      <c r="R50" s="72">
        <v>290.64999999999998</v>
      </c>
      <c r="S50" s="72">
        <f>291.82-0.34</f>
        <v>291.48</v>
      </c>
      <c r="T50" s="72">
        <v>2477.39</v>
      </c>
      <c r="U50" s="72">
        <v>1442.83</v>
      </c>
      <c r="V50" s="73">
        <v>797.33</v>
      </c>
      <c r="X50" s="34" t="s">
        <v>382</v>
      </c>
      <c r="Y50" s="66">
        <v>693</v>
      </c>
      <c r="Z50" s="66">
        <v>-12</v>
      </c>
      <c r="AA50" s="66">
        <v>-7</v>
      </c>
      <c r="AB50" s="66">
        <v>-7</v>
      </c>
      <c r="AC50" s="66">
        <v>3301</v>
      </c>
      <c r="AD50" s="68">
        <f>70-378</f>
        <v>-308</v>
      </c>
      <c r="AF50" s="63" t="s">
        <v>235</v>
      </c>
      <c r="AG50" s="66">
        <v>-186.49</v>
      </c>
      <c r="AH50" s="66">
        <v>0</v>
      </c>
      <c r="AI50" s="66">
        <v>0</v>
      </c>
      <c r="AJ50" s="66">
        <v>-173.27</v>
      </c>
      <c r="AK50" s="66">
        <v>-277.45999999999998</v>
      </c>
      <c r="AL50" s="66">
        <v>-539.69000000000005</v>
      </c>
      <c r="AN50" s="34" t="s">
        <v>302</v>
      </c>
      <c r="AO50" s="66">
        <v>0</v>
      </c>
      <c r="AP50" s="66">
        <v>0</v>
      </c>
      <c r="AQ50" s="66">
        <v>0</v>
      </c>
      <c r="AR50" s="66">
        <v>0.35099999999999998</v>
      </c>
      <c r="AS50" s="68">
        <v>0</v>
      </c>
    </row>
    <row r="51" spans="1:45" x14ac:dyDescent="0.3">
      <c r="A51" s="1" t="s">
        <v>233</v>
      </c>
      <c r="B51" s="81">
        <v>300</v>
      </c>
      <c r="C51" s="81">
        <v>0</v>
      </c>
      <c r="D51" s="81">
        <v>0</v>
      </c>
      <c r="E51" s="81">
        <v>0</v>
      </c>
      <c r="F51" s="81">
        <v>0</v>
      </c>
      <c r="G51" s="81">
        <v>0</v>
      </c>
      <c r="I51" s="35" t="s">
        <v>287</v>
      </c>
      <c r="J51" s="67">
        <f>SUM(J35:J50)</f>
        <v>1791</v>
      </c>
      <c r="K51" s="67">
        <f t="shared" ref="K51:N51" si="23">SUM(K35:K50)</f>
        <v>-1528</v>
      </c>
      <c r="L51" s="67">
        <f t="shared" si="23"/>
        <v>-1728</v>
      </c>
      <c r="M51" s="67">
        <f t="shared" si="23"/>
        <v>-1494</v>
      </c>
      <c r="N51" s="67">
        <f t="shared" si="23"/>
        <v>-5324</v>
      </c>
      <c r="P51" s="34" t="s">
        <v>333</v>
      </c>
      <c r="Q51" s="72">
        <v>-3.42</v>
      </c>
      <c r="R51" s="72">
        <v>-2.2799999999999998</v>
      </c>
      <c r="S51" s="72">
        <v>-0.35</v>
      </c>
      <c r="T51" s="72">
        <v>-0.73</v>
      </c>
      <c r="U51" s="72">
        <v>-1.57</v>
      </c>
      <c r="V51" s="73">
        <v>-1.52</v>
      </c>
      <c r="X51" s="34" t="s">
        <v>383</v>
      </c>
      <c r="Y51" s="66">
        <v>0</v>
      </c>
      <c r="Z51" s="66">
        <v>-550</v>
      </c>
      <c r="AA51" s="66">
        <v>349</v>
      </c>
      <c r="AB51" s="66">
        <v>1684</v>
      </c>
      <c r="AC51" s="66">
        <v>2328</v>
      </c>
      <c r="AD51" s="68">
        <v>2529</v>
      </c>
      <c r="AF51" s="63" t="s">
        <v>178</v>
      </c>
      <c r="AG51" s="66">
        <v>-251.15</v>
      </c>
      <c r="AH51" s="66">
        <v>-248.88</v>
      </c>
      <c r="AI51" s="66">
        <v>-69.42</v>
      </c>
      <c r="AJ51" s="66">
        <v>-139.74</v>
      </c>
      <c r="AK51" s="66">
        <v>-309.39999999999998</v>
      </c>
      <c r="AL51" s="66">
        <v>-133.88</v>
      </c>
      <c r="AN51" s="35" t="s">
        <v>471</v>
      </c>
      <c r="AO51" s="67">
        <f>SUM(AO41:AO50)</f>
        <v>-573.71699999999987</v>
      </c>
      <c r="AP51" s="67">
        <f t="shared" ref="AP51:AS51" si="24">SUM(AP41:AP50)</f>
        <v>-177.68199999999996</v>
      </c>
      <c r="AQ51" s="67">
        <f t="shared" si="24"/>
        <v>-17.941999999999922</v>
      </c>
      <c r="AR51" s="67">
        <f t="shared" si="24"/>
        <v>984.9000000000002</v>
      </c>
      <c r="AS51" s="69">
        <f t="shared" si="24"/>
        <v>2953.5469999999996</v>
      </c>
    </row>
    <row r="52" spans="1:45" x14ac:dyDescent="0.3">
      <c r="A52" s="1" t="s">
        <v>234</v>
      </c>
      <c r="B52" s="81">
        <v>-200</v>
      </c>
      <c r="C52" s="81">
        <v>0</v>
      </c>
      <c r="D52" s="81">
        <v>0</v>
      </c>
      <c r="E52" s="81">
        <v>0</v>
      </c>
      <c r="F52" s="81">
        <v>0</v>
      </c>
      <c r="G52" s="81">
        <v>0</v>
      </c>
      <c r="I52" s="18" t="s">
        <v>288</v>
      </c>
      <c r="J52" s="22"/>
      <c r="K52" s="22"/>
      <c r="L52" s="22"/>
      <c r="M52" s="22"/>
      <c r="N52" s="22"/>
      <c r="P52" s="63" t="s">
        <v>347</v>
      </c>
      <c r="Q52" s="72">
        <v>0</v>
      </c>
      <c r="R52" s="72">
        <v>0</v>
      </c>
      <c r="S52" s="72">
        <v>0</v>
      </c>
      <c r="T52" s="72">
        <v>0</v>
      </c>
      <c r="U52" s="72">
        <v>8</v>
      </c>
      <c r="V52" s="72">
        <v>89.5</v>
      </c>
      <c r="X52" s="34" t="s">
        <v>384</v>
      </c>
      <c r="Y52" s="66">
        <v>-536</v>
      </c>
      <c r="Z52" s="66">
        <v>-355</v>
      </c>
      <c r="AA52" s="66">
        <v>-355</v>
      </c>
      <c r="AB52" s="66">
        <v>-666</v>
      </c>
      <c r="AC52" s="66">
        <v>-888</v>
      </c>
      <c r="AD52" s="68">
        <v>-976</v>
      </c>
      <c r="AF52" s="63" t="s">
        <v>289</v>
      </c>
      <c r="AG52" s="66">
        <v>-52.01</v>
      </c>
      <c r="AH52" s="66">
        <v>-35.54</v>
      </c>
      <c r="AI52" s="66">
        <v>-246.25</v>
      </c>
      <c r="AJ52" s="66">
        <v>-358.72</v>
      </c>
      <c r="AK52" s="66">
        <v>0</v>
      </c>
      <c r="AL52" s="66">
        <v>0</v>
      </c>
      <c r="AN52" s="35" t="s">
        <v>472</v>
      </c>
      <c r="AO52" s="67">
        <f>AO26+AO39+AO51</f>
        <v>-32.826000000000022</v>
      </c>
      <c r="AP52" s="67">
        <f t="shared" ref="AP52:AS52" si="25">AP26+AP39+AP51</f>
        <v>43.101000000000397</v>
      </c>
      <c r="AQ52" s="67">
        <f t="shared" si="25"/>
        <v>68.223000000000269</v>
      </c>
      <c r="AR52" s="67">
        <f t="shared" si="25"/>
        <v>85.883900000000381</v>
      </c>
      <c r="AS52" s="69">
        <f t="shared" si="25"/>
        <v>2017.8712000000014</v>
      </c>
    </row>
    <row r="53" spans="1:45" x14ac:dyDescent="0.3">
      <c r="A53" s="1" t="s">
        <v>235</v>
      </c>
      <c r="B53" s="81">
        <v>-315</v>
      </c>
      <c r="C53" s="81">
        <v>-203.73</v>
      </c>
      <c r="D53" s="81">
        <v>-248</v>
      </c>
      <c r="E53" s="81">
        <v>0</v>
      </c>
      <c r="F53" s="81">
        <v>0</v>
      </c>
      <c r="G53" s="81">
        <v>0</v>
      </c>
      <c r="I53" s="34" t="s">
        <v>289</v>
      </c>
      <c r="J53" s="72">
        <v>-5196</v>
      </c>
      <c r="K53" s="72">
        <v>-8811</v>
      </c>
      <c r="L53" s="72">
        <v>-7526</v>
      </c>
      <c r="M53" s="72">
        <v>-8474</v>
      </c>
      <c r="N53" s="73">
        <v>-9416</v>
      </c>
      <c r="P53" s="63" t="s">
        <v>348</v>
      </c>
      <c r="Q53" s="72">
        <v>0</v>
      </c>
      <c r="R53" s="72">
        <v>0</v>
      </c>
      <c r="S53" s="72">
        <v>0</v>
      </c>
      <c r="T53" s="72">
        <v>0</v>
      </c>
      <c r="U53" s="72">
        <v>0</v>
      </c>
      <c r="V53" s="72">
        <v>-52.5</v>
      </c>
      <c r="X53" s="34" t="s">
        <v>385</v>
      </c>
      <c r="Y53" s="66">
        <v>-233</v>
      </c>
      <c r="Z53" s="66">
        <v>-114</v>
      </c>
      <c r="AA53" s="66">
        <v>-172</v>
      </c>
      <c r="AB53" s="66">
        <v>-254</v>
      </c>
      <c r="AC53" s="66">
        <v>-318</v>
      </c>
      <c r="AD53" s="68">
        <v>-700</v>
      </c>
      <c r="AF53" s="63" t="s">
        <v>334</v>
      </c>
      <c r="AG53" s="66">
        <v>-84.28</v>
      </c>
      <c r="AH53" s="66">
        <v>-87.24</v>
      </c>
      <c r="AI53" s="66">
        <v>-42.72</v>
      </c>
      <c r="AJ53" s="66">
        <v>-39.26</v>
      </c>
      <c r="AK53" s="66">
        <v>-78.27</v>
      </c>
      <c r="AL53" s="66">
        <v>-113.59</v>
      </c>
      <c r="AN53" s="34" t="s">
        <v>473</v>
      </c>
      <c r="AO53" s="66">
        <v>137.96799999999999</v>
      </c>
      <c r="AP53" s="66">
        <v>104.55800000000001</v>
      </c>
      <c r="AQ53" s="66">
        <v>150.75</v>
      </c>
      <c r="AR53" s="66">
        <v>154.33199999999999</v>
      </c>
      <c r="AS53" s="68">
        <v>242.21199999999999</v>
      </c>
    </row>
    <row r="54" spans="1:45" x14ac:dyDescent="0.3">
      <c r="A54" s="1" t="s">
        <v>236</v>
      </c>
      <c r="B54" s="81">
        <v>-1034.99</v>
      </c>
      <c r="C54" s="81">
        <v>0</v>
      </c>
      <c r="D54" s="81">
        <v>0</v>
      </c>
      <c r="E54" s="81">
        <v>0</v>
      </c>
      <c r="F54" s="81">
        <v>0</v>
      </c>
      <c r="G54" s="81">
        <v>0</v>
      </c>
      <c r="I54" s="63" t="s">
        <v>302</v>
      </c>
      <c r="J54" s="72">
        <v>-1061</v>
      </c>
      <c r="K54" s="72">
        <v>0</v>
      </c>
      <c r="L54" s="72">
        <v>0</v>
      </c>
      <c r="M54" s="72">
        <v>0</v>
      </c>
      <c r="N54" s="72">
        <v>0</v>
      </c>
      <c r="P54" s="34" t="s">
        <v>334</v>
      </c>
      <c r="Q54" s="72">
        <f>-49.35</f>
        <v>-49.35</v>
      </c>
      <c r="R54" s="72">
        <v>-54.73</v>
      </c>
      <c r="S54" s="72">
        <v>-59.02</v>
      </c>
      <c r="T54" s="72">
        <v>-59.11</v>
      </c>
      <c r="U54" s="72">
        <v>-66.89</v>
      </c>
      <c r="V54" s="73">
        <v>-65.52</v>
      </c>
      <c r="X54" s="34" t="s">
        <v>386</v>
      </c>
      <c r="Y54" s="66">
        <v>-166</v>
      </c>
      <c r="Z54" s="66">
        <v>-203</v>
      </c>
      <c r="AA54" s="66">
        <v>-218</v>
      </c>
      <c r="AB54" s="66">
        <v>-300</v>
      </c>
      <c r="AC54" s="66">
        <v>-619</v>
      </c>
      <c r="AD54" s="68">
        <v>-538</v>
      </c>
      <c r="AF54" s="77" t="s">
        <v>338</v>
      </c>
      <c r="AG54" s="67">
        <f>SUM(AG47:AG53)</f>
        <v>451.94000000000017</v>
      </c>
      <c r="AH54" s="67">
        <f t="shared" ref="AH54:AL54" si="26">SUM(AH47:AH53)</f>
        <v>-371.92</v>
      </c>
      <c r="AI54" s="67">
        <f t="shared" si="26"/>
        <v>-107.98000000000005</v>
      </c>
      <c r="AJ54" s="67">
        <f t="shared" si="26"/>
        <v>-491.41</v>
      </c>
      <c r="AK54" s="67">
        <f t="shared" si="26"/>
        <v>-629.44999999999993</v>
      </c>
      <c r="AL54" s="67">
        <f t="shared" si="26"/>
        <v>-693.67000000000007</v>
      </c>
      <c r="AN54" s="34" t="s">
        <v>474</v>
      </c>
      <c r="AO54" s="66">
        <v>-0.58399999999999996</v>
      </c>
      <c r="AP54" s="66">
        <v>3.0910000000000002</v>
      </c>
      <c r="AQ54" s="66">
        <v>-63.906999999999996</v>
      </c>
      <c r="AR54" s="66">
        <v>2.069</v>
      </c>
      <c r="AS54" s="68">
        <v>6.2169999999999996</v>
      </c>
    </row>
    <row r="55" spans="1:45" x14ac:dyDescent="0.3">
      <c r="A55" s="1" t="s">
        <v>237</v>
      </c>
      <c r="B55" s="81">
        <v>-512</v>
      </c>
      <c r="C55" s="81">
        <v>-34</v>
      </c>
      <c r="D55" s="81">
        <v>0</v>
      </c>
      <c r="E55" s="81">
        <v>0</v>
      </c>
      <c r="F55" s="81">
        <v>0</v>
      </c>
      <c r="G55" s="81">
        <v>0</v>
      </c>
      <c r="I55" s="34" t="s">
        <v>290</v>
      </c>
      <c r="J55" s="72">
        <v>-99</v>
      </c>
      <c r="K55" s="72">
        <v>188</v>
      </c>
      <c r="L55" s="72">
        <v>55</v>
      </c>
      <c r="M55" s="72">
        <v>286</v>
      </c>
      <c r="N55" s="73">
        <v>0</v>
      </c>
      <c r="P55" s="34" t="s">
        <v>240</v>
      </c>
      <c r="Q55" s="72">
        <v>-43.84</v>
      </c>
      <c r="R55" s="72">
        <v>-41.23</v>
      </c>
      <c r="S55" s="72">
        <v>-39.549999999999997</v>
      </c>
      <c r="T55" s="72">
        <v>-41.42</v>
      </c>
      <c r="U55" s="72">
        <v>-46.25</v>
      </c>
      <c r="V55" s="73">
        <v>-50.01</v>
      </c>
      <c r="X55" s="63" t="s">
        <v>391</v>
      </c>
      <c r="Y55" s="72">
        <v>0</v>
      </c>
      <c r="Z55" s="72">
        <v>0</v>
      </c>
      <c r="AA55" s="72">
        <v>0</v>
      </c>
      <c r="AB55" s="72">
        <v>0</v>
      </c>
      <c r="AC55" s="72">
        <v>-236</v>
      </c>
      <c r="AD55" s="72">
        <v>-6</v>
      </c>
      <c r="AF55" s="23" t="s">
        <v>435</v>
      </c>
      <c r="AG55" s="67">
        <v>-0.01</v>
      </c>
      <c r="AH55" s="67">
        <v>0</v>
      </c>
      <c r="AI55" s="67">
        <v>0</v>
      </c>
      <c r="AJ55" s="67">
        <v>0.01</v>
      </c>
      <c r="AK55" s="67">
        <v>0.01</v>
      </c>
      <c r="AL55" s="67">
        <v>-0.04</v>
      </c>
      <c r="AN55" s="36" t="s">
        <v>300</v>
      </c>
      <c r="AO55" s="70">
        <f>SUM(AO52:AO54)</f>
        <v>104.55799999999996</v>
      </c>
      <c r="AP55" s="70">
        <f t="shared" ref="AP55:AS55" si="27">SUM(AP52:AP54)</f>
        <v>150.7500000000004</v>
      </c>
      <c r="AQ55" s="70">
        <f t="shared" si="27"/>
        <v>155.06600000000026</v>
      </c>
      <c r="AR55" s="70">
        <f t="shared" si="27"/>
        <v>242.28490000000036</v>
      </c>
      <c r="AS55" s="71">
        <f t="shared" si="27"/>
        <v>2266.3002000000015</v>
      </c>
    </row>
    <row r="56" spans="1:45" x14ac:dyDescent="0.3">
      <c r="A56" s="1" t="s">
        <v>238</v>
      </c>
      <c r="B56" s="81">
        <v>-70.06</v>
      </c>
      <c r="C56" s="81">
        <v>-98.17</v>
      </c>
      <c r="D56" s="81">
        <v>-125.45</v>
      </c>
      <c r="E56" s="81">
        <v>-153.27000000000001</v>
      </c>
      <c r="F56" s="81">
        <v>-164.32</v>
      </c>
      <c r="G56" s="81">
        <v>-189.85</v>
      </c>
      <c r="I56" s="34" t="s">
        <v>291</v>
      </c>
      <c r="J56" s="72">
        <v>0</v>
      </c>
      <c r="K56" s="72">
        <v>-188</v>
      </c>
      <c r="L56" s="72">
        <v>-55</v>
      </c>
      <c r="M56" s="72">
        <v>-201</v>
      </c>
      <c r="N56" s="73">
        <v>-85</v>
      </c>
      <c r="P56" s="34" t="s">
        <v>335</v>
      </c>
      <c r="Q56" s="72">
        <v>-1.1299999999999999</v>
      </c>
      <c r="R56" s="72">
        <v>41.17</v>
      </c>
      <c r="S56" s="72">
        <v>15.26</v>
      </c>
      <c r="T56" s="72">
        <v>14.94</v>
      </c>
      <c r="U56" s="72">
        <v>12.12</v>
      </c>
      <c r="V56" s="73">
        <v>8.09</v>
      </c>
      <c r="X56" s="63" t="s">
        <v>392</v>
      </c>
      <c r="Y56" s="72">
        <v>0</v>
      </c>
      <c r="Z56" s="72">
        <v>0</v>
      </c>
      <c r="AA56" s="72">
        <v>0</v>
      </c>
      <c r="AB56" s="72">
        <v>0</v>
      </c>
      <c r="AC56" s="72">
        <v>-4696</v>
      </c>
      <c r="AD56" s="72">
        <v>-1</v>
      </c>
      <c r="AF56" s="77" t="s">
        <v>431</v>
      </c>
      <c r="AG56" s="67">
        <f>AG33+AG45+AG54+AG55</f>
        <v>-2.4799999999999702</v>
      </c>
      <c r="AH56" s="67">
        <f t="shared" ref="AH56:AL56" si="28">AH33+AH45+AH54+AH55</f>
        <v>17.570000000000107</v>
      </c>
      <c r="AI56" s="67">
        <f t="shared" si="28"/>
        <v>6.1300000000002939</v>
      </c>
      <c r="AJ56" s="67">
        <f t="shared" si="28"/>
        <v>0.83999999999987041</v>
      </c>
      <c r="AK56" s="67">
        <f t="shared" si="28"/>
        <v>211.32000000000016</v>
      </c>
      <c r="AL56" s="67">
        <f t="shared" si="28"/>
        <v>43.51999999999915</v>
      </c>
    </row>
    <row r="57" spans="1:45" x14ac:dyDescent="0.3">
      <c r="A57" s="1" t="s">
        <v>239</v>
      </c>
      <c r="B57" s="81">
        <v>-29.7</v>
      </c>
      <c r="C57" s="81">
        <v>-37.5</v>
      </c>
      <c r="D57" s="81">
        <v>-52.23</v>
      </c>
      <c r="E57" s="81">
        <v>-66.37</v>
      </c>
      <c r="F57" s="81">
        <v>-56.96</v>
      </c>
      <c r="G57" s="81">
        <v>-67.290000000000006</v>
      </c>
      <c r="I57" s="34" t="s">
        <v>292</v>
      </c>
      <c r="J57" s="72">
        <v>0</v>
      </c>
      <c r="K57" s="72">
        <v>0</v>
      </c>
      <c r="L57" s="72">
        <v>0</v>
      </c>
      <c r="M57" s="72">
        <v>-7</v>
      </c>
      <c r="N57" s="73">
        <v>0</v>
      </c>
      <c r="P57" s="34" t="s">
        <v>336</v>
      </c>
      <c r="Q57" s="72">
        <v>-7301.62</v>
      </c>
      <c r="R57" s="72">
        <v>-18881.39</v>
      </c>
      <c r="S57" s="72">
        <v>-13788.32</v>
      </c>
      <c r="T57" s="72">
        <v>-15417.53</v>
      </c>
      <c r="U57" s="72">
        <v>-19899.2</v>
      </c>
      <c r="V57" s="73">
        <v>-17782.22</v>
      </c>
      <c r="X57" s="63" t="s">
        <v>393</v>
      </c>
      <c r="Y57" s="72">
        <v>0</v>
      </c>
      <c r="Z57" s="72">
        <v>0</v>
      </c>
      <c r="AA57" s="72">
        <v>0</v>
      </c>
      <c r="AB57" s="72">
        <v>0</v>
      </c>
      <c r="AC57" s="72">
        <v>-201</v>
      </c>
      <c r="AD57" s="72">
        <v>0</v>
      </c>
      <c r="AF57" s="63" t="s">
        <v>432</v>
      </c>
      <c r="AG57" s="66">
        <v>51.46</v>
      </c>
      <c r="AH57" s="66">
        <v>56</v>
      </c>
      <c r="AI57" s="66">
        <v>76.260000000000005</v>
      </c>
      <c r="AJ57" s="66">
        <v>82.39</v>
      </c>
      <c r="AK57" s="66">
        <v>83.23</v>
      </c>
      <c r="AL57" s="66">
        <v>294.55</v>
      </c>
    </row>
    <row r="58" spans="1:45" x14ac:dyDescent="0.3">
      <c r="A58" s="1" t="s">
        <v>240</v>
      </c>
      <c r="B58" s="81">
        <v>-68.17</v>
      </c>
      <c r="C58" s="81">
        <v>-6.1</v>
      </c>
      <c r="D58" s="81">
        <v>-1.56</v>
      </c>
      <c r="E58" s="81">
        <v>-1.04</v>
      </c>
      <c r="F58" s="81">
        <v>-1.17</v>
      </c>
      <c r="G58" s="81">
        <v>-2.16</v>
      </c>
      <c r="I58" s="34" t="s">
        <v>293</v>
      </c>
      <c r="J58" s="72">
        <v>-373</v>
      </c>
      <c r="K58" s="72">
        <v>-406</v>
      </c>
      <c r="L58" s="72">
        <v>-407</v>
      </c>
      <c r="M58" s="72">
        <v>-467</v>
      </c>
      <c r="N58" s="73">
        <v>-423</v>
      </c>
      <c r="P58" s="34" t="s">
        <v>337</v>
      </c>
      <c r="Q58" s="72">
        <v>-1407.42</v>
      </c>
      <c r="R58" s="72">
        <v>13.98</v>
      </c>
      <c r="S58" s="72">
        <v>0</v>
      </c>
      <c r="T58" s="72">
        <v>20.43</v>
      </c>
      <c r="U58" s="72">
        <v>0</v>
      </c>
      <c r="V58" s="73">
        <v>19.45</v>
      </c>
      <c r="X58" s="63" t="s">
        <v>394</v>
      </c>
      <c r="Y58" s="72">
        <v>0</v>
      </c>
      <c r="Z58" s="72">
        <v>0</v>
      </c>
      <c r="AA58" s="72">
        <v>0</v>
      </c>
      <c r="AB58" s="72">
        <v>0</v>
      </c>
      <c r="AC58" s="72">
        <v>0</v>
      </c>
      <c r="AD58" s="72">
        <v>-7</v>
      </c>
      <c r="AF58" s="63" t="s">
        <v>433</v>
      </c>
      <c r="AG58" s="66">
        <v>7.02</v>
      </c>
      <c r="AH58" s="66">
        <v>2.06</v>
      </c>
      <c r="AI58" s="66">
        <v>0</v>
      </c>
      <c r="AJ58" s="66">
        <v>0</v>
      </c>
      <c r="AK58" s="66">
        <v>0</v>
      </c>
      <c r="AL58" s="66">
        <v>0.4</v>
      </c>
    </row>
    <row r="59" spans="1:45" x14ac:dyDescent="0.3">
      <c r="A59" s="23" t="s">
        <v>241</v>
      </c>
      <c r="B59" s="25">
        <f>SUM(B46:B58)</f>
        <v>3357.4200000000005</v>
      </c>
      <c r="C59" s="25">
        <f t="shared" ref="C59:G59" si="29">SUM(C46:C58)</f>
        <v>-179.49999999999997</v>
      </c>
      <c r="D59" s="25">
        <f t="shared" si="29"/>
        <v>-179.24</v>
      </c>
      <c r="E59" s="25">
        <f t="shared" si="29"/>
        <v>-205.14000000000001</v>
      </c>
      <c r="F59" s="25">
        <f t="shared" si="29"/>
        <v>-147.63999999999999</v>
      </c>
      <c r="G59" s="25">
        <f t="shared" si="29"/>
        <v>-259.3</v>
      </c>
      <c r="I59" s="34" t="s">
        <v>294</v>
      </c>
      <c r="J59" s="72">
        <v>-80</v>
      </c>
      <c r="K59" s="72">
        <v>-86</v>
      </c>
      <c r="L59" s="72">
        <v>-80</v>
      </c>
      <c r="M59" s="72">
        <v>-84</v>
      </c>
      <c r="N59" s="73">
        <v>-106</v>
      </c>
      <c r="P59" s="35" t="s">
        <v>338</v>
      </c>
      <c r="Q59" s="67">
        <f t="shared" ref="Q59:V59" si="30">SUM(Q50:Q58)</f>
        <v>-8181.48</v>
      </c>
      <c r="R59" s="67">
        <f t="shared" si="30"/>
        <v>-18633.829999999998</v>
      </c>
      <c r="S59" s="67">
        <f t="shared" si="30"/>
        <v>-13580.5</v>
      </c>
      <c r="T59" s="67">
        <f t="shared" si="30"/>
        <v>-13006.03</v>
      </c>
      <c r="U59" s="67">
        <f t="shared" si="30"/>
        <v>-18550.96</v>
      </c>
      <c r="V59" s="69">
        <f t="shared" si="30"/>
        <v>-17037.400000000001</v>
      </c>
      <c r="X59" s="63"/>
      <c r="Y59" s="72"/>
      <c r="Z59" s="72"/>
      <c r="AA59" s="72"/>
      <c r="AB59" s="72"/>
      <c r="AC59" s="72"/>
      <c r="AD59" s="72"/>
      <c r="AF59" s="77" t="s">
        <v>434</v>
      </c>
      <c r="AG59" s="67">
        <f>AG56+AG57+AG58</f>
        <v>56.000000000000028</v>
      </c>
      <c r="AH59" s="67">
        <f t="shared" ref="AH59:AL59" si="31">AH56+AH57+AH58</f>
        <v>75.630000000000109</v>
      </c>
      <c r="AI59" s="67">
        <f t="shared" si="31"/>
        <v>82.390000000000299</v>
      </c>
      <c r="AJ59" s="67">
        <f t="shared" si="31"/>
        <v>83.229999999999876</v>
      </c>
      <c r="AK59" s="67">
        <f t="shared" si="31"/>
        <v>294.55000000000018</v>
      </c>
      <c r="AL59" s="67">
        <f t="shared" si="31"/>
        <v>338.46999999999912</v>
      </c>
    </row>
    <row r="60" spans="1:45" x14ac:dyDescent="0.3">
      <c r="A60" s="23" t="s">
        <v>242</v>
      </c>
      <c r="B60" s="25">
        <f t="shared" ref="B60:G60" si="32">B30+B44+B59</f>
        <v>-18.999999999998636</v>
      </c>
      <c r="C60" s="25">
        <f t="shared" si="32"/>
        <v>85.640000000000356</v>
      </c>
      <c r="D60" s="25">
        <f t="shared" si="32"/>
        <v>-96.380000000000337</v>
      </c>
      <c r="E60" s="25">
        <f t="shared" si="32"/>
        <v>112.0299999999996</v>
      </c>
      <c r="F60" s="25">
        <f t="shared" si="32"/>
        <v>129.97000000000287</v>
      </c>
      <c r="G60" s="25">
        <f t="shared" si="32"/>
        <v>18.360000000001207</v>
      </c>
      <c r="I60" s="34" t="s">
        <v>295</v>
      </c>
      <c r="J60" s="72">
        <v>-10</v>
      </c>
      <c r="K60" s="72">
        <v>-6</v>
      </c>
      <c r="L60" s="72">
        <v>-2</v>
      </c>
      <c r="M60" s="72">
        <v>-4</v>
      </c>
      <c r="N60" s="73">
        <v>-4</v>
      </c>
      <c r="P60" s="35" t="s">
        <v>339</v>
      </c>
      <c r="Q60" s="67">
        <f t="shared" ref="Q60:V60" si="33">Q29+Q48+Q59</f>
        <v>334.15999999999622</v>
      </c>
      <c r="R60" s="67">
        <f t="shared" si="33"/>
        <v>-423.82999999999083</v>
      </c>
      <c r="S60" s="67">
        <f t="shared" si="33"/>
        <v>-43.480000000003201</v>
      </c>
      <c r="T60" s="67">
        <f t="shared" si="33"/>
        <v>139.20999999999731</v>
      </c>
      <c r="U60" s="67">
        <f t="shared" si="33"/>
        <v>190.66999999999098</v>
      </c>
      <c r="V60" s="69">
        <f t="shared" si="33"/>
        <v>193.81999999999607</v>
      </c>
      <c r="X60" s="35" t="s">
        <v>387</v>
      </c>
      <c r="Y60" s="67">
        <f>SUM(Y50:Y59)</f>
        <v>-242</v>
      </c>
      <c r="Z60" s="67">
        <f t="shared" ref="Z60:AD60" si="34">SUM(Z50:Z59)</f>
        <v>-1234</v>
      </c>
      <c r="AA60" s="67">
        <f t="shared" si="34"/>
        <v>-403</v>
      </c>
      <c r="AB60" s="67">
        <f t="shared" si="34"/>
        <v>457</v>
      </c>
      <c r="AC60" s="67">
        <f t="shared" si="34"/>
        <v>-1329</v>
      </c>
      <c r="AD60" s="67">
        <f t="shared" si="34"/>
        <v>-7</v>
      </c>
    </row>
    <row r="61" spans="1:45" x14ac:dyDescent="0.3">
      <c r="A61" s="1" t="s">
        <v>243</v>
      </c>
      <c r="B61" s="81">
        <v>124.86</v>
      </c>
      <c r="C61" s="81">
        <v>105.86</v>
      </c>
      <c r="D61" s="81">
        <v>191.5</v>
      </c>
      <c r="E61" s="81">
        <v>95.12</v>
      </c>
      <c r="F61" s="81">
        <v>207.15</v>
      </c>
      <c r="G61" s="81">
        <v>337.12</v>
      </c>
      <c r="I61" s="34" t="s">
        <v>296</v>
      </c>
      <c r="J61" s="72">
        <v>0</v>
      </c>
      <c r="K61" s="72">
        <v>0</v>
      </c>
      <c r="L61" s="72">
        <v>0</v>
      </c>
      <c r="M61" s="72">
        <v>-2</v>
      </c>
      <c r="N61" s="73">
        <v>0</v>
      </c>
      <c r="P61" s="34" t="s">
        <v>340</v>
      </c>
      <c r="Q61" s="72">
        <v>342.88</v>
      </c>
      <c r="R61" s="72">
        <v>677.04</v>
      </c>
      <c r="S61" s="72">
        <v>310.16000000000003</v>
      </c>
      <c r="T61" s="72">
        <v>266.68</v>
      </c>
      <c r="U61" s="72">
        <v>405.91</v>
      </c>
      <c r="V61" s="73">
        <v>596.58000000000004</v>
      </c>
      <c r="X61" s="35" t="s">
        <v>298</v>
      </c>
      <c r="Y61" s="67">
        <f t="shared" ref="Y61:AD61" si="35">Y33+Y48+Y60</f>
        <v>-355</v>
      </c>
      <c r="Z61" s="67">
        <f t="shared" si="35"/>
        <v>104</v>
      </c>
      <c r="AA61" s="67">
        <f t="shared" si="35"/>
        <v>37</v>
      </c>
      <c r="AB61" s="67">
        <f t="shared" si="35"/>
        <v>16</v>
      </c>
      <c r="AC61" s="67">
        <f t="shared" si="35"/>
        <v>177</v>
      </c>
      <c r="AD61" s="69">
        <f t="shared" si="35"/>
        <v>-2</v>
      </c>
    </row>
    <row r="62" spans="1:45" x14ac:dyDescent="0.3">
      <c r="A62" s="23" t="s">
        <v>244</v>
      </c>
      <c r="B62" s="25">
        <f>B60+B61</f>
        <v>105.86000000000136</v>
      </c>
      <c r="C62" s="25">
        <f t="shared" ref="C62:G62" si="36">C60+C61</f>
        <v>191.50000000000034</v>
      </c>
      <c r="D62" s="25">
        <f t="shared" si="36"/>
        <v>95.119999999999663</v>
      </c>
      <c r="E62" s="25">
        <f t="shared" si="36"/>
        <v>207.14999999999961</v>
      </c>
      <c r="F62" s="25">
        <f t="shared" si="36"/>
        <v>337.12000000000285</v>
      </c>
      <c r="G62" s="25">
        <f t="shared" si="36"/>
        <v>355.48000000000121</v>
      </c>
      <c r="I62" s="35" t="s">
        <v>297</v>
      </c>
      <c r="J62" s="67">
        <f>SUM(J53:J61)</f>
        <v>-6819</v>
      </c>
      <c r="K62" s="67">
        <f>SUM(K53:K61)</f>
        <v>-9309</v>
      </c>
      <c r="L62" s="67">
        <f>SUM(L53:L61)</f>
        <v>-8015</v>
      </c>
      <c r="M62" s="67">
        <f>SUM(M53:M61)</f>
        <v>-8953</v>
      </c>
      <c r="N62" s="69">
        <f>SUM(N53:N61)</f>
        <v>-10034</v>
      </c>
      <c r="P62" s="34" t="s">
        <v>341</v>
      </c>
      <c r="Q62" s="72">
        <v>0</v>
      </c>
      <c r="R62" s="72">
        <v>56.95</v>
      </c>
      <c r="S62" s="72">
        <v>0</v>
      </c>
      <c r="T62" s="72">
        <v>0</v>
      </c>
      <c r="U62" s="72">
        <v>0</v>
      </c>
      <c r="V62" s="73">
        <f>-199.74+31.72</f>
        <v>-168.02</v>
      </c>
      <c r="X62" s="34" t="s">
        <v>388</v>
      </c>
      <c r="Y62" s="72">
        <v>430</v>
      </c>
      <c r="Z62" s="72">
        <v>75</v>
      </c>
      <c r="AA62" s="72">
        <v>181</v>
      </c>
      <c r="AB62" s="72">
        <v>219</v>
      </c>
      <c r="AC62" s="72">
        <v>232</v>
      </c>
      <c r="AD62" s="73">
        <v>409</v>
      </c>
    </row>
    <row r="63" spans="1:45" x14ac:dyDescent="0.3">
      <c r="I63" s="35" t="s">
        <v>298</v>
      </c>
      <c r="J63" s="67">
        <f>J33+J51+J62</f>
        <v>2595</v>
      </c>
      <c r="K63" s="67">
        <f>K33+K51+K62</f>
        <v>-1674</v>
      </c>
      <c r="L63" s="67">
        <f>L33+L51+L62</f>
        <v>-695</v>
      </c>
      <c r="M63" s="67">
        <f>M33+M51+M62</f>
        <v>-456</v>
      </c>
      <c r="N63" s="69">
        <f>N33+N51+N62</f>
        <v>111</v>
      </c>
      <c r="P63" s="36" t="s">
        <v>342</v>
      </c>
      <c r="Q63" s="70">
        <f>Q60+Q61+Q62</f>
        <v>677.03999999999621</v>
      </c>
      <c r="R63" s="70">
        <f t="shared" ref="R63:V63" si="37">R60+R61+R62</f>
        <v>310.16000000000912</v>
      </c>
      <c r="S63" s="70">
        <f t="shared" si="37"/>
        <v>266.67999999999682</v>
      </c>
      <c r="T63" s="70">
        <f t="shared" si="37"/>
        <v>405.88999999999731</v>
      </c>
      <c r="U63" s="70">
        <f t="shared" si="37"/>
        <v>596.57999999999106</v>
      </c>
      <c r="V63" s="71">
        <f t="shared" si="37"/>
        <v>622.37999999999613</v>
      </c>
      <c r="X63" s="34" t="s">
        <v>389</v>
      </c>
      <c r="Y63" s="72">
        <v>0</v>
      </c>
      <c r="Z63" s="72">
        <v>2</v>
      </c>
      <c r="AA63" s="72">
        <v>1</v>
      </c>
      <c r="AB63" s="72">
        <v>-3</v>
      </c>
      <c r="AC63" s="72">
        <v>0</v>
      </c>
      <c r="AD63" s="73">
        <v>0</v>
      </c>
    </row>
    <row r="64" spans="1:45" x14ac:dyDescent="0.3">
      <c r="I64" s="34" t="s">
        <v>243</v>
      </c>
      <c r="J64" s="72">
        <v>621</v>
      </c>
      <c r="K64" s="72">
        <v>3216</v>
      </c>
      <c r="L64" s="72">
        <v>1842</v>
      </c>
      <c r="M64" s="72">
        <v>1147</v>
      </c>
      <c r="N64" s="73">
        <v>701</v>
      </c>
      <c r="P64" s="23"/>
      <c r="Q64" s="24"/>
      <c r="R64" s="24"/>
      <c r="S64" s="24"/>
      <c r="T64" s="24"/>
      <c r="U64" s="24"/>
      <c r="V64" s="24"/>
      <c r="X64" s="36" t="s">
        <v>390</v>
      </c>
      <c r="Y64" s="70">
        <f>Y61+Y62+Y63</f>
        <v>75</v>
      </c>
      <c r="Z64" s="70">
        <f t="shared" ref="Z64:AD64" si="38">Z61+Z62+Z63</f>
        <v>181</v>
      </c>
      <c r="AA64" s="70">
        <f t="shared" si="38"/>
        <v>219</v>
      </c>
      <c r="AB64" s="70">
        <f t="shared" si="38"/>
        <v>232</v>
      </c>
      <c r="AC64" s="70">
        <f t="shared" si="38"/>
        <v>409</v>
      </c>
      <c r="AD64" s="70">
        <f t="shared" si="38"/>
        <v>407</v>
      </c>
    </row>
    <row r="65" spans="9:14" x14ac:dyDescent="0.3">
      <c r="I65" s="34" t="s">
        <v>299</v>
      </c>
      <c r="J65" s="72">
        <v>0</v>
      </c>
      <c r="K65" s="72">
        <v>300</v>
      </c>
      <c r="L65" s="72">
        <v>0</v>
      </c>
      <c r="M65" s="72">
        <v>10</v>
      </c>
      <c r="N65" s="73">
        <v>0</v>
      </c>
    </row>
    <row r="66" spans="9:14" x14ac:dyDescent="0.3">
      <c r="I66" s="36" t="s">
        <v>300</v>
      </c>
      <c r="J66" s="70">
        <f>J63+J64+J65</f>
        <v>3216</v>
      </c>
      <c r="K66" s="70">
        <f t="shared" ref="K66:N66" si="39">K63+K64+K65</f>
        <v>1842</v>
      </c>
      <c r="L66" s="70">
        <f t="shared" si="39"/>
        <v>1147</v>
      </c>
      <c r="M66" s="70">
        <f t="shared" si="39"/>
        <v>701</v>
      </c>
      <c r="N66" s="71">
        <f t="shared" si="39"/>
        <v>812</v>
      </c>
    </row>
  </sheetData>
  <pageMargins left="0.7" right="0.7" top="0.75" bottom="0.75" header="0.3" footer="0.3"/>
  <tableParts count="6">
    <tablePart r:id="rId1"/>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BDB66-4D89-469D-8A66-A9220B9098CE}">
  <dimension ref="A1:AS39"/>
  <sheetViews>
    <sheetView tabSelected="1" topLeftCell="AO5" workbookViewId="0">
      <selection activeCell="AT33" sqref="AT33"/>
    </sheetView>
  </sheetViews>
  <sheetFormatPr defaultRowHeight="14.4" x14ac:dyDescent="0.3"/>
  <cols>
    <col min="1" max="1" width="23.6640625" style="1" bestFit="1" customWidth="1"/>
    <col min="2" max="7" width="10.88671875" style="1" bestFit="1" customWidth="1"/>
    <col min="8" max="8" width="8.88671875" style="1"/>
    <col min="9" max="9" width="23.6640625" style="1" bestFit="1" customWidth="1"/>
    <col min="10" max="14" width="10.88671875" style="1" bestFit="1" customWidth="1"/>
    <col min="15" max="15" width="8.88671875" style="1"/>
    <col min="16" max="16" width="23.6640625" style="1" bestFit="1" customWidth="1"/>
    <col min="17" max="22" width="10.88671875" style="1" bestFit="1" customWidth="1"/>
    <col min="23" max="23" width="8.88671875" style="1"/>
    <col min="24" max="24" width="23.6640625" style="1" bestFit="1" customWidth="1"/>
    <col min="25" max="30" width="10.88671875" style="1" bestFit="1" customWidth="1"/>
    <col min="31" max="31" width="8.88671875" style="1"/>
    <col min="32" max="32" width="23.6640625" style="1" bestFit="1" customWidth="1"/>
    <col min="33" max="36" width="10.88671875" style="1" bestFit="1" customWidth="1"/>
    <col min="37" max="38" width="11.33203125" style="1" bestFit="1" customWidth="1"/>
    <col min="39" max="39" width="8.88671875" style="1"/>
    <col min="40" max="40" width="23.6640625" style="1" bestFit="1" customWidth="1"/>
    <col min="41" max="45" width="10.88671875" style="1" bestFit="1" customWidth="1"/>
    <col min="46" max="16384" width="8.88671875" style="1"/>
  </cols>
  <sheetData>
    <row r="1" spans="1:45" s="3" customFormat="1" ht="40.799999999999997" customHeight="1" x14ac:dyDescent="0.3">
      <c r="A1" s="3" t="e" vm="13">
        <v>#VALUE!</v>
      </c>
      <c r="I1" s="3" t="e" vm="6">
        <v>#VALUE!</v>
      </c>
      <c r="P1" s="3" t="e" vm="2">
        <v>#VALUE!</v>
      </c>
      <c r="X1" s="3" t="e" vm="5">
        <v>#VALUE!</v>
      </c>
      <c r="AF1" s="3" t="e" vm="14">
        <v>#VALUE!</v>
      </c>
      <c r="AN1" s="3" t="e" vm="4">
        <v>#VALUE!</v>
      </c>
    </row>
    <row r="2" spans="1:45" x14ac:dyDescent="0.3">
      <c r="A2" s="23" t="s">
        <v>497</v>
      </c>
      <c r="B2" s="75" t="s">
        <v>27</v>
      </c>
      <c r="C2" s="75" t="s">
        <v>28</v>
      </c>
      <c r="D2" s="75" t="s">
        <v>29</v>
      </c>
      <c r="E2" s="75" t="s">
        <v>30</v>
      </c>
      <c r="F2" s="75" t="s">
        <v>31</v>
      </c>
      <c r="G2" s="75" t="s">
        <v>32</v>
      </c>
      <c r="I2" s="101" t="s">
        <v>497</v>
      </c>
      <c r="J2" s="102" t="s">
        <v>27</v>
      </c>
      <c r="K2" s="102" t="s">
        <v>28</v>
      </c>
      <c r="L2" s="102" t="s">
        <v>29</v>
      </c>
      <c r="M2" s="102" t="s">
        <v>30</v>
      </c>
      <c r="N2" s="102" t="s">
        <v>31</v>
      </c>
      <c r="P2" s="101" t="s">
        <v>497</v>
      </c>
      <c r="Q2" s="102" t="s">
        <v>27</v>
      </c>
      <c r="R2" s="102" t="s">
        <v>28</v>
      </c>
      <c r="S2" s="102" t="s">
        <v>29</v>
      </c>
      <c r="T2" s="102" t="s">
        <v>30</v>
      </c>
      <c r="U2" s="102" t="s">
        <v>31</v>
      </c>
      <c r="V2" s="103" t="s">
        <v>32</v>
      </c>
      <c r="X2" s="23" t="s">
        <v>497</v>
      </c>
      <c r="Y2" s="75" t="s">
        <v>27</v>
      </c>
      <c r="Z2" s="75" t="s">
        <v>28</v>
      </c>
      <c r="AA2" s="75" t="s">
        <v>29</v>
      </c>
      <c r="AB2" s="75" t="s">
        <v>30</v>
      </c>
      <c r="AC2" s="75" t="s">
        <v>31</v>
      </c>
      <c r="AD2" s="75" t="s">
        <v>32</v>
      </c>
      <c r="AF2" s="23" t="s">
        <v>497</v>
      </c>
      <c r="AG2" s="75" t="s">
        <v>27</v>
      </c>
      <c r="AH2" s="75" t="s">
        <v>28</v>
      </c>
      <c r="AI2" s="75" t="s">
        <v>29</v>
      </c>
      <c r="AJ2" s="75" t="s">
        <v>30</v>
      </c>
      <c r="AK2" s="75" t="s">
        <v>31</v>
      </c>
      <c r="AL2" s="75" t="s">
        <v>32</v>
      </c>
      <c r="AN2" s="101" t="s">
        <v>497</v>
      </c>
      <c r="AO2" s="102" t="s">
        <v>27</v>
      </c>
      <c r="AP2" s="102" t="s">
        <v>28</v>
      </c>
      <c r="AQ2" s="102" t="s">
        <v>29</v>
      </c>
      <c r="AR2" s="102" t="s">
        <v>30</v>
      </c>
      <c r="AS2" s="102" t="s">
        <v>31</v>
      </c>
    </row>
    <row r="3" spans="1:45" s="23" customFormat="1" x14ac:dyDescent="0.3">
      <c r="A3" s="23" t="s">
        <v>498</v>
      </c>
      <c r="I3" s="107" t="s">
        <v>498</v>
      </c>
      <c r="J3" s="108"/>
      <c r="K3" s="108"/>
      <c r="L3" s="108"/>
      <c r="M3" s="108"/>
      <c r="N3" s="108"/>
      <c r="P3" s="107" t="s">
        <v>498</v>
      </c>
      <c r="Q3" s="108"/>
      <c r="R3" s="108"/>
      <c r="S3" s="108"/>
      <c r="T3" s="108"/>
      <c r="U3" s="108"/>
      <c r="V3" s="109"/>
      <c r="X3" s="23" t="s">
        <v>498</v>
      </c>
      <c r="AF3" s="23" t="s">
        <v>498</v>
      </c>
      <c r="AN3" s="107" t="s">
        <v>498</v>
      </c>
      <c r="AO3" s="108"/>
      <c r="AP3" s="108"/>
      <c r="AQ3" s="108"/>
      <c r="AR3" s="108"/>
      <c r="AS3" s="108"/>
    </row>
    <row r="4" spans="1:45" x14ac:dyDescent="0.3">
      <c r="A4" s="34" t="s">
        <v>499</v>
      </c>
      <c r="B4" s="113">
        <f>'Common Size Income Statement'!B5</f>
        <v>0.15147726998576616</v>
      </c>
      <c r="C4" s="113">
        <f>'Common Size Income Statement'!C5</f>
        <v>0.14862987541761485</v>
      </c>
      <c r="D4" s="113">
        <f>'Common Size Income Statement'!D5</f>
        <v>0.14781895948091883</v>
      </c>
      <c r="E4" s="113">
        <f>'Common Size Income Statement'!E5</f>
        <v>0.15069272420164914</v>
      </c>
      <c r="F4" s="113">
        <f>'Common Size Income Statement'!F5</f>
        <v>0.14795162637138914</v>
      </c>
      <c r="G4" s="113">
        <f>'Common Size Income Statement'!G5</f>
        <v>0.1483598265104733</v>
      </c>
      <c r="I4" s="104" t="s">
        <v>499</v>
      </c>
      <c r="J4" s="122">
        <f>'Common Size Income Statement'!J5</f>
        <v>0.54103511550159622</v>
      </c>
      <c r="K4" s="122">
        <f>'Common Size Income Statement'!K5</f>
        <v>0.52904652547418562</v>
      </c>
      <c r="L4" s="122">
        <f>'Common Size Income Statement'!L5</f>
        <v>0.50930480875567252</v>
      </c>
      <c r="M4" s="122">
        <f>'Common Size Income Statement'!M5</f>
        <v>0.4764608781776164</v>
      </c>
      <c r="N4" s="122">
        <f>'Common Size Income Statement'!N5</f>
        <v>0.51919348584722758</v>
      </c>
      <c r="P4" s="104" t="s">
        <v>499</v>
      </c>
      <c r="Q4" s="122">
        <f>'Common Size Income Statement'!Q5</f>
        <v>0.66249661678808613</v>
      </c>
      <c r="R4" s="122">
        <f>'Common Size Income Statement'!R5</f>
        <v>0.62126997361684078</v>
      </c>
      <c r="S4" s="122">
        <f>'Common Size Income Statement'!S5</f>
        <v>0.59535179532354587</v>
      </c>
      <c r="T4" s="122">
        <f>'Common Size Income Statement'!T5</f>
        <v>0.62092984140637897</v>
      </c>
      <c r="U4" s="122">
        <f>'Common Size Income Statement'!U5</f>
        <v>0.63485887334972402</v>
      </c>
      <c r="V4" s="122">
        <f>'Common Size Income Statement'!V5</f>
        <v>0.60816528979897511</v>
      </c>
      <c r="X4" s="34" t="s">
        <v>499</v>
      </c>
      <c r="Y4" s="113">
        <f>'Common Size Income Statement'!Y5</f>
        <v>0.28011590347710436</v>
      </c>
      <c r="Z4" s="113">
        <f>'Common Size Income Statement'!Z5</f>
        <v>0.24163740528552946</v>
      </c>
      <c r="AA4" s="113">
        <f>'Common Size Income Statement'!AA5</f>
        <v>0.2485502968853085</v>
      </c>
      <c r="AB4" s="113">
        <f>'Common Size Income Statement'!AB5</f>
        <v>0.25187923598274797</v>
      </c>
      <c r="AC4" s="113">
        <f>'Common Size Income Statement'!AC5</f>
        <v>0.22809490251350717</v>
      </c>
      <c r="AD4" s="113">
        <f>'Common Size Income Statement'!AD5</f>
        <v>0.21503242027259495</v>
      </c>
      <c r="AF4" s="34" t="s">
        <v>499</v>
      </c>
      <c r="AG4" s="113">
        <f>'Common Size Income Statement'!AG5</f>
        <v>0.46019483760664148</v>
      </c>
      <c r="AH4" s="113">
        <f>'Common Size Income Statement'!AH5</f>
        <v>0.40839812415154886</v>
      </c>
      <c r="AI4" s="113">
        <f>'Common Size Income Statement'!AI5</f>
        <v>0.44830392039163902</v>
      </c>
      <c r="AJ4" s="113">
        <f>'Common Size Income Statement'!AJ5</f>
        <v>0.42735640049405366</v>
      </c>
      <c r="AK4" s="113">
        <f>'Common Size Income Statement'!AK5</f>
        <v>0.43767045303031649</v>
      </c>
      <c r="AL4" s="113">
        <f>'Common Size Income Statement'!AL5</f>
        <v>0.43452812757337345</v>
      </c>
      <c r="AN4" s="104" t="s">
        <v>499</v>
      </c>
      <c r="AO4" s="122">
        <f>'Common Size Income Statement'!AO5</f>
        <v>0.57839756917167873</v>
      </c>
      <c r="AP4" s="122">
        <f>'Common Size Income Statement'!AP5</f>
        <v>0.54961722051672579</v>
      </c>
      <c r="AQ4" s="122">
        <f>'Common Size Income Statement'!AQ5</f>
        <v>0.53242008286734577</v>
      </c>
      <c r="AR4" s="122">
        <f>'Common Size Income Statement'!AR5</f>
        <v>0.54629866939426686</v>
      </c>
      <c r="AS4" s="122">
        <f>'Common Size Income Statement'!AS5</f>
        <v>0.56522721573522972</v>
      </c>
    </row>
    <row r="5" spans="1:45" x14ac:dyDescent="0.3">
      <c r="A5" s="34" t="s">
        <v>500</v>
      </c>
      <c r="B5" s="113">
        <f>'Common Size Income Statement'!B8</f>
        <v>0.1360556006787241</v>
      </c>
      <c r="C5" s="113">
        <f>'Common Size Income Statement'!C8</f>
        <v>0.13787730304277918</v>
      </c>
      <c r="D5" s="113">
        <f>'Common Size Income Statement'!D8</f>
        <v>0.13379596704186794</v>
      </c>
      <c r="E5" s="113">
        <f>'Common Size Income Statement'!E8</f>
        <v>0.13722526561897436</v>
      </c>
      <c r="F5" s="113">
        <f>'Common Size Income Statement'!F8</f>
        <v>0.13530238834011327</v>
      </c>
      <c r="G5" s="113">
        <f>'Common Size Income Statement'!G8</f>
        <v>0.13463531905108064</v>
      </c>
      <c r="I5" s="105" t="s">
        <v>500</v>
      </c>
      <c r="J5" s="123">
        <f>'Common Size Income Statement'!J8</f>
        <v>0.2478696930849861</v>
      </c>
      <c r="K5" s="123">
        <f>'Common Size Income Statement'!K8</f>
        <v>0.2472144254486689</v>
      </c>
      <c r="L5" s="123">
        <f>'Common Size Income Statement'!L8</f>
        <v>0.24514738969606834</v>
      </c>
      <c r="M5" s="123">
        <f>'Common Size Income Statement'!M8</f>
        <v>0.23354242324199409</v>
      </c>
      <c r="N5" s="123">
        <f>'Common Size Income Statement'!N8</f>
        <v>0.23689737624402218</v>
      </c>
      <c r="P5" s="105" t="s">
        <v>500</v>
      </c>
      <c r="Q5" s="123">
        <f>'Common Size Income Statement'!Q8</f>
        <v>0.37475889446655386</v>
      </c>
      <c r="R5" s="123">
        <f>'Common Size Income Statement'!R8</f>
        <v>0.31986946883009582</v>
      </c>
      <c r="S5" s="123">
        <f>'Common Size Income Statement'!S8</f>
        <v>0.31682267729326108</v>
      </c>
      <c r="T5" s="123">
        <f>'Common Size Income Statement'!T8</f>
        <v>0.33540944044561422</v>
      </c>
      <c r="U5" s="123">
        <f>'Common Size Income Statement'!U8</f>
        <v>0.34171472929946001</v>
      </c>
      <c r="V5" s="123">
        <f>'Common Size Income Statement'!V8</f>
        <v>0.3183105636151593</v>
      </c>
      <c r="X5" s="34" t="s">
        <v>500</v>
      </c>
      <c r="Y5" s="113">
        <f>'Common Size Income Statement'!Y8</f>
        <v>0.11718601558046747</v>
      </c>
      <c r="Z5" s="113">
        <f>'Common Size Income Statement'!Z8</f>
        <v>7.9652559600813147E-2</v>
      </c>
      <c r="AA5" s="113">
        <f>'Common Size Income Statement'!AA8</f>
        <v>0.11601097260321537</v>
      </c>
      <c r="AB5" s="113">
        <f>'Common Size Income Statement'!AB8</f>
        <v>0.12024645717806529</v>
      </c>
      <c r="AC5" s="113">
        <f>'Common Size Income Statement'!AC8</f>
        <v>0.10359408033826638</v>
      </c>
      <c r="AD5" s="113">
        <f>'Common Size Income Statement'!AD8</f>
        <v>9.4184200079396596E-2</v>
      </c>
      <c r="AF5" s="34" t="s">
        <v>500</v>
      </c>
      <c r="AG5" s="113">
        <f>'Common Size Income Statement'!AG8</f>
        <v>0.15463083551827611</v>
      </c>
      <c r="AH5" s="113">
        <f>'Common Size Income Statement'!AH8</f>
        <v>6.6294890781192162E-2</v>
      </c>
      <c r="AI5" s="113">
        <f>'Common Size Income Statement'!AI8</f>
        <v>0.1275828031000307</v>
      </c>
      <c r="AJ5" s="113">
        <f>'Common Size Income Statement'!AJ8</f>
        <v>0.13026539610435309</v>
      </c>
      <c r="AK5" s="113">
        <f>'Common Size Income Statement'!AK8</f>
        <v>0.15532225572136329</v>
      </c>
      <c r="AL5" s="113">
        <f>'Common Size Income Statement'!AL8</f>
        <v>0.1609870315110761</v>
      </c>
      <c r="AN5" s="105" t="s">
        <v>500</v>
      </c>
      <c r="AO5" s="123">
        <f>'Common Size Income Statement'!AO8</f>
        <v>0.18332908772245604</v>
      </c>
      <c r="AP5" s="123">
        <f>'Common Size Income Statement'!AP8</f>
        <v>0.18470543098008307</v>
      </c>
      <c r="AQ5" s="123">
        <f>'Common Size Income Statement'!AQ8</f>
        <v>0.20821425066826937</v>
      </c>
      <c r="AR5" s="123">
        <f>'Common Size Income Statement'!AR8</f>
        <v>0.22115501913080057</v>
      </c>
      <c r="AS5" s="123">
        <f>'Common Size Income Statement'!AS8</f>
        <v>0.23001784845201451</v>
      </c>
    </row>
    <row r="6" spans="1:45" x14ac:dyDescent="0.3">
      <c r="A6" s="34" t="s">
        <v>501</v>
      </c>
      <c r="B6" s="113">
        <f>'Common Size Income Statement'!B15</f>
        <v>5.2310797661458457E-2</v>
      </c>
      <c r="C6" s="113">
        <f>'Common Size Income Statement'!C15</f>
        <v>4.5538138081916736E-2</v>
      </c>
      <c r="D6" s="113">
        <f>'Common Size Income Statement'!D15</f>
        <v>4.817881559012762E-2</v>
      </c>
      <c r="E6" s="113">
        <f>'Common Size Income Statement'!E15</f>
        <v>5.5517376929174564E-2</v>
      </c>
      <c r="F6" s="113">
        <f>'Common Size Income Statement'!F15</f>
        <v>4.9924560183804076E-2</v>
      </c>
      <c r="G6" s="113">
        <f>'Common Size Income Statement'!G15</f>
        <v>4.5612178971512672E-2</v>
      </c>
      <c r="I6" s="104" t="s">
        <v>501</v>
      </c>
      <c r="J6" s="122">
        <f>'Common Size Income Statement'!J15</f>
        <v>0.17509602733515456</v>
      </c>
      <c r="K6" s="122">
        <f>'Common Size Income Statement'!K15</f>
        <v>0.17521500413876956</v>
      </c>
      <c r="L6" s="122">
        <f>'Common Size Income Statement'!L15</f>
        <v>0.17029933451543219</v>
      </c>
      <c r="M6" s="122">
        <f>'Common Size Income Statement'!M15</f>
        <v>0.16852022798795824</v>
      </c>
      <c r="N6" s="122">
        <f>'Common Size Income Statement'!N15</f>
        <v>0.16615483516267635</v>
      </c>
      <c r="P6" s="104" t="s">
        <v>501</v>
      </c>
      <c r="Q6" s="122">
        <f>'Common Size Income Statement'!Q15</f>
        <v>0.30340002338818528</v>
      </c>
      <c r="R6" s="122">
        <f>'Common Size Income Statement'!R15</f>
        <v>0.25177029042545662</v>
      </c>
      <c r="S6" s="122">
        <f>'Common Size Income Statement'!S15</f>
        <v>0.23775998022236342</v>
      </c>
      <c r="T6" s="122">
        <f>'Common Size Income Statement'!T15</f>
        <v>0.2545370572573511</v>
      </c>
      <c r="U6" s="122">
        <f>'Common Size Income Statement'!U15</f>
        <v>0.28083581546601544</v>
      </c>
      <c r="V6" s="122">
        <f>'Common Size Income Statement'!V15</f>
        <v>0.42949743900403836</v>
      </c>
      <c r="X6" s="34" t="s">
        <v>501</v>
      </c>
      <c r="Y6" s="113">
        <f>'Common Size Income Statement'!Y15</f>
        <v>7.0919627588827666E-2</v>
      </c>
      <c r="Z6" s="113">
        <f>'Common Size Income Statement'!Z15</f>
        <v>4.5000924043614859E-2</v>
      </c>
      <c r="AA6" s="113">
        <f>'Common Size Income Statement'!AA15</f>
        <v>7.632209451717073E-2</v>
      </c>
      <c r="AB6" s="113">
        <f>'Common Size Income Statement'!AB15</f>
        <v>8.0690080098582875E-2</v>
      </c>
      <c r="AC6" s="113">
        <f>'Common Size Income Statement'!AC15</f>
        <v>6.8436300994440535E-2</v>
      </c>
      <c r="AD6" s="113">
        <f>'Common Size Income Statement'!AD15</f>
        <v>5.5197168188434564E-2</v>
      </c>
      <c r="AF6" s="34" t="s">
        <v>501</v>
      </c>
      <c r="AG6" s="113">
        <f>'Common Size Income Statement'!AG15</f>
        <v>3.9131033454007244E-2</v>
      </c>
      <c r="AH6" s="113">
        <f>'Common Size Income Statement'!AH15</f>
        <v>-4.1944341601875851E-2</v>
      </c>
      <c r="AI6" s="113">
        <f>'Common Size Income Statement'!AI15</f>
        <v>1.2650010449042053E-2</v>
      </c>
      <c r="AJ6" s="113">
        <f>'Common Size Income Statement'!AJ15</f>
        <v>3.800281969711311E-2</v>
      </c>
      <c r="AK6" s="113">
        <f>'Common Size Income Statement'!AK15</f>
        <v>6.2853582715628381E-2</v>
      </c>
      <c r="AL6" s="113">
        <f>'Common Size Income Statement'!AL15</f>
        <v>8.4502069203792773E-2</v>
      </c>
      <c r="AN6" s="104" t="s">
        <v>501</v>
      </c>
      <c r="AO6" s="122">
        <f>'Common Size Income Statement'!AO15</f>
        <v>6.4644688130644848E-2</v>
      </c>
      <c r="AP6" s="122">
        <f>'Common Size Income Statement'!AP15</f>
        <v>8.3280616805147242E-2</v>
      </c>
      <c r="AQ6" s="122">
        <f>'Common Size Income Statement'!AQ15</f>
        <v>0.11576216614722103</v>
      </c>
      <c r="AR6" s="122">
        <f>'Common Size Income Statement'!AR15</f>
        <v>0.12880852184689201</v>
      </c>
      <c r="AS6" s="122">
        <f>'Common Size Income Statement'!AS15</f>
        <v>0.12869102042601932</v>
      </c>
    </row>
    <row r="7" spans="1:45" x14ac:dyDescent="0.3">
      <c r="A7" s="34" t="s">
        <v>502</v>
      </c>
      <c r="B7" s="114">
        <f>'Income Statement'!B21/'Balance Sheet'!B35</f>
        <v>0.11741484810743527</v>
      </c>
      <c r="C7" s="114">
        <f>'Income Statement'!C21/'Balance Sheet'!C35</f>
        <v>9.0234740165674857E-2</v>
      </c>
      <c r="D7" s="114">
        <f>'Income Statement'!D21/'Balance Sheet'!D35</f>
        <v>0.10911039641348208</v>
      </c>
      <c r="E7" s="114">
        <f>'Income Statement'!E21/'Balance Sheet'!E35</f>
        <v>0.14791793904761363</v>
      </c>
      <c r="F7" s="114">
        <f>'Income Statement'!F21/'Balance Sheet'!F35</f>
        <v>0.13561340811045819</v>
      </c>
      <c r="G7" s="114">
        <f>'Income Statement'!G21/'Balance Sheet'!G35</f>
        <v>0.12635870199330732</v>
      </c>
      <c r="I7" s="105" t="s">
        <v>502</v>
      </c>
      <c r="J7" s="123">
        <f>'Income Statement'!J27/'Balance Sheet'!J35</f>
        <v>0.85681674064679769</v>
      </c>
      <c r="K7" s="123">
        <f>'Income Statement'!K27/'Balance Sheet'!K35</f>
        <v>0.97004608294930872</v>
      </c>
      <c r="L7" s="123">
        <f>'Income Statement'!L27/'Balance Sheet'!L35</f>
        <v>0.18643854572902252</v>
      </c>
      <c r="M7" s="123">
        <f>'Income Statement'!M27/'Balance Sheet'!M35</f>
        <v>0.20663312078554402</v>
      </c>
      <c r="N7" s="123">
        <f>'Income Statement'!N27/'Balance Sheet'!N35</f>
        <v>0.19994943896699921</v>
      </c>
      <c r="P7" s="105" t="s">
        <v>502</v>
      </c>
      <c r="Q7" s="123">
        <f>'Income Statement'!Q30/'Balance Sheet'!Q40</f>
        <v>0.23751114420205227</v>
      </c>
      <c r="R7" s="123">
        <f>'Income Statement'!R30/'Balance Sheet'!R40</f>
        <v>0.2204970330748515</v>
      </c>
      <c r="S7" s="123">
        <f>'Income Statement'!S30/'Balance Sheet'!S40</f>
        <v>0.24677918692964723</v>
      </c>
      <c r="T7" s="123">
        <f>'Income Statement'!T30/'Balance Sheet'!T40</f>
        <v>0.28008425225690603</v>
      </c>
      <c r="U7" s="123">
        <f>'Income Statement'!U30/'Balance Sheet'!U40</f>
        <v>0.27709131142661686</v>
      </c>
      <c r="V7" s="123">
        <f>'Income Statement'!V30/'Balance Sheet'!V40</f>
        <v>0.49791911524683824</v>
      </c>
      <c r="X7" s="34" t="s">
        <v>502</v>
      </c>
      <c r="Y7" s="114">
        <f>'Income Statement'!Y28/'Balance Sheet'!Y37</f>
        <v>0.2237374494230481</v>
      </c>
      <c r="Z7" s="114">
        <f>'Income Statement'!Z28/'Balance Sheet'!Z37</f>
        <v>0.12983204478805652</v>
      </c>
      <c r="AA7" s="114">
        <f>'Income Statement'!AA28/'Balance Sheet'!AA37</f>
        <v>0.23550841101467909</v>
      </c>
      <c r="AB7" s="114">
        <f>'Income Statement'!AB28/'Balance Sheet'!AB37</f>
        <v>0.27503360215053763</v>
      </c>
      <c r="AC7" s="114">
        <f>'Income Statement'!AC28/'Balance Sheet'!AC37</f>
        <v>0.37219205791546894</v>
      </c>
      <c r="AD7" s="114">
        <f>'Income Statement'!AD28/'Balance Sheet'!AD37</f>
        <v>0.28707845836200963</v>
      </c>
      <c r="AF7" s="34" t="s">
        <v>502</v>
      </c>
      <c r="AG7" s="114">
        <f>'Income Statement'!AG25/'Balance Sheet'!AG39</f>
        <v>4.2952791647752904E-2</v>
      </c>
      <c r="AH7" s="114">
        <f>'Income Statement'!AH25/'Balance Sheet'!AH39</f>
        <v>-7.6830737385048808E-2</v>
      </c>
      <c r="AI7" s="114">
        <f>'Income Statement'!AI25/'Balance Sheet'!AI39</f>
        <v>1.4357203913790565E-2</v>
      </c>
      <c r="AJ7" s="114">
        <f>'Income Statement'!AJ25/'Balance Sheet'!AJ39</f>
        <v>0.14783869138593439</v>
      </c>
      <c r="AK7" s="114">
        <f>'Income Statement'!AK25/'Balance Sheet'!AK39</f>
        <v>0.36011153929590789</v>
      </c>
      <c r="AL7" s="114">
        <f>'Income Statement'!AL25/'Balance Sheet'!AL39</f>
        <v>0.27481838892709798</v>
      </c>
      <c r="AN7" s="105" t="s">
        <v>502</v>
      </c>
      <c r="AO7" s="123">
        <f>'Income Statement'!AO27/'Balance Sheet'!AO35</f>
        <v>9.9556456186080777E-2</v>
      </c>
      <c r="AP7" s="123">
        <f>'Income Statement'!AP27/'Balance Sheet'!AP35</f>
        <v>0.17777123294819672</v>
      </c>
      <c r="AQ7" s="123">
        <f>'Income Statement'!AQ27/'Balance Sheet'!AQ35</f>
        <v>0.29721366384385617</v>
      </c>
      <c r="AR7" s="123">
        <f>'Income Statement'!AR27/'Balance Sheet'!AR35</f>
        <v>0.29667126957382389</v>
      </c>
      <c r="AS7" s="123">
        <f>'Income Statement'!AS27/'Balance Sheet'!AS35</f>
        <v>0.15736805746552665</v>
      </c>
    </row>
    <row r="8" spans="1:45" x14ac:dyDescent="0.3">
      <c r="A8" s="34" t="s">
        <v>503</v>
      </c>
      <c r="B8" s="114">
        <f>('Income Statement'!B15+'Income Statement'!B11)/('Balance Sheet'!B28-'Balance Sheet'!B55)</f>
        <v>0.15980494509125062</v>
      </c>
      <c r="C8" s="114">
        <f>('Income Statement'!C15+'Income Statement'!C11)/('Balance Sheet'!C28-'Balance Sheet'!C55)</f>
        <v>0.12151997577727852</v>
      </c>
      <c r="D8" s="114">
        <f>('Income Statement'!D15+'Income Statement'!D11)/('Balance Sheet'!D28-'Balance Sheet'!D55)</f>
        <v>0.14857990718622752</v>
      </c>
      <c r="E8" s="114">
        <f>('Income Statement'!E15+'Income Statement'!E11)/('Balance Sheet'!E28-'Balance Sheet'!E55)</f>
        <v>0.18795546522207821</v>
      </c>
      <c r="F8" s="114">
        <f>('Income Statement'!F15+'Income Statement'!F11)/('Balance Sheet'!F28-'Balance Sheet'!F55)</f>
        <v>0.1833237316687204</v>
      </c>
      <c r="G8" s="114">
        <f>('Income Statement'!G15+'Income Statement'!G11)/('Balance Sheet'!G28-'Balance Sheet'!G55)</f>
        <v>0.16926442896798594</v>
      </c>
      <c r="I8" s="104" t="s">
        <v>503</v>
      </c>
      <c r="J8" s="122">
        <f>J35/('Balance Sheet'!J29-'Balance Sheet'!J52)</f>
        <v>0.95272033728167038</v>
      </c>
      <c r="K8" s="122">
        <f>K35/('Balance Sheet'!K29-'Balance Sheet'!K52)</f>
        <v>1.0116279069767442</v>
      </c>
      <c r="L8" s="122">
        <f>L35/('Balance Sheet'!L29-'Balance Sheet'!L52)</f>
        <v>0.2085544801748361</v>
      </c>
      <c r="M8" s="122">
        <f>M35/('Balance Sheet'!M29-'Balance Sheet'!M52)</f>
        <v>0.22828637506963553</v>
      </c>
      <c r="N8" s="122">
        <f>N35/('Balance Sheet'!N29-'Balance Sheet'!N52)</f>
        <v>0.21727138350883074</v>
      </c>
      <c r="P8" s="104" t="s">
        <v>503</v>
      </c>
      <c r="Q8" s="122">
        <f>Q35/('Balance Sheet'!Q33-'Balance Sheet'!Q60)</f>
        <v>0.29821992963249894</v>
      </c>
      <c r="R8" s="122">
        <f>R35/('Balance Sheet'!R33-'Balance Sheet'!R60)</f>
        <v>0.28485439956711284</v>
      </c>
      <c r="S8" s="122">
        <f>S35/('Balance Sheet'!S33-'Balance Sheet'!S60)</f>
        <v>0.31921901614603931</v>
      </c>
      <c r="T8" s="122">
        <f>T35/('Balance Sheet'!T33-'Balance Sheet'!T60)</f>
        <v>0.35880477187496346</v>
      </c>
      <c r="U8" s="122">
        <f>U35/('Balance Sheet'!U33-'Balance Sheet'!U60)</f>
        <v>0.33837758793156925</v>
      </c>
      <c r="V8" s="122">
        <f>V35/('Balance Sheet'!V33-'Balance Sheet'!V60)</f>
        <v>0.36568945654604068</v>
      </c>
      <c r="X8" s="34" t="s">
        <v>503</v>
      </c>
      <c r="Y8" s="114">
        <f>Y35/('Balance Sheet'!Y30-'Balance Sheet'!Y58)</f>
        <v>0.28679626356980559</v>
      </c>
      <c r="Z8" s="114">
        <f>Z35/('Balance Sheet'!Z30-'Balance Sheet'!Z58)</f>
        <v>0.17566948958571754</v>
      </c>
      <c r="AA8" s="114">
        <f>AA35/('Balance Sheet'!AA30-'Balance Sheet'!AA58)</f>
        <v>0.29732259876427636</v>
      </c>
      <c r="AB8" s="114">
        <f>AB35/('Balance Sheet'!AB30-'Balance Sheet'!AB58)</f>
        <v>0.34493785885602152</v>
      </c>
      <c r="AC8" s="114">
        <f>AC35/('Balance Sheet'!AC30-'Balance Sheet'!AC58)</f>
        <v>0.3489115238665868</v>
      </c>
      <c r="AD8" s="114">
        <f>AD35/('Balance Sheet'!AD30-'Balance Sheet'!AD58)</f>
        <v>0.36939544903729638</v>
      </c>
      <c r="AF8" s="34" t="s">
        <v>503</v>
      </c>
      <c r="AG8" s="114">
        <f>AG35/('Balance Sheet'!AG32-'Balance Sheet'!AG58)</f>
        <v>8.790276147993481E-2</v>
      </c>
      <c r="AH8" s="114">
        <f>AH35/('Balance Sheet'!AH32-'Balance Sheet'!AH58)</f>
        <v>2.3369513845732996E-2</v>
      </c>
      <c r="AI8" s="114">
        <f>AI35/('Balance Sheet'!AI32-'Balance Sheet'!AI58)</f>
        <v>6.1966159401745095E-2</v>
      </c>
      <c r="AJ8" s="114">
        <f>AJ35/('Balance Sheet'!AJ32-'Balance Sheet'!AJ58)</f>
        <v>0.12033974712166663</v>
      </c>
      <c r="AK8" s="114">
        <f>AK35/('Balance Sheet'!AK32-'Balance Sheet'!AK58)</f>
        <v>0.27405929953667763</v>
      </c>
      <c r="AL8" s="114">
        <f>AL35/('Balance Sheet'!AL32-'Balance Sheet'!AL58)</f>
        <v>0.28098853413776603</v>
      </c>
      <c r="AN8" s="104" t="s">
        <v>503</v>
      </c>
      <c r="AO8" s="122">
        <f>AO35/('Balance Sheet'!AO28-'Balance Sheet'!AO53)</f>
        <v>0.11789539287645449</v>
      </c>
      <c r="AP8" s="122">
        <f>AP35/('Balance Sheet'!AP28-'Balance Sheet'!AP53)</f>
        <v>0.18118074973924905</v>
      </c>
      <c r="AQ8" s="122">
        <f>AQ35/('Balance Sheet'!AQ28-'Balance Sheet'!AQ53)</f>
        <v>0.28798983352938734</v>
      </c>
      <c r="AR8" s="122">
        <f>AR35/('Balance Sheet'!AR28-'Balance Sheet'!AR53)</f>
        <v>0.27260702425264666</v>
      </c>
      <c r="AS8" s="122">
        <f>AS35/('Balance Sheet'!AS28-'Balance Sheet'!AS53)</f>
        <v>0.20864986330180443</v>
      </c>
    </row>
    <row r="9" spans="1:45" s="23" customFormat="1" x14ac:dyDescent="0.3">
      <c r="A9" s="23" t="s">
        <v>504</v>
      </c>
      <c r="I9" s="107" t="s">
        <v>504</v>
      </c>
      <c r="J9" s="108"/>
      <c r="K9" s="108"/>
      <c r="L9" s="108"/>
      <c r="M9" s="108"/>
      <c r="N9" s="108"/>
      <c r="P9" s="107" t="s">
        <v>504</v>
      </c>
      <c r="Q9" s="108"/>
      <c r="R9" s="108"/>
      <c r="S9" s="108"/>
      <c r="T9" s="108"/>
      <c r="U9" s="108"/>
      <c r="V9" s="109"/>
      <c r="X9" s="23" t="s">
        <v>504</v>
      </c>
      <c r="AF9" s="23" t="s">
        <v>504</v>
      </c>
      <c r="AN9" s="107" t="s">
        <v>504</v>
      </c>
      <c r="AO9" s="108"/>
      <c r="AP9" s="108"/>
      <c r="AQ9" s="108"/>
      <c r="AR9" s="108"/>
      <c r="AS9" s="108"/>
    </row>
    <row r="10" spans="1:45" x14ac:dyDescent="0.3">
      <c r="A10" s="34" t="s">
        <v>505</v>
      </c>
      <c r="B10" s="66">
        <f>'Income Statement'!B4/'Balance Sheet'!B28</f>
        <v>2.0593965941977985</v>
      </c>
      <c r="C10" s="66">
        <f>'Income Statement'!C4/'Balance Sheet'!C28</f>
        <v>1.7679491094371182</v>
      </c>
      <c r="D10" s="66">
        <f>'Income Statement'!D4/'Balance Sheet'!D28</f>
        <v>2.0020028902630704</v>
      </c>
      <c r="E10" s="66">
        <f>'Income Statement'!E4/'Balance Sheet'!E28</f>
        <v>2.3659650988949319</v>
      </c>
      <c r="F10" s="66">
        <f>'Income Statement'!F4/'Balance Sheet'!F28</f>
        <v>2.3982788092854581</v>
      </c>
      <c r="G10" s="66">
        <f>'Income Statement'!G4/'Balance Sheet'!G28</f>
        <v>2.4406801892576122</v>
      </c>
      <c r="I10" s="104" t="s">
        <v>505</v>
      </c>
      <c r="J10" s="119">
        <f>'Income Statement'!J4/'Balance Sheet'!J29</f>
        <v>2.1355413602447797</v>
      </c>
      <c r="K10" s="119">
        <f>'Income Statement'!K4/'Balance Sheet'!K29</f>
        <v>2.3335483550836105</v>
      </c>
      <c r="L10" s="119">
        <f>'Income Statement'!L4/'Balance Sheet'!L29</f>
        <v>0.7627732449059732</v>
      </c>
      <c r="M10" s="119">
        <f>'Income Statement'!M4/'Balance Sheet'!M29</f>
        <v>0.85908362522512305</v>
      </c>
      <c r="N10" s="119">
        <f>'Income Statement'!N4/'Balance Sheet'!N29</f>
        <v>0.78849412094421589</v>
      </c>
      <c r="P10" s="104" t="s">
        <v>505</v>
      </c>
      <c r="Q10" s="119">
        <f>'Income Statement'!Q4/'Balance Sheet'!Q33</f>
        <v>0.66428463223942513</v>
      </c>
      <c r="R10" s="119">
        <f>'Income Statement'!R4/'Balance Sheet'!R33</f>
        <v>0.72007076740093712</v>
      </c>
      <c r="S10" s="119">
        <f>'Income Statement'!S4/'Balance Sheet'!S33</f>
        <v>0.84397281630555687</v>
      </c>
      <c r="T10" s="119">
        <f>'Income Statement'!T4/'Balance Sheet'!T33</f>
        <v>0.89095916116538154</v>
      </c>
      <c r="U10" s="119">
        <f>'Income Statement'!U4/'Balance Sheet'!U33</f>
        <v>0.80468822827830311</v>
      </c>
      <c r="V10" s="119">
        <f>'Income Statement'!V4/'Balance Sheet'!V33</f>
        <v>0.9264632762512448</v>
      </c>
      <c r="X10" s="34" t="s">
        <v>505</v>
      </c>
      <c r="Y10" s="66">
        <f>'Income Statement'!Y4/'Balance Sheet'!Y30</f>
        <v>1.5536531365313653</v>
      </c>
      <c r="Z10" s="66">
        <f>'Income Statement'!Z4/'Balance Sheet'!Z30</f>
        <v>1.3155847313396547</v>
      </c>
      <c r="AA10" s="66">
        <f>'Income Statement'!AA4/'Balance Sheet'!AA30</f>
        <v>1.3588279701802397</v>
      </c>
      <c r="AB10" s="66">
        <f>'Income Statement'!AB4/'Balance Sheet'!AB30</f>
        <v>1.5014987233097732</v>
      </c>
      <c r="AC10" s="66">
        <f>'Income Statement'!AC4/'Balance Sheet'!AC30</f>
        <v>1.6191442155309033</v>
      </c>
      <c r="AD10" s="66">
        <f>'Income Statement'!AD4/'Balance Sheet'!AD30</f>
        <v>1.4873422392796516</v>
      </c>
      <c r="AF10" s="34" t="s">
        <v>505</v>
      </c>
      <c r="AG10" s="66">
        <f>'Income Statement'!AG4/'Balance Sheet'!AG32</f>
        <v>0.63304568269810479</v>
      </c>
      <c r="AH10" s="66">
        <f>'Income Statement'!AH4/'Balance Sheet'!AH32</f>
        <v>0.45301927239754491</v>
      </c>
      <c r="AI10" s="66">
        <f>'Income Statement'!AI4/'Balance Sheet'!AI32</f>
        <v>0.5821910893318939</v>
      </c>
      <c r="AJ10" s="66">
        <f>'Income Statement'!AJ4/'Balance Sheet'!AJ32</f>
        <v>1.0198588633587946</v>
      </c>
      <c r="AK10" s="66">
        <f>'Income Statement'!AK4/'Balance Sheet'!AK32</f>
        <v>1.7279449855133173</v>
      </c>
      <c r="AL10" s="66">
        <f>'Income Statement'!AL4/'Balance Sheet'!AL32</f>
        <v>1.8190302389475606</v>
      </c>
      <c r="AN10" s="104" t="s">
        <v>505</v>
      </c>
      <c r="AO10" s="119">
        <f>'Income Statement'!AO4/'Balance Sheet'!AO28</f>
        <v>0.77506421735691089</v>
      </c>
      <c r="AP10" s="119">
        <f>'Income Statement'!AP4/'Balance Sheet'!AP28</f>
        <v>0.93491899823521241</v>
      </c>
      <c r="AQ10" s="119">
        <f>'Income Statement'!AQ4/'Balance Sheet'!AQ28</f>
        <v>1.1525458711786285</v>
      </c>
      <c r="AR10" s="119">
        <f>'Income Statement'!AR4/'Balance Sheet'!AR28</f>
        <v>1.07466032377433</v>
      </c>
      <c r="AS10" s="119">
        <f>'Income Statement'!AS4/'Balance Sheet'!AS28</f>
        <v>0.884955394313234</v>
      </c>
    </row>
    <row r="11" spans="1:45" x14ac:dyDescent="0.3">
      <c r="A11" s="34" t="s">
        <v>506</v>
      </c>
      <c r="B11" s="66">
        <f>('Income Statement'!B8+'Income Statement'!B9)/'Balance Sheet'!B19</f>
        <v>10.836464003286434</v>
      </c>
      <c r="C11" s="66">
        <f>('Income Statement'!C8+'Income Statement'!C9)/AVERAGE('Balance Sheet'!B19:C19)</f>
        <v>9.7980208214163138</v>
      </c>
      <c r="D11" s="66">
        <f>('Income Statement'!D8+'Income Statement'!D9)/AVERAGE('Balance Sheet'!C19:D19)</f>
        <v>10.578123559890519</v>
      </c>
      <c r="E11" s="66">
        <f>('Income Statement'!E8+'Income Statement'!E9)/AVERAGE('Balance Sheet'!D19:E19)</f>
        <v>12.156063840805594</v>
      </c>
      <c r="F11" s="66">
        <f>('Income Statement'!F8+'Income Statement'!F9)/AVERAGE('Balance Sheet'!E19:F19)</f>
        <v>12.069671542466033</v>
      </c>
      <c r="G11" s="66">
        <f>('Income Statement'!G8+'Income Statement'!G9)/AVERAGE('Balance Sheet'!F19:G19)</f>
        <v>11.269171437233608</v>
      </c>
      <c r="I11" s="105" t="s">
        <v>506</v>
      </c>
      <c r="J11" s="118">
        <f>J33/'Balance Sheet'!J19</f>
        <v>7.0936285936285932</v>
      </c>
      <c r="K11" s="118">
        <f>K33/AVERAGE('Balance Sheet'!J19:K19)</f>
        <v>8.2935779816513762</v>
      </c>
      <c r="L11" s="118">
        <f>L33/AVERAGE('Balance Sheet'!K19:L19)</f>
        <v>8.1106208635360861</v>
      </c>
      <c r="M11" s="118">
        <f>M33/AVERAGE('Balance Sheet'!L19:M19)</f>
        <v>8.2647557003257326</v>
      </c>
      <c r="N11" s="118">
        <f>N33/AVERAGE('Balance Sheet'!M19:N19)</f>
        <v>7.3318551367331857</v>
      </c>
      <c r="P11" s="105" t="s">
        <v>506</v>
      </c>
      <c r="Q11" s="118">
        <f>Q33/'Balance Sheet'!Q22</f>
        <v>1.95346608358964</v>
      </c>
      <c r="R11" s="118">
        <f>R33/AVERAGE('Balance Sheet'!Q22:R22)</f>
        <v>2.0887039082322563</v>
      </c>
      <c r="S11" s="118">
        <f>S33/AVERAGE('Balance Sheet'!R22:S22)</f>
        <v>2.4819797086821089</v>
      </c>
      <c r="T11" s="118">
        <f>T33/AVERAGE('Balance Sheet'!S22:T22)</f>
        <v>2.5628780873776416</v>
      </c>
      <c r="U11" s="118">
        <f>U33/AVERAGE('Balance Sheet'!T22:U22)</f>
        <v>2.0815274162514794</v>
      </c>
      <c r="V11" s="118">
        <f>V33/AVERAGE('Balance Sheet'!U22:V22)</f>
        <v>2.1469115595472914</v>
      </c>
      <c r="X11" s="34" t="s">
        <v>506</v>
      </c>
      <c r="Y11" s="66">
        <f>Y33/'Balance Sheet'!Y20</f>
        <v>1.8702949524867334</v>
      </c>
      <c r="Z11" s="66">
        <f>Z33/AVERAGE('Balance Sheet'!Y20:Z20)</f>
        <v>1.9882502574041547</v>
      </c>
      <c r="AA11" s="66">
        <f>AA33/AVERAGE('Balance Sheet'!Z20:AA20)</f>
        <v>1.9658445746468638</v>
      </c>
      <c r="AB11" s="66">
        <f>AB33/AVERAGE('Balance Sheet'!AA20:AB20)</f>
        <v>2.0107309641307589</v>
      </c>
      <c r="AC11" s="66">
        <f>AC33/AVERAGE('Balance Sheet'!AB20:AC20)</f>
        <v>2.2131050933071417</v>
      </c>
      <c r="AD11" s="66">
        <f>AD33/AVERAGE('Balance Sheet'!AC20:AD20)</f>
        <v>2.0093574679792527</v>
      </c>
      <c r="AF11" s="34" t="s">
        <v>506</v>
      </c>
      <c r="AG11" s="66">
        <f>AG33/'Balance Sheet'!AG18</f>
        <v>3.0959510373307451</v>
      </c>
      <c r="AH11" s="66">
        <f>AH33/AVERAGE('Balance Sheet'!AG18:AH18)</f>
        <v>2.9608183748311143</v>
      </c>
      <c r="AI11" s="66">
        <f>AI33/AVERAGE('Balance Sheet'!AH18:AI18)</f>
        <v>3.8290347716734683</v>
      </c>
      <c r="AJ11" s="66">
        <f>AJ33/AVERAGE('Balance Sheet'!AI18:AJ18)</f>
        <v>4.234963704720629</v>
      </c>
      <c r="AK11" s="66">
        <f>AK33/AVERAGE('Balance Sheet'!AJ18:AK18)</f>
        <v>4.7276834392589393</v>
      </c>
      <c r="AL11" s="66">
        <f>AL33/AVERAGE('Balance Sheet'!AK18:AL18)</f>
        <v>5.3416359316165813</v>
      </c>
      <c r="AN11" s="105" t="s">
        <v>506</v>
      </c>
      <c r="AO11" s="118">
        <f>AO33/'Balance Sheet'!AO19</f>
        <v>2.9758022144607472</v>
      </c>
      <c r="AP11" s="118">
        <f>AP33/AVERAGE('Balance Sheet'!AO19:AP19)</f>
        <v>3.3949053616678251</v>
      </c>
      <c r="AQ11" s="118">
        <f>AQ33/AVERAGE('Balance Sheet'!AP19:AQ19)</f>
        <v>3.6381214024983355</v>
      </c>
      <c r="AR11" s="118">
        <f>AR33/AVERAGE('Balance Sheet'!AQ19:AR19)</f>
        <v>3.5734271977392242</v>
      </c>
      <c r="AS11" s="118">
        <f>AS33/AVERAGE('Balance Sheet'!AR19:AS19)</f>
        <v>3.6038623431659165</v>
      </c>
    </row>
    <row r="12" spans="1:45" x14ac:dyDescent="0.3">
      <c r="A12" s="34" t="s">
        <v>507</v>
      </c>
      <c r="B12" s="66">
        <f>365/B11</f>
        <v>33.682573936415466</v>
      </c>
      <c r="C12" s="66">
        <f t="shared" ref="C12:G12" si="0">365/C11</f>
        <v>37.252421346379514</v>
      </c>
      <c r="D12" s="66">
        <f t="shared" si="0"/>
        <v>34.505174564606584</v>
      </c>
      <c r="E12" s="66">
        <f t="shared" si="0"/>
        <v>30.026166757595039</v>
      </c>
      <c r="F12" s="66">
        <f t="shared" si="0"/>
        <v>30.241088062403435</v>
      </c>
      <c r="G12" s="66">
        <f t="shared" si="0"/>
        <v>32.389249026244414</v>
      </c>
      <c r="I12" s="104" t="s">
        <v>507</v>
      </c>
      <c r="J12" s="119">
        <f>365/J11</f>
        <v>51.454625116380967</v>
      </c>
      <c r="K12" s="119">
        <f t="shared" ref="K12:N12" si="1">365/K11</f>
        <v>44.009955752212392</v>
      </c>
      <c r="L12" s="119">
        <f t="shared" si="1"/>
        <v>45.002720031086071</v>
      </c>
      <c r="M12" s="119">
        <f t="shared" si="1"/>
        <v>44.16343485937697</v>
      </c>
      <c r="N12" s="119">
        <f t="shared" si="1"/>
        <v>49.782762096774192</v>
      </c>
      <c r="P12" s="104" t="s">
        <v>507</v>
      </c>
      <c r="Q12" s="119">
        <f>365/Q11</f>
        <v>186.8473699473119</v>
      </c>
      <c r="R12" s="119">
        <f>365/R11</f>
        <v>174.74951742150583</v>
      </c>
      <c r="S12" s="119">
        <f t="shared" ref="S12:V12" si="2">365/S11</f>
        <v>147.06002580247085</v>
      </c>
      <c r="T12" s="119">
        <f t="shared" si="2"/>
        <v>142.41801114054203</v>
      </c>
      <c r="U12" s="119">
        <f t="shared" si="2"/>
        <v>175.35200216450215</v>
      </c>
      <c r="V12" s="119">
        <f t="shared" si="2"/>
        <v>170.01166087948482</v>
      </c>
      <c r="X12" s="34" t="s">
        <v>507</v>
      </c>
      <c r="Y12" s="66">
        <f>365/Y11</f>
        <v>195.1563840316727</v>
      </c>
      <c r="Z12" s="66">
        <f t="shared" ref="Z12:AD12" si="3">365/Z11</f>
        <v>183.5785000609236</v>
      </c>
      <c r="AA12" s="66">
        <f t="shared" si="3"/>
        <v>185.67083314079755</v>
      </c>
      <c r="AB12" s="66">
        <f t="shared" si="3"/>
        <v>181.52602536649644</v>
      </c>
      <c r="AC12" s="66">
        <f t="shared" si="3"/>
        <v>164.92664587137352</v>
      </c>
      <c r="AD12" s="66">
        <f t="shared" si="3"/>
        <v>181.65010746797032</v>
      </c>
      <c r="AF12" s="34" t="s">
        <v>507</v>
      </c>
      <c r="AG12" s="66">
        <f>365/AG11</f>
        <v>117.89592134980735</v>
      </c>
      <c r="AH12" s="66">
        <f t="shared" ref="AH12:AL12" si="4">365/AH11</f>
        <v>123.27672750977833</v>
      </c>
      <c r="AI12" s="66">
        <f t="shared" si="4"/>
        <v>95.324284516872595</v>
      </c>
      <c r="AJ12" s="66">
        <f t="shared" si="4"/>
        <v>86.187279384033872</v>
      </c>
      <c r="AK12" s="66">
        <f t="shared" si="4"/>
        <v>77.20483079916481</v>
      </c>
      <c r="AL12" s="66">
        <f t="shared" si="4"/>
        <v>68.331126395118659</v>
      </c>
      <c r="AN12" s="104" t="s">
        <v>507</v>
      </c>
      <c r="AO12" s="119">
        <f>365/AO11</f>
        <v>122.65600120407954</v>
      </c>
      <c r="AP12" s="119">
        <f t="shared" ref="AP12:AS12" si="5">365/AP11</f>
        <v>107.51404269504744</v>
      </c>
      <c r="AQ12" s="119">
        <f t="shared" si="5"/>
        <v>100.32650360412677</v>
      </c>
      <c r="AR12" s="119">
        <f t="shared" si="5"/>
        <v>102.14283929750187</v>
      </c>
      <c r="AS12" s="119">
        <f t="shared" si="5"/>
        <v>101.28022805647878</v>
      </c>
    </row>
    <row r="13" spans="1:45" x14ac:dyDescent="0.3">
      <c r="A13" s="34" t="s">
        <v>508</v>
      </c>
      <c r="B13" s="66">
        <f>('Balance Sheet'!B22/'Income Statement'!B4)*365</f>
        <v>0.28691968701498177</v>
      </c>
      <c r="C13" s="66">
        <f>(AVERAGE('Balance Sheet'!B22:C22)/'Income Statement'!B4)*365</f>
        <v>0.46325421588889509</v>
      </c>
      <c r="D13" s="66">
        <f>(AVERAGE('Balance Sheet'!C22:D22)/'Income Statement'!C4)*365</f>
        <v>0.83505466995484412</v>
      </c>
      <c r="E13" s="66">
        <f>(AVERAGE('Balance Sheet'!D22:E22)/'Income Statement'!D4)*365</f>
        <v>0.76031184516405637</v>
      </c>
      <c r="F13" s="66">
        <f>(AVERAGE('Balance Sheet'!E22:F22)/'Income Statement'!E4)*365</f>
        <v>0.97355633437878464</v>
      </c>
      <c r="G13" s="66">
        <f>(AVERAGE('Balance Sheet'!F22:G22)/'Income Statement'!F4)*365</f>
        <v>1.1504340619778008</v>
      </c>
      <c r="I13" s="105" t="s">
        <v>508</v>
      </c>
      <c r="J13" s="118">
        <f>('Balance Sheet'!J22/'Income Statement'!J4)*365</f>
        <v>16.661388030063094</v>
      </c>
      <c r="K13" s="118">
        <f>(AVERAGE('Balance Sheet'!J22:K22)/'Income Statement'!K4)*365</f>
        <v>11.506177171047035</v>
      </c>
      <c r="L13" s="118">
        <f>(AVERAGE('Balance Sheet'!K22:L22)/'Income Statement'!L4)*365</f>
        <v>10.115690424436563</v>
      </c>
      <c r="M13" s="118">
        <f>(AVERAGE('Balance Sheet'!L22:M22)/'Income Statement'!M4)*365</f>
        <v>12.032106305711455</v>
      </c>
      <c r="N13" s="118">
        <f>(AVERAGE('Balance Sheet'!M22:N22)/'Income Statement'!N4)*365</f>
        <v>15.429470401964585</v>
      </c>
      <c r="P13" s="105" t="s">
        <v>508</v>
      </c>
      <c r="Q13" s="118">
        <f>('Balance Sheet'!Q26/'Income Statement'!Q4)*365</f>
        <v>18.198911262461944</v>
      </c>
      <c r="R13" s="118">
        <f>(AVERAGE('Balance Sheet'!Q26:R26)/'Income Statement'!Q4)*365</f>
        <v>17.983079367865219</v>
      </c>
      <c r="S13" s="118">
        <f>(AVERAGE('Balance Sheet'!R26:S26)/'Income Statement'!R4)*365</f>
        <v>17.041763803750232</v>
      </c>
      <c r="T13" s="118">
        <f>(AVERAGE('Balance Sheet'!S26:T26)/'Income Statement'!S4)*365</f>
        <v>15.16445643092182</v>
      </c>
      <c r="U13" s="118">
        <f>(AVERAGE('Balance Sheet'!T26:U26)/'Income Statement'!T4)*365</f>
        <v>16.65241744416133</v>
      </c>
      <c r="V13" s="118">
        <f>(AVERAGE('Balance Sheet'!U26:V26)/'Income Statement'!U4)*365</f>
        <v>21.599959900627177</v>
      </c>
      <c r="X13" s="34" t="s">
        <v>508</v>
      </c>
      <c r="Y13" s="66">
        <f>('Balance Sheet'!Y22/'Income Statement'!Y4)*365</f>
        <v>5.4094622838685158</v>
      </c>
      <c r="Z13" s="66">
        <f>(AVERAGE('Balance Sheet'!Y22:Z22)/'Income Statement'!Y4)*365</f>
        <v>5.8775888276648303</v>
      </c>
      <c r="AA13" s="66">
        <f>(AVERAGE('Balance Sheet'!Z22:AA22)/'Income Statement'!Z4)*365</f>
        <v>7.8500970245795596</v>
      </c>
      <c r="AB13" s="66">
        <f>(AVERAGE('Balance Sheet'!AA22:AB22)/'Income Statement'!AA4)*365</f>
        <v>7.8515747074551205</v>
      </c>
      <c r="AC13" s="66">
        <f>(AVERAGE('Balance Sheet'!AB22:AC22)/'Income Statement'!AB4)*365</f>
        <v>7.6103512014787427</v>
      </c>
      <c r="AD13" s="66">
        <f>(AVERAGE('Balance Sheet'!AC22:AD22)/'Income Statement'!AC4)*365</f>
        <v>7.4523334116357374</v>
      </c>
      <c r="AF13" s="34" t="s">
        <v>508</v>
      </c>
      <c r="AG13" s="66">
        <f>('Balance Sheet'!AG20/'Income Statement'!AG4)*365</f>
        <v>1.7925518792419923</v>
      </c>
      <c r="AH13" s="66">
        <f>(AVERAGE('Balance Sheet'!AG20:AH20)/'Income Statement'!AH4)*365</f>
        <v>2.6668074324324325</v>
      </c>
      <c r="AI13" s="66">
        <f>(AVERAGE('Balance Sheet'!AH20:AI20)/'Income Statement'!AI4)*365</f>
        <v>1.583580108581109</v>
      </c>
      <c r="AJ13" s="66">
        <f>(AVERAGE('Balance Sheet'!AI20:AJ20)/'Income Statement'!AJ4)*365</f>
        <v>1.1658094738911093</v>
      </c>
      <c r="AK13" s="66">
        <f>(AVERAGE('Balance Sheet'!AJ20:AK20)/'Income Statement'!AK4)*365</f>
        <v>1.7126090192329604</v>
      </c>
      <c r="AL13" s="66">
        <f>(AVERAGE('Balance Sheet'!AK20:AL20)/'Income Statement'!AL4)*365</f>
        <v>1.541087016278748</v>
      </c>
      <c r="AN13" s="105" t="s">
        <v>508</v>
      </c>
      <c r="AO13" s="118">
        <f>('Balance Sheet'!AO20/'Income Statement'!AO4)*365</f>
        <v>13.46228372171775</v>
      </c>
      <c r="AP13" s="118">
        <f>(AVERAGE('Balance Sheet'!AO20:AP20)/'Income Statement'!AP4)*365</f>
        <v>9.4332607636880752</v>
      </c>
      <c r="AQ13" s="118">
        <f>(AVERAGE('Balance Sheet'!AP20:AQ20)/'Income Statement'!AQ4)*365</f>
        <v>7.0950835282592397</v>
      </c>
      <c r="AR13" s="118">
        <f>(AVERAGE('Balance Sheet'!AQ20:AR20)/'Income Statement'!AR4)*365</f>
        <v>7.3657547611941698</v>
      </c>
      <c r="AS13" s="118">
        <f>(AVERAGE('Balance Sheet'!AR20:AS20)/'Income Statement'!AS4)*365</f>
        <v>10.739241493520341</v>
      </c>
    </row>
    <row r="14" spans="1:45" x14ac:dyDescent="0.3">
      <c r="A14" s="34" t="s">
        <v>509</v>
      </c>
      <c r="B14" s="66">
        <f>(('Balance Sheet'!B49+'Balance Sheet'!B50)/('Income Statement'!B8+'Income Statement'!B9))*365</f>
        <v>7.4970276639310285</v>
      </c>
      <c r="C14" s="66">
        <f>(AVERAGE('Balance Sheet'!B58:C58)/'Income Statement'!C23)*365</f>
        <v>8.9815725664422903</v>
      </c>
      <c r="D14" s="66">
        <f>(AVERAGE('Balance Sheet'!C58:D58)/'Income Statement'!D23)*365</f>
        <v>8.0704086654021463</v>
      </c>
      <c r="E14" s="66">
        <f>(AVERAGE('Balance Sheet'!D58:E58)/'Income Statement'!E23)*365</f>
        <v>6.7363679589489314</v>
      </c>
      <c r="F14" s="66">
        <f>(AVERAGE('Balance Sheet'!E58:F58)/'Income Statement'!F23)*365</f>
        <v>7.3321287759500153</v>
      </c>
      <c r="G14" s="66">
        <f>(AVERAGE('Balance Sheet'!F58:G58)/'Income Statement'!G23)*365</f>
        <v>7.4211282706615203</v>
      </c>
      <c r="I14" s="104" t="s">
        <v>509</v>
      </c>
      <c r="J14" s="119">
        <f>(J36/J33)*365</f>
        <v>144.04896215564926</v>
      </c>
      <c r="K14" s="119">
        <f>(AVERAGE(J36:K36)/K33)*365</f>
        <v>121.46615947263861</v>
      </c>
      <c r="L14" s="119">
        <f t="shared" ref="L14:N14" si="6">(AVERAGE(K36:L36)/L33)*365</f>
        <v>115.85399261705848</v>
      </c>
      <c r="M14" s="119">
        <f t="shared" si="6"/>
        <v>102.82743725564384</v>
      </c>
      <c r="N14" s="119">
        <f t="shared" si="6"/>
        <v>119.91280241935485</v>
      </c>
      <c r="P14" s="104" t="s">
        <v>509</v>
      </c>
      <c r="Q14" s="119">
        <f>(Q36/Q33)*365</f>
        <v>76.382360927665843</v>
      </c>
      <c r="R14" s="119">
        <f>(AVERAGE(Q36:R36)/R33)*365</f>
        <v>72.057051060430851</v>
      </c>
      <c r="S14" s="119">
        <f t="shared" ref="S14:V14" si="7">(AVERAGE(R36:S36)/S33)*365</f>
        <v>60.42501213754597</v>
      </c>
      <c r="T14" s="119">
        <f t="shared" si="7"/>
        <v>57.106417964425695</v>
      </c>
      <c r="U14" s="119">
        <f t="shared" si="7"/>
        <v>63.966585497835496</v>
      </c>
      <c r="V14" s="119">
        <f t="shared" si="7"/>
        <v>54.815709478052902</v>
      </c>
      <c r="X14" s="34" t="s">
        <v>509</v>
      </c>
      <c r="Y14" s="66">
        <f>(Y36/Y33)*365</f>
        <v>14.354338502144506</v>
      </c>
      <c r="Z14" s="66">
        <f>(AVERAGE(Y36:Z36)/Z33)*365</f>
        <v>15.399201900816376</v>
      </c>
      <c r="AA14" s="66">
        <f t="shared" ref="AA14:AD14" si="8">(AVERAGE(Z36:AA36)/AA33)*365</f>
        <v>17.56607827734393</v>
      </c>
      <c r="AB14" s="66">
        <f t="shared" si="8"/>
        <v>15.078570252017789</v>
      </c>
      <c r="AC14" s="66">
        <f t="shared" si="8"/>
        <v>12.144451207141408</v>
      </c>
      <c r="AD14" s="66">
        <f t="shared" si="8"/>
        <v>12.971436699258261</v>
      </c>
      <c r="AF14" s="34" t="s">
        <v>509</v>
      </c>
      <c r="AG14" s="66">
        <f>(AG36/AG33)*365</f>
        <v>57.734688454895711</v>
      </c>
      <c r="AH14" s="66">
        <f>(AVERAGE(AG36:AH36)/AH33)*365</f>
        <v>68.077020860495438</v>
      </c>
      <c r="AI14" s="66">
        <f t="shared" ref="AI14:AL14" si="9">(AVERAGE(AH36:AI36)/AI33)*365</f>
        <v>47.994189092257223</v>
      </c>
      <c r="AJ14" s="66">
        <f t="shared" si="9"/>
        <v>40.339748587845946</v>
      </c>
      <c r="AK14" s="66">
        <f t="shared" si="9"/>
        <v>37.741827360397998</v>
      </c>
      <c r="AL14" s="66">
        <f t="shared" si="9"/>
        <v>32.05994030429946</v>
      </c>
      <c r="AN14" s="104" t="s">
        <v>509</v>
      </c>
      <c r="AO14" s="119">
        <f>(AO36/AO33)*365</f>
        <v>67.5324817461469</v>
      </c>
      <c r="AP14" s="119">
        <f>(AVERAGE(AO36:AP36)/AP33)*365</f>
        <v>55.326269128005833</v>
      </c>
      <c r="AQ14" s="119">
        <f t="shared" ref="AQ14:AS14" si="10">(AVERAGE(AP36:AQ36)/AQ33)*365</f>
        <v>44.77169311865093</v>
      </c>
      <c r="AR14" s="119">
        <f t="shared" si="10"/>
        <v>39.002330960306224</v>
      </c>
      <c r="AS14" s="119">
        <f t="shared" si="10"/>
        <v>47.520640448822448</v>
      </c>
    </row>
    <row r="15" spans="1:45" x14ac:dyDescent="0.3">
      <c r="A15" s="34" t="s">
        <v>510</v>
      </c>
      <c r="B15" s="66">
        <f>B12+(B13-B14)</f>
        <v>26.47246595949942</v>
      </c>
      <c r="C15" s="66">
        <f t="shared" ref="C15:G15" si="11">C12+(C13-C14)</f>
        <v>28.73410299582612</v>
      </c>
      <c r="D15" s="66">
        <f t="shared" si="11"/>
        <v>27.269820569159283</v>
      </c>
      <c r="E15" s="66">
        <f t="shared" si="11"/>
        <v>24.050110643810164</v>
      </c>
      <c r="F15" s="66">
        <f t="shared" si="11"/>
        <v>23.882515620832205</v>
      </c>
      <c r="G15" s="66">
        <f t="shared" si="11"/>
        <v>26.118554817560693</v>
      </c>
      <c r="I15" s="105" t="s">
        <v>510</v>
      </c>
      <c r="J15" s="118">
        <f>J12+(J13-J14)</f>
        <v>-75.932949009205203</v>
      </c>
      <c r="K15" s="118">
        <f t="shared" ref="K15:N15" si="12">K12+(K13-K14)</f>
        <v>-65.950026549379174</v>
      </c>
      <c r="L15" s="118">
        <f t="shared" si="12"/>
        <v>-60.735582161535845</v>
      </c>
      <c r="M15" s="118">
        <f t="shared" si="12"/>
        <v>-46.631896090555422</v>
      </c>
      <c r="N15" s="118">
        <f t="shared" si="12"/>
        <v>-54.700569920616076</v>
      </c>
      <c r="P15" s="105" t="s">
        <v>510</v>
      </c>
      <c r="Q15" s="118">
        <f>Q12+(Q13-Q14)</f>
        <v>128.66392028210799</v>
      </c>
      <c r="R15" s="118">
        <f t="shared" ref="R15:V15" si="13">R12+(R13-R14)</f>
        <v>120.67554572894019</v>
      </c>
      <c r="S15" s="118">
        <f t="shared" si="13"/>
        <v>103.67677746867511</v>
      </c>
      <c r="T15" s="118">
        <f t="shared" si="13"/>
        <v>100.47604960703816</v>
      </c>
      <c r="U15" s="118">
        <f t="shared" si="13"/>
        <v>128.03783411082799</v>
      </c>
      <c r="V15" s="118">
        <f t="shared" si="13"/>
        <v>136.7959113020591</v>
      </c>
      <c r="X15" s="34" t="s">
        <v>510</v>
      </c>
      <c r="Y15" s="66">
        <f>Y12+(Y13-Y14)</f>
        <v>186.21150781339671</v>
      </c>
      <c r="Z15" s="66">
        <f t="shared" ref="Z15:AD15" si="14">Z12+(Z13-Z14)</f>
        <v>174.05688698777206</v>
      </c>
      <c r="AA15" s="66">
        <f t="shared" si="14"/>
        <v>175.95485188803318</v>
      </c>
      <c r="AB15" s="66">
        <f t="shared" si="14"/>
        <v>174.29902982193377</v>
      </c>
      <c r="AC15" s="66">
        <f t="shared" si="14"/>
        <v>160.39254586571087</v>
      </c>
      <c r="AD15" s="66">
        <f t="shared" si="14"/>
        <v>176.13100418034779</v>
      </c>
      <c r="AF15" s="34" t="s">
        <v>510</v>
      </c>
      <c r="AG15" s="66">
        <f>AG12+(AG13-AG14)</f>
        <v>61.953784774153632</v>
      </c>
      <c r="AH15" s="66">
        <f t="shared" ref="AH15:AL15" si="15">AH12+(AH13-AH14)</f>
        <v>57.866514081715323</v>
      </c>
      <c r="AI15" s="66">
        <f t="shared" si="15"/>
        <v>48.913675533196482</v>
      </c>
      <c r="AJ15" s="66">
        <f t="shared" si="15"/>
        <v>47.013340270079034</v>
      </c>
      <c r="AK15" s="66">
        <f t="shared" si="15"/>
        <v>41.175612457999769</v>
      </c>
      <c r="AL15" s="66">
        <f t="shared" si="15"/>
        <v>37.812273107097951</v>
      </c>
      <c r="AN15" s="105" t="s">
        <v>510</v>
      </c>
      <c r="AO15" s="118">
        <f>AO12+(AO13-AO14)</f>
        <v>68.585803179650398</v>
      </c>
      <c r="AP15" s="118">
        <f t="shared" ref="AP15:AS15" si="16">AP12+(AP13-AP14)</f>
        <v>61.621034330729678</v>
      </c>
      <c r="AQ15" s="118">
        <f t="shared" si="16"/>
        <v>62.649894013735079</v>
      </c>
      <c r="AR15" s="118">
        <f t="shared" si="16"/>
        <v>70.506263098389809</v>
      </c>
      <c r="AS15" s="118">
        <f t="shared" si="16"/>
        <v>64.498829101176668</v>
      </c>
    </row>
    <row r="16" spans="1:45" s="23" customFormat="1" x14ac:dyDescent="0.3">
      <c r="A16" s="23" t="s">
        <v>511</v>
      </c>
      <c r="I16" s="110" t="s">
        <v>511</v>
      </c>
      <c r="J16" s="120"/>
      <c r="K16" s="120"/>
      <c r="L16" s="120"/>
      <c r="M16" s="120"/>
      <c r="N16" s="120"/>
      <c r="P16" s="110" t="s">
        <v>511</v>
      </c>
      <c r="Q16" s="111"/>
      <c r="R16" s="111"/>
      <c r="S16" s="111"/>
      <c r="T16" s="111"/>
      <c r="U16" s="111"/>
      <c r="V16" s="112"/>
      <c r="X16" s="23" t="s">
        <v>511</v>
      </c>
      <c r="AF16" s="23" t="s">
        <v>511</v>
      </c>
      <c r="AN16" s="110" t="s">
        <v>511</v>
      </c>
      <c r="AO16" s="120"/>
      <c r="AP16" s="120"/>
      <c r="AQ16" s="120"/>
      <c r="AR16" s="120"/>
      <c r="AS16" s="120"/>
    </row>
    <row r="17" spans="1:45" x14ac:dyDescent="0.3">
      <c r="A17" s="34" t="s">
        <v>512</v>
      </c>
      <c r="B17" s="66">
        <f>'Balance Sheet'!B27/'Balance Sheet'!B55</f>
        <v>3.2345963075227333</v>
      </c>
      <c r="C17" s="66">
        <f>'Balance Sheet'!C27/'Balance Sheet'!C55</f>
        <v>3.672671532054586</v>
      </c>
      <c r="D17" s="66">
        <f>'Balance Sheet'!D27/'Balance Sheet'!D55</f>
        <v>2.8259691863185279</v>
      </c>
      <c r="E17" s="66">
        <f>'Balance Sheet'!E27/'Balance Sheet'!E55</f>
        <v>3.7139419635857971</v>
      </c>
      <c r="F17" s="66">
        <f>'Balance Sheet'!F27/'Balance Sheet'!F55</f>
        <v>3.1336994856351752</v>
      </c>
      <c r="G17" s="66">
        <f>'Balance Sheet'!G27/'Balance Sheet'!G55</f>
        <v>2.8895739910313898</v>
      </c>
      <c r="I17" s="105" t="s">
        <v>512</v>
      </c>
      <c r="J17" s="118">
        <f>'Balance Sheet'!J28/'Balance Sheet'!J52</f>
        <v>1.3746394369447328</v>
      </c>
      <c r="K17" s="118">
        <f>'Balance Sheet'!K28/'Balance Sheet'!K52</f>
        <v>1.3224213802726199</v>
      </c>
      <c r="L17" s="118">
        <f>'Balance Sheet'!L28/'Balance Sheet'!L52</f>
        <v>1.2804647392596595</v>
      </c>
      <c r="M17" s="118">
        <f>'Balance Sheet'!M28/'Balance Sheet'!M52</f>
        <v>1.3760638297872341</v>
      </c>
      <c r="N17" s="118">
        <f>'Balance Sheet'!N28/'Balance Sheet'!N52</f>
        <v>1.6561043802423112</v>
      </c>
      <c r="P17" s="105" t="s">
        <v>512</v>
      </c>
      <c r="Q17" s="118">
        <f>'Balance Sheet'!Q32/'Balance Sheet'!Q60</f>
        <v>4.132458207676545</v>
      </c>
      <c r="R17" s="118">
        <f>'Balance Sheet'!R32/'Balance Sheet'!R60</f>
        <v>3.2734366229859075</v>
      </c>
      <c r="S17" s="118">
        <f>'Balance Sheet'!S32/'Balance Sheet'!S60</f>
        <v>2.8143099432656649</v>
      </c>
      <c r="T17" s="118">
        <f>'Balance Sheet'!T32/'Balance Sheet'!T60</f>
        <v>2.8873794435132218</v>
      </c>
      <c r="U17" s="118">
        <f>'Balance Sheet'!U32/'Balance Sheet'!U60</f>
        <v>2.9995865716122241</v>
      </c>
      <c r="V17" s="118">
        <f>'Balance Sheet'!V32/'Balance Sheet'!V60</f>
        <v>3.0621559343412326</v>
      </c>
      <c r="X17" s="34" t="s">
        <v>512</v>
      </c>
      <c r="Y17" s="66">
        <f>'Balance Sheet'!Y29/'Balance Sheet'!Y58</f>
        <v>1.7983297796730633</v>
      </c>
      <c r="Z17" s="66">
        <f>'Balance Sheet'!Z29/'Balance Sheet'!Z58</f>
        <v>1.7107855846512834</v>
      </c>
      <c r="AA17" s="66">
        <f>'Balance Sheet'!AA29/'Balance Sheet'!AA58</f>
        <v>1.6603881278538812</v>
      </c>
      <c r="AB17" s="66">
        <f>'Balance Sheet'!AB29/'Balance Sheet'!AB58</f>
        <v>1.6893094089264173</v>
      </c>
      <c r="AC17" s="66">
        <f>'Balance Sheet'!AC29/'Balance Sheet'!AC58</f>
        <v>1.5492770282533728</v>
      </c>
      <c r="AD17" s="66">
        <f>'Balance Sheet'!AD29/'Balance Sheet'!AD58</f>
        <v>1.3350133757220952</v>
      </c>
      <c r="AF17" s="34" t="s">
        <v>512</v>
      </c>
      <c r="AG17" s="66">
        <f>'Balance Sheet'!AG31/'Balance Sheet'!AG58</f>
        <v>3.4959262831694957</v>
      </c>
      <c r="AH17" s="66">
        <f>'Balance Sheet'!AH31/'Balance Sheet'!AH58</f>
        <v>1.86754764186096</v>
      </c>
      <c r="AI17" s="66">
        <f>'Balance Sheet'!AI31/'Balance Sheet'!AI58</f>
        <v>2.7292983395822179</v>
      </c>
      <c r="AJ17" s="66">
        <f>'Balance Sheet'!AJ31/'Balance Sheet'!AJ58</f>
        <v>2.1735132269328505</v>
      </c>
      <c r="AK17" s="66">
        <f>'Balance Sheet'!AK31/'Balance Sheet'!AK58</f>
        <v>2.0174573621283578</v>
      </c>
      <c r="AL17" s="66">
        <f>'Balance Sheet'!AL31/'Balance Sheet'!AL58</f>
        <v>1.826959899338038</v>
      </c>
      <c r="AN17" s="105" t="s">
        <v>512</v>
      </c>
      <c r="AO17" s="118">
        <f>'Balance Sheet'!AO27/'Balance Sheet'!AO53</f>
        <v>0.7391018296063574</v>
      </c>
      <c r="AP17" s="118">
        <f>'Balance Sheet'!AP27/'Balance Sheet'!AP53</f>
        <v>0.84682888961912384</v>
      </c>
      <c r="AQ17" s="118">
        <f>'Balance Sheet'!AQ27/'Balance Sheet'!AQ53</f>
        <v>0.86283327718883085</v>
      </c>
      <c r="AR17" s="118">
        <f>'Balance Sheet'!AR27/'Balance Sheet'!AR53</f>
        <v>1.0198443999487625</v>
      </c>
      <c r="AS17" s="118">
        <f>'Balance Sheet'!AS27/'Balance Sheet'!AS53</f>
        <v>1.7381156721572357</v>
      </c>
    </row>
    <row r="18" spans="1:45" x14ac:dyDescent="0.3">
      <c r="A18" s="34" t="s">
        <v>513</v>
      </c>
      <c r="B18" s="66">
        <f>('Balance Sheet'!B27-'Balance Sheet'!B19)/'Balance Sheet'!B55</f>
        <v>0.5514880132267842</v>
      </c>
      <c r="C18" s="66">
        <f>('Balance Sheet'!C27-'Balance Sheet'!C19)/'Balance Sheet'!C55</f>
        <v>1.6394458160376928</v>
      </c>
      <c r="D18" s="66">
        <f>('Balance Sheet'!D27-'Balance Sheet'!D19)/'Balance Sheet'!D55</f>
        <v>0.57473179620615755</v>
      </c>
      <c r="E18" s="66">
        <f>('Balance Sheet'!E27-'Balance Sheet'!E19)/'Balance Sheet'!E55</f>
        <v>1.5029958895985716</v>
      </c>
      <c r="F18" s="66">
        <f>('Balance Sheet'!F27-'Balance Sheet'!F19)/'Balance Sheet'!F55</f>
        <v>1.1493476964742266</v>
      </c>
      <c r="G18" s="66">
        <f>('Balance Sheet'!G27-'Balance Sheet'!G19)/'Balance Sheet'!G55</f>
        <v>0.60928233039201463</v>
      </c>
      <c r="I18" s="104" t="s">
        <v>513</v>
      </c>
      <c r="J18" s="119">
        <f>('Balance Sheet'!J28-'Balance Sheet'!J19)/'Balance Sheet'!J52</f>
        <v>1.0776508595823238</v>
      </c>
      <c r="K18" s="119">
        <f>('Balance Sheet'!K28-'Balance Sheet'!K19)/'Balance Sheet'!K52</f>
        <v>1.0254373725448105</v>
      </c>
      <c r="L18" s="119">
        <f>('Balance Sheet'!L28-'Balance Sheet'!L19)/'Balance Sheet'!L52</f>
        <v>0.95811942718184273</v>
      </c>
      <c r="M18" s="119">
        <f>('Balance Sheet'!M28-'Balance Sheet'!M19)/'Balance Sheet'!M52</f>
        <v>1.0129432624113475</v>
      </c>
      <c r="N18" s="119">
        <f>('Balance Sheet'!N28-'Balance Sheet'!N19)/'Balance Sheet'!N52</f>
        <v>1.3437402920161541</v>
      </c>
      <c r="P18" s="104" t="s">
        <v>513</v>
      </c>
      <c r="Q18" s="119">
        <f>('Balance Sheet'!Q32-'Balance Sheet'!Q22)/'Balance Sheet'!Q60</f>
        <v>3.2036356523221796</v>
      </c>
      <c r="R18" s="119">
        <f>('Balance Sheet'!R32-'Balance Sheet'!R22)/'Balance Sheet'!R60</f>
        <v>2.3008013336227089</v>
      </c>
      <c r="S18" s="119">
        <f>('Balance Sheet'!S32-'Balance Sheet'!S22)/'Balance Sheet'!S60</f>
        <v>1.9211490573188608</v>
      </c>
      <c r="T18" s="119">
        <f>('Balance Sheet'!T32-'Balance Sheet'!T22)/'Balance Sheet'!T60</f>
        <v>2.0306352310615954</v>
      </c>
      <c r="U18" s="119">
        <f>('Balance Sheet'!U32-'Balance Sheet'!U22)/'Balance Sheet'!U60</f>
        <v>1.9658052357856599</v>
      </c>
      <c r="V18" s="119">
        <f>('Balance Sheet'!V32-'Balance Sheet'!V22)/'Balance Sheet'!V60</f>
        <v>1.9712224895720769</v>
      </c>
      <c r="X18" s="34" t="s">
        <v>513</v>
      </c>
      <c r="Y18" s="66">
        <f>('Balance Sheet'!Y29-'Balance Sheet'!Y20)/'Balance Sheet'!Y58</f>
        <v>0.35856432125088844</v>
      </c>
      <c r="Z18" s="66">
        <f>('Balance Sheet'!Z29-'Balance Sheet'!Z20)/'Balance Sheet'!Z58</f>
        <v>0.62081928960331867</v>
      </c>
      <c r="AA18" s="66">
        <f>('Balance Sheet'!AA29-'Balance Sheet'!AA20)/'Balance Sheet'!AA58</f>
        <v>0.3657724505327245</v>
      </c>
      <c r="AB18" s="66">
        <f>('Balance Sheet'!AB29-'Balance Sheet'!AB20)/'Balance Sheet'!AB58</f>
        <v>0.43900784077201449</v>
      </c>
      <c r="AC18" s="66">
        <f>('Balance Sheet'!AC29-'Balance Sheet'!AC20)/'Balance Sheet'!AC58</f>
        <v>0.39669671486478308</v>
      </c>
      <c r="AD18" s="66">
        <f>('Balance Sheet'!AD29-'Balance Sheet'!AD20)/'Balance Sheet'!AD58</f>
        <v>0.24231380607141473</v>
      </c>
      <c r="AF18" s="34" t="s">
        <v>513</v>
      </c>
      <c r="AG18" s="66">
        <f>('Balance Sheet'!AG31-Trent_BS[[#This Row],[2020]])/'Balance Sheet'!AG58</f>
        <v>2.2485480329180949</v>
      </c>
      <c r="AH18" s="66">
        <f>('Balance Sheet'!AH31-Trent_BS[[#This Row],[2021]])/'Balance Sheet'!AH58</f>
        <v>1.2974555520068132</v>
      </c>
      <c r="AI18" s="66">
        <f>('Balance Sheet'!AI31-Trent_BS[[#This Row],[2022]])/'Balance Sheet'!AI58</f>
        <v>1.4013007881245703</v>
      </c>
      <c r="AJ18" s="66">
        <f>('Balance Sheet'!AJ31-Trent_BS[[#This Row],[2023]])/'Balance Sheet'!AJ58</f>
        <v>0.92928572734419268</v>
      </c>
      <c r="AK18" s="66">
        <f>('Balance Sheet'!AK31-Trent_BS[[#This Row],[2024]])/'Balance Sheet'!AK58</f>
        <v>0.99069070432768702</v>
      </c>
      <c r="AL18" s="66">
        <f>('Balance Sheet'!AL31-Trent_BS[[#This Row],[2025]])/'Balance Sheet'!AL58</f>
        <v>0.80987123823165175</v>
      </c>
      <c r="AN18" s="104" t="s">
        <v>513</v>
      </c>
      <c r="AO18" s="119">
        <f>('Balance Sheet'!AO27-'Balance Sheet'!AO19)/'Balance Sheet'!AO53</f>
        <v>0.35765498264851436</v>
      </c>
      <c r="AP18" s="119">
        <f>('Balance Sheet'!AP27-'Balance Sheet'!AP19)/'Balance Sheet'!AP53</f>
        <v>0.36519987068638671</v>
      </c>
      <c r="AQ18" s="119">
        <f>('Balance Sheet'!AQ27-'Balance Sheet'!AQ19)/'Balance Sheet'!AQ53</f>
        <v>0.35743516704066758</v>
      </c>
      <c r="AR18" s="119">
        <f>('Balance Sheet'!AR27-'Balance Sheet'!AR19)/'Balance Sheet'!AR53</f>
        <v>0.50204444174773644</v>
      </c>
      <c r="AS18" s="119">
        <f>('Balance Sheet'!AS27-'Balance Sheet'!AS19)/'Balance Sheet'!AS53</f>
        <v>1.1211899854677667</v>
      </c>
    </row>
    <row r="19" spans="1:45" s="23" customFormat="1" x14ac:dyDescent="0.3">
      <c r="A19" s="23" t="s">
        <v>514</v>
      </c>
      <c r="B19" s="25"/>
      <c r="C19" s="25"/>
      <c r="D19" s="25"/>
      <c r="E19" s="25"/>
      <c r="F19" s="25"/>
      <c r="G19" s="25"/>
      <c r="I19" s="107" t="s">
        <v>514</v>
      </c>
      <c r="J19" s="121"/>
      <c r="K19" s="121"/>
      <c r="L19" s="121"/>
      <c r="M19" s="121"/>
      <c r="N19" s="121"/>
      <c r="P19" s="107" t="s">
        <v>514</v>
      </c>
      <c r="Q19" s="121"/>
      <c r="R19" s="121"/>
      <c r="S19" s="121"/>
      <c r="T19" s="121"/>
      <c r="U19" s="121"/>
      <c r="V19" s="124"/>
      <c r="X19" s="23" t="s">
        <v>514</v>
      </c>
      <c r="Y19" s="25"/>
      <c r="Z19" s="25"/>
      <c r="AA19" s="25"/>
      <c r="AB19" s="25"/>
      <c r="AC19" s="25"/>
      <c r="AD19" s="25"/>
      <c r="AF19" s="23" t="s">
        <v>514</v>
      </c>
      <c r="AG19" s="25"/>
      <c r="AH19" s="25"/>
      <c r="AI19" s="25"/>
      <c r="AJ19" s="25"/>
      <c r="AK19" s="25"/>
      <c r="AL19" s="25"/>
      <c r="AN19" s="107" t="s">
        <v>514</v>
      </c>
      <c r="AO19" s="121"/>
      <c r="AP19" s="121"/>
      <c r="AQ19" s="121"/>
      <c r="AR19" s="121"/>
      <c r="AS19" s="121"/>
    </row>
    <row r="20" spans="1:45" x14ac:dyDescent="0.3">
      <c r="A20" s="34" t="s">
        <v>515</v>
      </c>
      <c r="B20" s="66">
        <f>('Balance Sheet'!B39+'Balance Sheet'!B47)/'Balance Sheet'!B35</f>
        <v>3.3663652280644757E-4</v>
      </c>
      <c r="C20" s="66">
        <f>('Balance Sheet'!C39+'Balance Sheet'!C47)/'Balance Sheet'!C35</f>
        <v>0</v>
      </c>
      <c r="D20" s="66">
        <f>('Balance Sheet'!D39+'Balance Sheet'!D47)/'Balance Sheet'!D35</f>
        <v>0</v>
      </c>
      <c r="E20" s="66">
        <f>('Balance Sheet'!E39+'Balance Sheet'!E47)/'Balance Sheet'!E35</f>
        <v>0</v>
      </c>
      <c r="F20" s="66">
        <f>('Balance Sheet'!F39+'Balance Sheet'!F47)/'Balance Sheet'!F35</f>
        <v>0</v>
      </c>
      <c r="G20" s="66">
        <f>('Balance Sheet'!G39+'Balance Sheet'!G47)/'Balance Sheet'!G35</f>
        <v>0</v>
      </c>
      <c r="I20" s="104" t="s">
        <v>515</v>
      </c>
      <c r="J20" s="119">
        <f>('Balance Sheet'!J45)/'Balance Sheet'!J35</f>
        <v>1.2555485098287888E-2</v>
      </c>
      <c r="K20" s="119">
        <f>('Balance Sheet'!K45)/'Balance Sheet'!K35</f>
        <v>0</v>
      </c>
      <c r="L20" s="119">
        <f>('Balance Sheet'!L45)/'Balance Sheet'!L35</f>
        <v>0</v>
      </c>
      <c r="M20" s="119">
        <f>('Balance Sheet'!M45)/'Balance Sheet'!M35</f>
        <v>0</v>
      </c>
      <c r="N20" s="119">
        <f>('Balance Sheet'!N45)/'Balance Sheet'!N35</f>
        <v>2.5280516500398654E-4</v>
      </c>
      <c r="P20" s="104" t="s">
        <v>515</v>
      </c>
      <c r="Q20" s="126">
        <f>('Balance Sheet'!Q43+'Balance Sheet'!Q52)/'Balance Sheet'!Q40</f>
        <v>1.1149914098441862E-4</v>
      </c>
      <c r="R20" s="126">
        <f>('Balance Sheet'!R43+'Balance Sheet'!R52)/'Balance Sheet'!R40</f>
        <v>1.5586345636276315E-4</v>
      </c>
      <c r="S20" s="126">
        <f>('Balance Sheet'!S43+'Balance Sheet'!S52)/'Balance Sheet'!S40</f>
        <v>8.8981751100373162E-5</v>
      </c>
      <c r="T20" s="126">
        <f>('Balance Sheet'!T43+'Balance Sheet'!T52)/'Balance Sheet'!T40</f>
        <v>5.5810577089420159E-4</v>
      </c>
      <c r="U20" s="126">
        <f>('Balance Sheet'!U43+'Balance Sheet'!U52)/'Balance Sheet'!U40</f>
        <v>1.5062097100586365E-4</v>
      </c>
      <c r="V20" s="126">
        <f>('Balance Sheet'!V43+'Balance Sheet'!V52)/'Balance Sheet'!V40</f>
        <v>1.2963447509969752E-3</v>
      </c>
      <c r="X20" s="34" t="s">
        <v>515</v>
      </c>
      <c r="Y20" s="66">
        <f>('Balance Sheet'!Y49+'Balance Sheet'!Y40)/'Balance Sheet'!Y37</f>
        <v>0.10834707028323093</v>
      </c>
      <c r="Z20" s="66">
        <f>('Balance Sheet'!Z49+'Balance Sheet'!Z40)/'Balance Sheet'!Z37</f>
        <v>2.1994134897360705E-2</v>
      </c>
      <c r="AA20" s="66">
        <f>('Balance Sheet'!AA49+'Balance Sheet'!AA40)/'Balance Sheet'!AA37</f>
        <v>5.5501982213650485E-2</v>
      </c>
      <c r="AB20" s="66">
        <f>('Balance Sheet'!AB49+'Balance Sheet'!AB40)/'Balance Sheet'!AB37</f>
        <v>0.18439180107526881</v>
      </c>
      <c r="AC20" s="66">
        <f>('Balance Sheet'!AC49+'Balance Sheet'!AC40)/'Balance Sheet'!AC37</f>
        <v>0.8344511870541893</v>
      </c>
      <c r="AD20" s="66">
        <f>('Balance Sheet'!AD49+'Balance Sheet'!AD40)/'Balance Sheet'!AD37</f>
        <v>0.88489332415691668</v>
      </c>
      <c r="AF20" s="34" t="s">
        <v>515</v>
      </c>
      <c r="AG20" s="66">
        <f>('Balance Sheet'!AG42)/'Balance Sheet'!AG39</f>
        <v>0.12148206990467544</v>
      </c>
      <c r="AH20" s="66">
        <f>('Balance Sheet'!AH42)/'Balance Sheet'!AH39</f>
        <v>0</v>
      </c>
      <c r="AI20" s="66">
        <f>('Balance Sheet'!AI42)/'Balance Sheet'!AI39</f>
        <v>0.20638688100118674</v>
      </c>
      <c r="AJ20" s="66">
        <f>('Balance Sheet'!AJ42)/'Balance Sheet'!AJ39</f>
        <v>0.18699046553284487</v>
      </c>
      <c r="AK20" s="66">
        <f>('Balance Sheet'!AK42)/'Balance Sheet'!AK39</f>
        <v>0.12152323288459241</v>
      </c>
      <c r="AL20" s="66">
        <f>('Balance Sheet'!AL42)/'Balance Sheet'!AL39</f>
        <v>8.940852819807428E-2</v>
      </c>
      <c r="AN20" s="104" t="s">
        <v>515</v>
      </c>
      <c r="AO20" s="119">
        <f>('Balance Sheet'!AO45+'Balance Sheet'!AO38)/'Balance Sheet'!AO35</f>
        <v>0.75056630766842869</v>
      </c>
      <c r="AP20" s="119">
        <f>('Balance Sheet'!AP45+'Balance Sheet'!AP38)/'Balance Sheet'!AP35</f>
        <v>0.79631553099973618</v>
      </c>
      <c r="AQ20" s="119">
        <f>('Balance Sheet'!AQ45+'Balance Sheet'!AQ38)/'Balance Sheet'!AQ35</f>
        <v>0.70843087136445737</v>
      </c>
      <c r="AR20" s="119">
        <f>('Balance Sheet'!AR45+'Balance Sheet'!AR38)/'Balance Sheet'!AR35</f>
        <v>0.7331886261754812</v>
      </c>
      <c r="AS20" s="119">
        <f>('Balance Sheet'!AS45+'Balance Sheet'!AS38)/'Balance Sheet'!AS35</f>
        <v>0.1412375394542629</v>
      </c>
    </row>
    <row r="21" spans="1:45" x14ac:dyDescent="0.3">
      <c r="A21" s="34" t="s">
        <v>516</v>
      </c>
      <c r="B21" s="66">
        <f>('Income Statement'!B15+'Income Statement'!B11)/'Income Statement'!B11</f>
        <v>26.242621527777832</v>
      </c>
      <c r="C21" s="66">
        <f>('Income Statement'!C15+'Income Statement'!C11)/'Income Statement'!C11</f>
        <v>36.617046818727509</v>
      </c>
      <c r="D21" s="66">
        <f>('Income Statement'!D15+'Income Statement'!D11)/'Income Statement'!D11</f>
        <v>39.373675404350301</v>
      </c>
      <c r="E21" s="66">
        <f>('Income Statement'!E15+'Income Statement'!E11)/'Income Statement'!E11</f>
        <v>46.395193591455111</v>
      </c>
      <c r="F21" s="66">
        <f>('Income Statement'!F15+'Income Statement'!F11)/'Income Statement'!F11</f>
        <v>60.544641321176577</v>
      </c>
      <c r="G21" s="66">
        <f>('Income Statement'!G15+'Income Statement'!G11)/'Income Statement'!G11</f>
        <v>53.882217422606161</v>
      </c>
      <c r="I21" s="105" t="s">
        <v>516</v>
      </c>
      <c r="J21" s="118">
        <f>('Income Statement'!J16+'Income Statement'!J12)/'Income Statement'!J12</f>
        <v>80.432203389830505</v>
      </c>
      <c r="K21" s="118">
        <f>('Income Statement'!K16+'Income Statement'!K12)/'Income Statement'!K12</f>
        <v>93.692307692307693</v>
      </c>
      <c r="L21" s="118">
        <f>('Income Statement'!L16+'Income Statement'!L12)/'Income Statement'!L12</f>
        <v>113.43396226415095</v>
      </c>
      <c r="M21" s="118">
        <f>('Income Statement'!M16+'Income Statement'!M12)/'Income Statement'!M12</f>
        <v>118.62280701754386</v>
      </c>
      <c r="N21" s="118">
        <f>('Income Statement'!N16+'Income Statement'!N12)/'Income Statement'!N12</f>
        <v>42.688622754491021</v>
      </c>
      <c r="P21" s="105" t="s">
        <v>516</v>
      </c>
      <c r="Q21" s="118">
        <f>Q35/'Income Statement'!Q13</f>
        <v>369.81272860277983</v>
      </c>
      <c r="R21" s="118">
        <f>R35/'Income Statement'!R13</f>
        <v>403.38156123822341</v>
      </c>
      <c r="S21" s="118">
        <f>S35/'Income Statement'!S13</f>
        <v>527.94283536585363</v>
      </c>
      <c r="T21" s="118">
        <f>T35/'Income Statement'!T13</f>
        <v>599.20023148148175</v>
      </c>
      <c r="U21" s="118">
        <f>U35/'Income Statement'!U13</f>
        <v>676.02633597545366</v>
      </c>
      <c r="V21" s="118">
        <f>V35/'Income Statement'!V13</f>
        <v>598.57967154904577</v>
      </c>
      <c r="X21" s="34" t="s">
        <v>516</v>
      </c>
      <c r="Y21" s="66">
        <f>Y35/'Income Statement'!Y12</f>
        <v>13.686746987951807</v>
      </c>
      <c r="Z21" s="66">
        <f>Z35/'Income Statement'!Z12</f>
        <v>7.5615763546798034</v>
      </c>
      <c r="AA21" s="66">
        <f>AA35/'Income Statement'!AA12</f>
        <v>14.568807339449542</v>
      </c>
      <c r="AB21" s="66">
        <f>AB35/'Income Statement'!AB12</f>
        <v>15.82</v>
      </c>
      <c r="AC21" s="66">
        <f>AC35/'Income Statement'!AC12</f>
        <v>8.4668820678513725</v>
      </c>
      <c r="AD21" s="66">
        <f>AD35/'Income Statement'!AD12</f>
        <v>5.7576075550891916</v>
      </c>
      <c r="AF21" s="34" t="s">
        <v>516</v>
      </c>
      <c r="AG21" s="66">
        <f>AG35/'Income Statement'!AG11</f>
        <v>1.7950366151342538</v>
      </c>
      <c r="AH21" s="66">
        <f>AH35/'Income Statement'!AH11</f>
        <v>0.46732354715463392</v>
      </c>
      <c r="AI21" s="66">
        <f>AI35/'Income Statement'!AI11</f>
        <v>1.4381439915993977</v>
      </c>
      <c r="AJ21" s="66">
        <f>AJ35/'Income Statement'!AJ11</f>
        <v>2.277449758951307</v>
      </c>
      <c r="AK21" s="66">
        <f>AK35/'Income Statement'!AK11</f>
        <v>4.8269821372610417</v>
      </c>
      <c r="AL21" s="66">
        <f>AL35/'Income Statement'!AL11</f>
        <v>15.021502272891274</v>
      </c>
      <c r="AN21" s="105" t="s">
        <v>516</v>
      </c>
      <c r="AO21" s="118">
        <f>AO35/'Income Statement'!AO13</f>
        <v>2.5262358415390778</v>
      </c>
      <c r="AP21" s="118">
        <f>AP35/'Income Statement'!AP13</f>
        <v>6.4499621007038357</v>
      </c>
      <c r="AQ21" s="118">
        <f>AQ35/'Income Statement'!AQ13</f>
        <v>11.872669539334423</v>
      </c>
      <c r="AR21" s="118">
        <f>AR35/'Income Statement'!AR13</f>
        <v>11.219504735191105</v>
      </c>
      <c r="AS21" s="118">
        <f>AS35/'Income Statement'!AS13</f>
        <v>8.6258298437340386</v>
      </c>
    </row>
    <row r="22" spans="1:45" s="23" customFormat="1" x14ac:dyDescent="0.3">
      <c r="A22" s="23" t="s">
        <v>517</v>
      </c>
      <c r="I22" s="110" t="s">
        <v>517</v>
      </c>
      <c r="J22" s="111"/>
      <c r="K22" s="111"/>
      <c r="L22" s="111"/>
      <c r="M22" s="111"/>
      <c r="N22" s="111"/>
      <c r="P22" s="110" t="s">
        <v>517</v>
      </c>
      <c r="Q22" s="120"/>
      <c r="R22" s="120"/>
      <c r="S22" s="120"/>
      <c r="T22" s="120"/>
      <c r="U22" s="120"/>
      <c r="V22" s="125"/>
      <c r="X22" s="23" t="s">
        <v>517</v>
      </c>
      <c r="AF22" s="23" t="s">
        <v>517</v>
      </c>
      <c r="AN22" s="110" t="s">
        <v>517</v>
      </c>
      <c r="AO22" s="111"/>
      <c r="AP22" s="111"/>
      <c r="AQ22" s="111"/>
      <c r="AR22" s="111"/>
      <c r="AS22" s="111"/>
    </row>
    <row r="23" spans="1:45" x14ac:dyDescent="0.3">
      <c r="A23" s="34" t="s">
        <v>518</v>
      </c>
      <c r="B23" s="66">
        <f ca="1">(B31+'Balance Sheet'!B39+'Balance Sheet'!B47-Dmart[[#This Row],[2020]])/('Income Statement'!B15+'Income Statement'!B12+'Income Statement'!B11)</f>
        <v>65.002844959557549</v>
      </c>
      <c r="C23" s="66">
        <f ca="1">(C31+'Balance Sheet'!C39+'Balance Sheet'!C47-Dmart[[#This Row],[2021]])/('Income Statement'!C15+'Income Statement'!C12+'Income Statement'!C11)</f>
        <v>95.838797765900367</v>
      </c>
      <c r="D23" s="66">
        <f ca="1">(D31+'Balance Sheet'!D39+'Balance Sheet'!D47-Dmart[[#This Row],[2022]])/('Income Statement'!D15+'Income Statement'!D12+'Income Statement'!D11)</f>
        <v>99.54782533132763</v>
      </c>
      <c r="E23" s="66">
        <f ca="1">(E31+'Balance Sheet'!E39+'Balance Sheet'!E47-Dmart[[#This Row],[2023]])/('Income Statement'!E15+'Income Statement'!E12+'Income Statement'!E11)</f>
        <v>58.706508116701407</v>
      </c>
      <c r="F23" s="66">
        <f ca="1">(F31+'Balance Sheet'!F39+'Balance Sheet'!F47-Dmart[[#This Row],[2024]])/('Income Statement'!F15+'Income Statement'!F12+'Income Statement'!F11)</f>
        <v>68.562580460070393</v>
      </c>
      <c r="G23" s="66">
        <f ca="1">(G31+'Balance Sheet'!G39+'Balance Sheet'!G47-Dmart[[#This Row],[2025]])/('Income Statement'!G15+'Income Statement'!G12+'Income Statement'!G11)</f>
        <v>57.539586652904411</v>
      </c>
      <c r="I23" s="105" t="s">
        <v>518</v>
      </c>
      <c r="J23" s="118">
        <f ca="1">(J31+'Balance Sheet'!J45-HUL[[#This Row],[2020]])/'Financial Ratio'!J34</f>
        <v>51.410393182597929</v>
      </c>
      <c r="K23" s="118">
        <f ca="1">(K31+'Balance Sheet'!K45-HUL[[#This Row],[2021]])/'Financial Ratio'!K34</f>
        <v>47.185325712861427</v>
      </c>
      <c r="L23" s="118">
        <f ca="1">(L31+'Balance Sheet'!L45-HUL[[#This Row],[2022]])/'Financial Ratio'!L34</f>
        <v>36.56530324323294</v>
      </c>
      <c r="M23" s="118">
        <f ca="1">(M31+'Balance Sheet'!M45-HUL[[#This Row],[2023]])/'Financial Ratio'!M34</f>
        <v>40.931418630627554</v>
      </c>
      <c r="N23" s="118">
        <f ca="1">(N31+'Balance Sheet'!N45-HUL[[#This Row],[2024]])/'Financial Ratio'!N34</f>
        <v>34.668296886066955</v>
      </c>
      <c r="P23" s="105" t="s">
        <v>518</v>
      </c>
      <c r="Q23" s="118">
        <f ca="1">(Q31+'Balance Sheet'!Q43+'Balance Sheet'!Q52-'Balance Sheet'!Q27)/'Financial Ratio'!Q34</f>
        <v>9.8674152946329645</v>
      </c>
      <c r="R23" s="118">
        <f ca="1">(R31+'Balance Sheet'!R43+'Balance Sheet'!R52-'Balance Sheet'!R27)/'Financial Ratio'!R34</f>
        <v>13.931506383117474</v>
      </c>
      <c r="S23" s="118">
        <f ca="1">(S31+'Balance Sheet'!S43+'Balance Sheet'!S52-'Balance Sheet'!S27)/'Financial Ratio'!S34</f>
        <v>13.936619794387411</v>
      </c>
      <c r="T23" s="118">
        <f ca="1">(T31+'Balance Sheet'!T43+'Balance Sheet'!T52-'Balance Sheet'!T27)/'Financial Ratio'!T34</f>
        <v>17.287154508553751</v>
      </c>
      <c r="U23" s="118">
        <f ca="1">(U31+'Balance Sheet'!U43+'Balance Sheet'!U52-'Balance Sheet'!U27)/'Financial Ratio'!U34</f>
        <v>19.09861284867285</v>
      </c>
      <c r="V23" s="118">
        <f ca="1">(V31+'Balance Sheet'!V43+'Balance Sheet'!V52-'Balance Sheet'!V27)/'Financial Ratio'!V34</f>
        <v>17.91857467524299</v>
      </c>
      <c r="X23" s="34" t="s">
        <v>518</v>
      </c>
      <c r="Y23" s="66">
        <f ca="1">(Y31+'Balance Sheet'!Y40+'Balance Sheet'!Y49-Titan[[#This Row],[2020]])/'Financial Ratio'!Y34</f>
        <v>31.852549143129771</v>
      </c>
      <c r="Z23" s="66">
        <f ca="1">(Z31+'Balance Sheet'!Z40+'Balance Sheet'!Z49-Titan[[#This Row],[2021]])/'Financial Ratio'!Z34</f>
        <v>72.320646608376975</v>
      </c>
      <c r="AA23" s="66">
        <f ca="1">(AA31+'Balance Sheet'!AA40+'Balance Sheet'!AA49-Titan[[#This Row],[2022]])/'Financial Ratio'!AA34</f>
        <v>63.011746506153848</v>
      </c>
      <c r="AB23" s="66">
        <f ca="1">(AB31+'Balance Sheet'!AB40+'Balance Sheet'!AB49-Titan[[#This Row],[2023]])/'Financial Ratio'!AB34</f>
        <v>43.389967881819935</v>
      </c>
      <c r="AC23" s="66">
        <f ca="1">(AC31+'Balance Sheet'!AC40+'Balance Sheet'!AC49-Titan[[#This Row],[2024]])/'Financial Ratio'!AC34</f>
        <v>58.197785049527894</v>
      </c>
      <c r="AD23" s="66">
        <f ca="1">(AD31+'Balance Sheet'!AD40+'Balance Sheet'!AD49-Titan[[#This Row],[2025]])/'Financial Ratio'!AD34</f>
        <v>44.465223114077673</v>
      </c>
      <c r="AF23" s="34" t="s">
        <v>518</v>
      </c>
      <c r="AG23" s="66">
        <f ca="1">(AG31+'Balance Sheet'!AG42-'Balance Sheet'!AG22)/'Financial Ratio'!AG34</f>
        <v>25.363531741132398</v>
      </c>
      <c r="AH23" s="66">
        <f ca="1">(AH31+'Balance Sheet'!AH42-'Balance Sheet'!AH22)/'Financial Ratio'!AH34</f>
        <v>71.280478413654649</v>
      </c>
      <c r="AI23" s="66">
        <f ca="1">(AI31+'Balance Sheet'!AI42-'Balance Sheet'!AI22)/'Financial Ratio'!AI34</f>
        <v>61.084824885192468</v>
      </c>
      <c r="AJ23" s="66">
        <f ca="1">(AJ31+'Balance Sheet'!AJ42-'Balance Sheet'!AJ22)/'Financial Ratio'!AJ34</f>
        <v>36.935098055928073</v>
      </c>
      <c r="AK23" s="66">
        <f ca="1">(AK31+'Balance Sheet'!AK42-'Balance Sheet'!AK22)/'Financial Ratio'!AK34</f>
        <v>62.573433797594319</v>
      </c>
      <c r="AL23" s="66">
        <f ca="1">(AL31+'Balance Sheet'!AL42-'Balance Sheet'!AL22)/'Financial Ratio'!AL34</f>
        <v>66.646474671734353</v>
      </c>
      <c r="AN23" s="105" t="s">
        <v>518</v>
      </c>
      <c r="AO23" s="118">
        <f ca="1">(AO31+'Balance Sheet'!AO38+'Balance Sheet'!AO45-'Balance Sheet'!AO21)/'Financial Ratio'!AO34</f>
        <v>14.964343270341443</v>
      </c>
      <c r="AP23" s="118">
        <f ca="1">(AP31+'Balance Sheet'!AP38+'Balance Sheet'!AP45-'Balance Sheet'!AP21)/'Financial Ratio'!AP34</f>
        <v>19.406763527171627</v>
      </c>
      <c r="AQ23" s="118">
        <f ca="1">(AQ31+'Balance Sheet'!AQ38+'Balance Sheet'!AQ45-'Balance Sheet'!AQ21)/'Financial Ratio'!AQ34</f>
        <v>16.262838370557134</v>
      </c>
      <c r="AR23" s="118">
        <f ca="1">(AR31+'Balance Sheet'!AR38+'Balance Sheet'!AR45-'Balance Sheet'!AR21)/'Financial Ratio'!AR34</f>
        <v>26.779516782222284</v>
      </c>
      <c r="AS23" s="118">
        <f ca="1">(AS31+'Balance Sheet'!AS38+'Balance Sheet'!AS45-'Balance Sheet'!AS21)/'Financial Ratio'!AS34</f>
        <v>39.137177914877242</v>
      </c>
    </row>
    <row r="24" spans="1:45" x14ac:dyDescent="0.3">
      <c r="A24" s="34" t="s">
        <v>519</v>
      </c>
      <c r="B24" s="66">
        <f ca="1">B31/'Income Statement'!B21</f>
        <v>109.41587543620929</v>
      </c>
      <c r="C24" s="66">
        <f ca="1">C31/'Income Statement'!C21</f>
        <v>169.22209413559744</v>
      </c>
      <c r="D24" s="66">
        <f ca="1">D31/'Income Statement'!D21</f>
        <v>174.55858723432027</v>
      </c>
      <c r="E24" s="66">
        <f ca="1">E31/'Income Statement'!E21</f>
        <v>93.055484487289888</v>
      </c>
      <c r="F24" s="66">
        <f ca="1">F31/'Income Statement'!F21</f>
        <v>115.05837677048153</v>
      </c>
      <c r="G24" s="66">
        <f ca="1">G31/'Income Statement'!G21</f>
        <v>98.13933383515861</v>
      </c>
      <c r="I24" s="104" t="s">
        <v>519</v>
      </c>
      <c r="J24" s="119">
        <f ca="1">J31/'Income Statement'!J27</f>
        <v>79.924697404529311</v>
      </c>
      <c r="K24" s="119">
        <f ca="1">K31/'Income Statement'!K27</f>
        <v>71.401247690961384</v>
      </c>
      <c r="L24" s="119">
        <f ca="1">L31/'Income Statement'!L27</f>
        <v>54.138096270242912</v>
      </c>
      <c r="M24" s="119">
        <f ca="1">M31/'Income Statement'!M27</f>
        <v>59.272562074829928</v>
      </c>
      <c r="N24" s="119">
        <f ca="1">N31/'Income Statement'!N27</f>
        <v>52.253377359949425</v>
      </c>
      <c r="P24" s="104" t="s">
        <v>519</v>
      </c>
      <c r="Q24" s="119">
        <f ca="1">Q31/'Income Statement'!Q30</f>
        <v>13.795039293827015</v>
      </c>
      <c r="R24" s="119">
        <f ca="1">R31/'Income Statement'!R30</f>
        <v>20.45399077029758</v>
      </c>
      <c r="S24" s="119">
        <f ca="1">S31/'Income Statement'!S30</f>
        <v>20.254639521180568</v>
      </c>
      <c r="T24" s="119">
        <f ca="1">T31/'Income Statement'!T30</f>
        <v>24.66753457461008</v>
      </c>
      <c r="U24" s="119">
        <f ca="1">U31/'Income Statement'!U30</f>
        <v>25.760380659388119</v>
      </c>
      <c r="V24" s="119">
        <f ca="1">V31/'Income Statement'!V30</f>
        <v>14.644562781292509</v>
      </c>
      <c r="X24" s="34" t="s">
        <v>519</v>
      </c>
      <c r="Y24" s="66">
        <f ca="1">Y31/'Income Statement'!Y28</f>
        <v>55.462611356329539</v>
      </c>
      <c r="Z24" s="66">
        <f ca="1">Z31/'Income Statement'!Z28</f>
        <v>141.83617558726903</v>
      </c>
      <c r="AA24" s="66">
        <f ca="1">AA31/'Income Statement'!AA28</f>
        <v>102.35122555027299</v>
      </c>
      <c r="AB24" s="66">
        <f ca="1">AB31/'Income Statement'!AB28</f>
        <v>68.14317758185706</v>
      </c>
      <c r="AC24" s="66">
        <f ca="1">AC31/'Income Statement'!AC28</f>
        <v>94.843563476401599</v>
      </c>
      <c r="AD24" s="66">
        <f ca="1">AD31/'Income Statement'!AD28</f>
        <v>79.38749740635302</v>
      </c>
      <c r="AF24" s="34" t="s">
        <v>519</v>
      </c>
      <c r="AG24" s="66">
        <f ca="1">AG31/'Income Statement'!AG25</f>
        <v>162.46496567748693</v>
      </c>
      <c r="AH24" s="66">
        <f ca="1">AH31/'Income Statement'!AH25</f>
        <v>-147.40180360790566</v>
      </c>
      <c r="AI24" s="66">
        <f ca="1">AI31/'Income Statement'!AI25</f>
        <v>1310.4748735548969</v>
      </c>
      <c r="AJ24" s="66">
        <f ca="1">AJ31/'Income Statement'!AJ25</f>
        <v>124.15289647311282</v>
      </c>
      <c r="AK24" s="66">
        <f ca="1">AK31/'Income Statement'!AK25</f>
        <v>93.523633908446726</v>
      </c>
      <c r="AL24" s="66">
        <f ca="1">AL31/'Income Statement'!AL25</f>
        <v>129.20046895060628</v>
      </c>
      <c r="AN24" s="104" t="s">
        <v>519</v>
      </c>
      <c r="AO24" s="119">
        <f ca="1">AO31/'Income Statement'!AO27</f>
        <v>44.642845494138733</v>
      </c>
      <c r="AP24" s="119">
        <f ca="1">AP31/'Income Statement'!AP27</f>
        <v>40.531174300182911</v>
      </c>
      <c r="AQ24" s="119">
        <f ca="1">AQ31/'Income Statement'!AQ27</f>
        <v>27.374642112128495</v>
      </c>
      <c r="AR24" s="119">
        <f ca="1">AR31/'Income Statement'!AR27</f>
        <v>44.643973942972082</v>
      </c>
      <c r="AS24" s="119">
        <f ca="1">AS31/'Income Statement'!AS27</f>
        <v>71.756169489698152</v>
      </c>
    </row>
    <row r="25" spans="1:45" x14ac:dyDescent="0.3">
      <c r="A25" s="34" t="s">
        <v>520</v>
      </c>
      <c r="B25" s="66">
        <f ca="1">B24/'Income Statement'!B24</f>
        <v>280.59964767464174</v>
      </c>
      <c r="C25" s="66">
        <f ca="1">C24/'Income Statement'!C24</f>
        <v>-1092.3074176558005</v>
      </c>
      <c r="D25" s="66">
        <f ca="1">D24/'Income Statement'!D24</f>
        <v>488.37048009524381</v>
      </c>
      <c r="E25" s="66">
        <f ca="1">E24/'Income Statement'!E24</f>
        <v>156.75554219115713</v>
      </c>
      <c r="F25" s="66">
        <f ca="1">F24/'Income Statement'!F24</f>
        <v>1739.9881719863747</v>
      </c>
      <c r="G25" s="66">
        <f ca="1">G24/'Income Statement'!G24</f>
        <v>1448.1091495912506</v>
      </c>
      <c r="I25" s="105" t="s">
        <v>520</v>
      </c>
      <c r="J25" s="118">
        <f ca="1">J24/J32</f>
        <v>695.89607222909137</v>
      </c>
      <c r="K25" s="118">
        <f t="shared" ref="K25:N25" ca="1" si="17">K24/K32</f>
        <v>388.08272679013282</v>
      </c>
      <c r="L25" s="118">
        <f t="shared" ca="1" si="17"/>
        <v>484.93911765472905</v>
      </c>
      <c r="M25" s="118">
        <f t="shared" ca="1" si="17"/>
        <v>421.30425417217248</v>
      </c>
      <c r="N25" s="118">
        <f t="shared" ca="1" si="17"/>
        <v>3812.9928529637914</v>
      </c>
      <c r="P25" s="105" t="s">
        <v>520</v>
      </c>
      <c r="Q25" s="118">
        <f ca="1">Q24/Q32</f>
        <v>74.707237128937223</v>
      </c>
      <c r="R25" s="118">
        <f t="shared" ref="R25:V25" ca="1" si="18">R24/R32</f>
        <v>-144.32081913357186</v>
      </c>
      <c r="S25" s="118">
        <f t="shared" ca="1" si="18"/>
        <v>127.84596635076852</v>
      </c>
      <c r="T25" s="118">
        <f t="shared" ca="1" si="18"/>
        <v>96.241432883028438</v>
      </c>
      <c r="U25" s="118">
        <f t="shared" ca="1" si="18"/>
        <v>393.62307882721944</v>
      </c>
      <c r="V25" s="118">
        <f t="shared" ca="1" si="18"/>
        <v>21.249705919340709</v>
      </c>
      <c r="X25" s="34" t="s">
        <v>520</v>
      </c>
      <c r="Y25" s="66">
        <f ca="1">Y24/Y32</f>
        <v>740.74583821097815</v>
      </c>
      <c r="Z25" s="66">
        <f t="shared" ref="Z25:AD25" ca="1" si="19">Z24/Z32</f>
        <v>-408.018131313666</v>
      </c>
      <c r="AA25" s="66">
        <f t="shared" ca="1" si="19"/>
        <v>81.44615497219435</v>
      </c>
      <c r="AB25" s="66">
        <f t="shared" ca="1" si="19"/>
        <v>139.19953933542919</v>
      </c>
      <c r="AC25" s="66">
        <f t="shared" ca="1" si="19"/>
        <v>1398.7289496474723</v>
      </c>
      <c r="AD25" s="66">
        <f t="shared" ca="1" si="19"/>
        <v>-1745.5263580667306</v>
      </c>
      <c r="AF25" s="34" t="s">
        <v>520</v>
      </c>
      <c r="AG25" s="66">
        <f ca="1">AG24/AG32</f>
        <v>-33274.074701229329</v>
      </c>
      <c r="AH25" s="66">
        <f t="shared" ref="AH25:AL25" ca="1" si="20">AH24/AH32</f>
        <v>54.409958365663996</v>
      </c>
      <c r="AI25" s="66">
        <f t="shared" ca="1" si="20"/>
        <v>1100.2934865201782</v>
      </c>
      <c r="AJ25" s="66">
        <f t="shared" ca="1" si="20"/>
        <v>11.962711905009169</v>
      </c>
      <c r="AK25" s="66">
        <f t="shared" ca="1" si="20"/>
        <v>33.975564670496126</v>
      </c>
      <c r="AL25" s="66">
        <f t="shared" ca="1" si="20"/>
        <v>3347.5882290937602</v>
      </c>
      <c r="AN25" s="105" t="s">
        <v>520</v>
      </c>
      <c r="AO25" s="118">
        <f ca="1">AO24/AO32</f>
        <v>-164.31884738500929</v>
      </c>
      <c r="AP25" s="118">
        <f t="shared" ref="AP25:AS25" ca="1" si="21">AP24/AP32</f>
        <v>37.245595446000557</v>
      </c>
      <c r="AQ25" s="118">
        <f t="shared" ca="1" si="21"/>
        <v>25.399666315579584</v>
      </c>
      <c r="AR25" s="118">
        <f t="shared" ca="1" si="21"/>
        <v>125.4366040624263</v>
      </c>
      <c r="AS25" s="118">
        <f t="shared" ca="1" si="21"/>
        <v>283.24181009604501</v>
      </c>
    </row>
    <row r="26" spans="1:45" x14ac:dyDescent="0.3">
      <c r="A26" s="34" t="s">
        <v>521</v>
      </c>
      <c r="B26" s="66">
        <f ca="1">B31/'Income Statement'!B4</f>
        <v>5.7236317208948861</v>
      </c>
      <c r="C26" s="66">
        <f ca="1">C31/'Income Statement'!C4</f>
        <v>7.7060590892579484</v>
      </c>
      <c r="D26" s="66">
        <f ca="1">D31/'Income Statement'!D4</f>
        <v>8.4100259840355225</v>
      </c>
      <c r="E26" s="66">
        <f ca="1">E31/'Income Statement'!E4</f>
        <v>5.1661964076078286</v>
      </c>
      <c r="F26" s="66">
        <f ca="1">F31/'Income Statement'!F4</f>
        <v>5.7442388557287103</v>
      </c>
      <c r="G26" s="66">
        <f ca="1">G31/'Income Statement'!G4</f>
        <v>4.4763488590342844</v>
      </c>
      <c r="I26" s="104" t="s">
        <v>521</v>
      </c>
      <c r="J26" s="119">
        <f ca="1">J31/'Income Statement'!J4</f>
        <v>13.572914452529977</v>
      </c>
      <c r="K26" s="119">
        <f ca="1">K31/'Income Statement'!K4</f>
        <v>12.144649576422559</v>
      </c>
      <c r="L26" s="119">
        <f ca="1">L31/'Income Statement'!L4</f>
        <v>9.178887847214277</v>
      </c>
      <c r="M26" s="119">
        <f ca="1">M31/'Income Statement'!M4</f>
        <v>9.9240937128590296</v>
      </c>
      <c r="N26" s="119">
        <f ca="1">N31/'Income Statement'!N4</f>
        <v>8.6801930014055841</v>
      </c>
      <c r="P26" s="104" t="s">
        <v>521</v>
      </c>
      <c r="Q26" s="119">
        <f ca="1">Q31/'Income Statement'!Q4</f>
        <v>4.1854152443880519</v>
      </c>
      <c r="R26" s="119">
        <f ca="1">R31/'Income Statement'!R4</f>
        <v>5.1497071965974301</v>
      </c>
      <c r="S26" s="119">
        <f ca="1">S31/'Income Statement'!S4</f>
        <v>4.8157426919669923</v>
      </c>
      <c r="T26" s="119">
        <f ca="1">T31/'Income Statement'!T4</f>
        <v>6.2788016604152137</v>
      </c>
      <c r="U26" s="119">
        <f ca="1">U31/'Income Statement'!U4</f>
        <v>7.2344375091942341</v>
      </c>
      <c r="V26" s="119">
        <f ca="1">V31/'Income Statement'!V4</f>
        <v>6.2898022098989896</v>
      </c>
      <c r="X26" s="34" t="s">
        <v>521</v>
      </c>
      <c r="Y26" s="66">
        <f ca="1">Y31/'Income Statement'!Y4</f>
        <v>3.9333877424947747</v>
      </c>
      <c r="Z26" s="66">
        <f ca="1">Z31/'Income Statement'!Z4</f>
        <v>6.3827589642395131</v>
      </c>
      <c r="AA26" s="66">
        <f ca="1">AA31/'Income Statement'!AA4</f>
        <v>7.8116599103961946</v>
      </c>
      <c r="AB26" s="66">
        <f ca="1">AB31/'Income Statement'!AB4</f>
        <v>5.4984784572520029</v>
      </c>
      <c r="AC26" s="66">
        <f ca="1">AC31/'Income Statement'!AC4</f>
        <v>6.4907426574563463</v>
      </c>
      <c r="AD26" s="66">
        <f ca="1">AD31/'Income Statement'!AD4</f>
        <v>4.3819650463973803</v>
      </c>
      <c r="AF26" s="34" t="s">
        <v>521</v>
      </c>
      <c r="AG26" s="66">
        <f ca="1">AG31/'Income Statement'!AG4</f>
        <v>4.9392242819809633</v>
      </c>
      <c r="AH26" s="66">
        <f ca="1">AH31/'Income Statement'!AH4</f>
        <v>10.296683592303774</v>
      </c>
      <c r="AI26" s="66">
        <f ca="1">AI31/'Income Statement'!AI4</f>
        <v>10.080531128140825</v>
      </c>
      <c r="AJ26" s="66">
        <f ca="1">AJ31/'Income Statement'!AJ4</f>
        <v>5.9303124491932797</v>
      </c>
      <c r="AK26" s="66">
        <f ca="1">AK31/'Income Statement'!AK4</f>
        <v>11.165224511135657</v>
      </c>
      <c r="AL26" s="66">
        <f ca="1">AL31/'Income Statement'!AL4</f>
        <v>11.569944782081413</v>
      </c>
      <c r="AN26" s="104" t="s">
        <v>521</v>
      </c>
      <c r="AO26" s="119">
        <f ca="1">AO31/'Income Statement'!AO4</f>
        <v>2.4328814870519033</v>
      </c>
      <c r="AP26" s="119">
        <f ca="1">AP31/'Income Statement'!AP4</f>
        <v>3.3754611955561611</v>
      </c>
      <c r="AQ26" s="119">
        <f ca="1">AQ31/'Income Statement'!AQ4</f>
        <v>3.1689356024595838</v>
      </c>
      <c r="AR26" s="119">
        <f ca="1">AR31/'Income Statement'!AR4</f>
        <v>5.7492140557879097</v>
      </c>
      <c r="AS26" s="119">
        <f ca="1">AS31/'Income Statement'!AS4</f>
        <v>9.2291930087736471</v>
      </c>
    </row>
    <row r="27" spans="1:45" x14ac:dyDescent="0.3">
      <c r="A27" s="106" t="s">
        <v>522</v>
      </c>
      <c r="B27" s="116">
        <f ca="1">B31/'Balance Sheet'!B35</f>
        <v>12.84704839488457</v>
      </c>
      <c r="C27" s="116">
        <f ca="1">C31/'Balance Sheet'!C35</f>
        <v>15.269711694617007</v>
      </c>
      <c r="D27" s="116">
        <f ca="1">D31/'Balance Sheet'!D35</f>
        <v>19.046156650514078</v>
      </c>
      <c r="E27" s="116">
        <f ca="1">E31/'Balance Sheet'!E35</f>
        <v>13.764575482437101</v>
      </c>
      <c r="F27" s="116">
        <f ca="1">F31/'Balance Sheet'!F35</f>
        <v>15.603458605502174</v>
      </c>
      <c r="G27" s="116">
        <f ca="1">G31/'Balance Sheet'!G35</f>
        <v>12.400758837898509</v>
      </c>
      <c r="I27" s="105" t="s">
        <v>522</v>
      </c>
      <c r="J27" s="118">
        <f ca="1">J31/'Balance Sheet'!J35</f>
        <v>68.480818727330387</v>
      </c>
      <c r="K27" s="118">
        <f ca="1">K31/'Balance Sheet'!K35</f>
        <v>69.262500640310463</v>
      </c>
      <c r="L27" s="118">
        <f ca="1">L31/'Balance Sheet'!L35</f>
        <v>10.093427937161906</v>
      </c>
      <c r="M27" s="118">
        <f ca="1">M31/'Balance Sheet'!M35</f>
        <v>12.24767447847699</v>
      </c>
      <c r="N27" s="118">
        <f ca="1">N31/'Balance Sheet'!N35</f>
        <v>10.448033487252786</v>
      </c>
      <c r="P27" s="105" t="s">
        <v>522</v>
      </c>
      <c r="Q27" s="118">
        <f ca="1">Q31/'Balance Sheet'!Q40</f>
        <v>3.2764755669891259</v>
      </c>
      <c r="R27" s="118">
        <f ca="1">R31/'Balance Sheet'!R40</f>
        <v>4.5100442793910123</v>
      </c>
      <c r="S27" s="118">
        <f ca="1">S31/'Balance Sheet'!S40</f>
        <v>4.9984234725900398</v>
      </c>
      <c r="T27" s="118">
        <f ca="1">T31/'Balance Sheet'!T40</f>
        <v>6.9089879763510407</v>
      </c>
      <c r="U27" s="118">
        <f ca="1">U31/'Balance Sheet'!U40</f>
        <v>7.137977659758711</v>
      </c>
      <c r="V27" s="118">
        <f ca="1">V31/'Balance Sheet'!V40</f>
        <v>7.2918077432379418</v>
      </c>
      <c r="X27" s="106" t="s">
        <v>522</v>
      </c>
      <c r="Y27" s="116">
        <f ca="1">Y31/'Balance Sheet'!Y37</f>
        <v>12.409063203206953</v>
      </c>
      <c r="Z27" s="116">
        <f ca="1">Z31/'Balance Sheet'!Z37</f>
        <v>18.414880701412958</v>
      </c>
      <c r="AA27" s="116">
        <f ca="1">AA31/'Balance Sheet'!AA37</f>
        <v>24.104574494749812</v>
      </c>
      <c r="AB27" s="116">
        <f ca="1">AB31/'Balance Sheet'!AB37</f>
        <v>18.74166359232191</v>
      </c>
      <c r="AC27" s="116">
        <f ca="1">AC31/'Balance Sheet'!AC37</f>
        <v>35.300021070318323</v>
      </c>
      <c r="AD27" s="116">
        <f ca="1">AD31/'Balance Sheet'!AD37</f>
        <v>22.790440368633863</v>
      </c>
      <c r="AF27" s="106" t="s">
        <v>522</v>
      </c>
      <c r="AG27" s="116">
        <f ca="1">AG31/'Balance Sheet'!AG39</f>
        <v>6.9783238208044223</v>
      </c>
      <c r="AH27" s="116">
        <f ca="1">AH31/'Balance Sheet'!AH39</f>
        <v>11.324989263081541</v>
      </c>
      <c r="AI27" s="116">
        <f ca="1">AI31/'Balance Sheet'!AI39</f>
        <v>18.814754983526562</v>
      </c>
      <c r="AJ27" s="116">
        <f ca="1">AJ31/'Balance Sheet'!AJ39</f>
        <v>18.354601746358387</v>
      </c>
      <c r="AK27" s="116">
        <f ca="1">AK31/'Balance Sheet'!AK39</f>
        <v>33.678939767317715</v>
      </c>
      <c r="AL27" s="116">
        <f ca="1">AL31/'Balance Sheet'!AL39</f>
        <v>35.506664725631161</v>
      </c>
      <c r="AN27" s="105" t="s">
        <v>522</v>
      </c>
      <c r="AO27" s="118">
        <f ca="1">AO31/'Balance Sheet'!AO35</f>
        <v>4.4444834914591969</v>
      </c>
      <c r="AP27" s="118">
        <f ca="1">AP31/'Balance Sheet'!AP35</f>
        <v>7.2052768281817805</v>
      </c>
      <c r="AQ27" s="118">
        <f ca="1">AQ31/'Balance Sheet'!AQ35</f>
        <v>8.1361176785600264</v>
      </c>
      <c r="AR27" s="118">
        <f ca="1">AR31/'Balance Sheet'!AR35</f>
        <v>13.244584428482241</v>
      </c>
      <c r="AS27" s="118">
        <f ca="1">AS31/'Balance Sheet'!AS35</f>
        <v>11.292129003760891</v>
      </c>
    </row>
    <row r="29" spans="1:45" x14ac:dyDescent="0.3">
      <c r="A29" s="63" t="s">
        <v>525</v>
      </c>
      <c r="B29" s="66">
        <v>2187.5</v>
      </c>
      <c r="C29" s="66">
        <v>2859.05</v>
      </c>
      <c r="D29" s="66">
        <v>4003.35</v>
      </c>
      <c r="E29" s="66">
        <v>3401.05</v>
      </c>
      <c r="F29" s="66">
        <v>4483.3</v>
      </c>
      <c r="G29" s="66">
        <v>4083.2</v>
      </c>
      <c r="I29" s="63" t="s">
        <v>525</v>
      </c>
      <c r="J29" s="66">
        <v>2298.15</v>
      </c>
      <c r="K29" s="66">
        <v>2430.8000000000002</v>
      </c>
      <c r="L29" s="66">
        <v>2048.85</v>
      </c>
      <c r="M29" s="66">
        <v>2558.75</v>
      </c>
      <c r="N29" s="66">
        <v>2286.65</v>
      </c>
      <c r="P29" s="63" t="s">
        <v>525</v>
      </c>
      <c r="Q29" s="66">
        <v>171.7</v>
      </c>
      <c r="R29" s="66">
        <v>218.5</v>
      </c>
      <c r="S29" s="66">
        <v>250.65</v>
      </c>
      <c r="T29" s="66">
        <v>383.5</v>
      </c>
      <c r="U29" s="66">
        <v>426.7</v>
      </c>
      <c r="V29" s="66">
        <v>409.75</v>
      </c>
      <c r="X29" s="63" t="s">
        <v>525</v>
      </c>
      <c r="Y29" s="66">
        <v>933.5</v>
      </c>
      <c r="Z29" s="66">
        <v>1557.4</v>
      </c>
      <c r="AA29" s="66">
        <v>2536.15</v>
      </c>
      <c r="AB29" s="66">
        <v>2515.1</v>
      </c>
      <c r="AC29" s="66">
        <v>3737.95</v>
      </c>
      <c r="AD29" s="66">
        <v>2986.5</v>
      </c>
      <c r="AF29" s="63" t="s">
        <v>525</v>
      </c>
      <c r="AG29" s="66">
        <v>484.35</v>
      </c>
      <c r="AH29" s="66">
        <v>751.05</v>
      </c>
      <c r="AI29" s="66">
        <v>1275.5</v>
      </c>
      <c r="AJ29" s="66">
        <v>1374.95</v>
      </c>
      <c r="AK29" s="66">
        <v>3886.8</v>
      </c>
      <c r="AL29" s="66">
        <v>5576.75</v>
      </c>
      <c r="AN29" s="63" t="s">
        <v>525</v>
      </c>
      <c r="AO29" s="66">
        <v>47.16</v>
      </c>
      <c r="AP29" s="66">
        <v>89.41</v>
      </c>
      <c r="AQ29" s="66">
        <v>125.47</v>
      </c>
      <c r="AR29" s="66">
        <v>277.45</v>
      </c>
      <c r="AS29" s="66">
        <v>558.91999999999996</v>
      </c>
    </row>
    <row r="30" spans="1:45" x14ac:dyDescent="0.3">
      <c r="A30" s="63" t="s">
        <v>6</v>
      </c>
      <c r="B30" s="66">
        <f ca="1">'Company Profile'!$B$9</f>
        <v>65.073310000000006</v>
      </c>
      <c r="C30" s="66">
        <f ca="1">'Company Profile'!$B$9</f>
        <v>65.073310000000006</v>
      </c>
      <c r="D30" s="66">
        <f ca="1">'Company Profile'!$B$9</f>
        <v>65.073310000000006</v>
      </c>
      <c r="E30" s="66">
        <f ca="1">'Company Profile'!$B$9</f>
        <v>65.073310000000006</v>
      </c>
      <c r="F30" s="66">
        <f ca="1">'Company Profile'!$B$9</f>
        <v>65.073310000000006</v>
      </c>
      <c r="G30" s="66">
        <f ca="1">'Company Profile'!$B$9</f>
        <v>65.073310000000006</v>
      </c>
      <c r="I30" s="63" t="s">
        <v>6</v>
      </c>
      <c r="J30" s="66">
        <f ca="1">'Company Profile'!$G$9</f>
        <v>234.95910000000001</v>
      </c>
      <c r="K30" s="66">
        <f ca="1">'Company Profile'!$G$9</f>
        <v>234.95910000000001</v>
      </c>
      <c r="L30" s="66">
        <f ca="1">'Company Profile'!$G$9</f>
        <v>234.95910000000001</v>
      </c>
      <c r="M30" s="66">
        <f ca="1">'Company Profile'!$G$9</f>
        <v>234.95910000000001</v>
      </c>
      <c r="N30" s="66">
        <f ca="1">'Company Profile'!$G$9</f>
        <v>234.95910000000001</v>
      </c>
      <c r="P30" s="63" t="s">
        <v>6</v>
      </c>
      <c r="Q30" s="66">
        <f ca="1">'Company Profile'!$C$9</f>
        <v>1252.7840000000001</v>
      </c>
      <c r="R30" s="66">
        <f ca="1">'Company Profile'!$C$9</f>
        <v>1252.7840000000001</v>
      </c>
      <c r="S30" s="66">
        <f ca="1">'Company Profile'!$C$9</f>
        <v>1252.7840000000001</v>
      </c>
      <c r="T30" s="66">
        <f ca="1">'Company Profile'!$C$9</f>
        <v>1252.7840000000001</v>
      </c>
      <c r="U30" s="66">
        <f ca="1">'Company Profile'!$C$9</f>
        <v>1252.7840000000001</v>
      </c>
      <c r="V30" s="66">
        <f ca="1">'Company Profile'!$C$9</f>
        <v>1252.7840000000001</v>
      </c>
      <c r="X30" s="63" t="s">
        <v>6</v>
      </c>
      <c r="Y30" s="66">
        <f ca="1">'Company Profile'!$F$9</f>
        <v>88.704530000000005</v>
      </c>
      <c r="Z30" s="66">
        <f ca="1">'Company Profile'!$F$9</f>
        <v>88.704530000000005</v>
      </c>
      <c r="AA30" s="66">
        <f ca="1">'Company Profile'!$F$9</f>
        <v>88.704530000000005</v>
      </c>
      <c r="AB30" s="66">
        <f ca="1">'Company Profile'!$F$9</f>
        <v>88.704530000000005</v>
      </c>
      <c r="AC30" s="66">
        <f ca="1">'Company Profile'!$F$9</f>
        <v>88.704530000000005</v>
      </c>
      <c r="AD30" s="66">
        <f ca="1">'Company Profile'!$F$9</f>
        <v>88.704530000000005</v>
      </c>
      <c r="AF30" s="63" t="s">
        <v>6</v>
      </c>
      <c r="AG30" s="66">
        <f ca="1">'Company Profile'!$D$9</f>
        <v>35.548749999999998</v>
      </c>
      <c r="AH30" s="66">
        <f ca="1">'Company Profile'!$D$9</f>
        <v>35.548749999999998</v>
      </c>
      <c r="AI30" s="66">
        <f ca="1">'Company Profile'!$D$9</f>
        <v>35.548749999999998</v>
      </c>
      <c r="AJ30" s="66">
        <f ca="1">'Company Profile'!$D$9</f>
        <v>35.548749999999998</v>
      </c>
      <c r="AK30" s="66">
        <f ca="1">'Company Profile'!$D$9</f>
        <v>35.548749999999998</v>
      </c>
      <c r="AL30" s="66">
        <f ca="1">'Company Profile'!$D$9</f>
        <v>35.548749999999998</v>
      </c>
      <c r="AN30" s="63" t="s">
        <v>6</v>
      </c>
      <c r="AO30" s="66">
        <f ca="1">'Company Profile'!$E$9</f>
        <v>338.19889999999998</v>
      </c>
      <c r="AP30" s="66">
        <f ca="1">'Company Profile'!$E$9</f>
        <v>338.19889999999998</v>
      </c>
      <c r="AQ30" s="66">
        <f ca="1">'Company Profile'!$E$9</f>
        <v>338.19889999999998</v>
      </c>
      <c r="AR30" s="66">
        <f ca="1">'Company Profile'!$E$9</f>
        <v>338.19889999999998</v>
      </c>
      <c r="AS30" s="66">
        <f ca="1">'Company Profile'!$E$9</f>
        <v>338.19889999999998</v>
      </c>
    </row>
    <row r="31" spans="1:45" x14ac:dyDescent="0.3">
      <c r="A31" s="63" t="s">
        <v>526</v>
      </c>
      <c r="B31" s="66">
        <f ca="1">B29*B30</f>
        <v>142347.86562500001</v>
      </c>
      <c r="C31" s="66">
        <f t="shared" ref="C31:G31" ca="1" si="22">C29*C30</f>
        <v>186047.84695550002</v>
      </c>
      <c r="D31" s="66">
        <f t="shared" ca="1" si="22"/>
        <v>260511.23558850001</v>
      </c>
      <c r="E31" s="66">
        <f t="shared" ca="1" si="22"/>
        <v>221317.58097550002</v>
      </c>
      <c r="F31" s="66">
        <f t="shared" ca="1" si="22"/>
        <v>291743.17072300002</v>
      </c>
      <c r="G31" s="66">
        <f t="shared" ca="1" si="22"/>
        <v>265707.33939199999</v>
      </c>
      <c r="I31" s="63" t="s">
        <v>526</v>
      </c>
      <c r="J31" s="66">
        <f ca="1">J29*J30</f>
        <v>539971.25566500006</v>
      </c>
      <c r="K31" s="66">
        <f t="shared" ref="K31:N31" ca="1" si="23">K29*K30</f>
        <v>571138.58028000011</v>
      </c>
      <c r="L31" s="66">
        <f t="shared" ca="1" si="23"/>
        <v>481395.95203499997</v>
      </c>
      <c r="M31" s="66">
        <f t="shared" ca="1" si="23"/>
        <v>601201.59712499997</v>
      </c>
      <c r="N31" s="66">
        <f t="shared" ca="1" si="23"/>
        <v>537269.22601500002</v>
      </c>
      <c r="P31" s="63" t="s">
        <v>526</v>
      </c>
      <c r="Q31" s="66">
        <f ca="1">Q29*Q30</f>
        <v>215103.0128</v>
      </c>
      <c r="R31" s="66">
        <f t="shared" ref="R31:V31" ca="1" si="24">R29*R30</f>
        <v>273733.304</v>
      </c>
      <c r="S31" s="66">
        <f t="shared" ca="1" si="24"/>
        <v>314010.30960000004</v>
      </c>
      <c r="T31" s="66">
        <f t="shared" ca="1" si="24"/>
        <v>480442.66400000005</v>
      </c>
      <c r="U31" s="66">
        <f t="shared" ca="1" si="24"/>
        <v>534562.93280000007</v>
      </c>
      <c r="V31" s="66">
        <f t="shared" ca="1" si="24"/>
        <v>513328.24400000006</v>
      </c>
      <c r="X31" s="63" t="s">
        <v>526</v>
      </c>
      <c r="Y31" s="66">
        <f ca="1">Y29*Y30</f>
        <v>82805.678755000001</v>
      </c>
      <c r="Z31" s="66">
        <f t="shared" ref="Z31:AD31" ca="1" si="25">Z29*Z30</f>
        <v>138148.43502200002</v>
      </c>
      <c r="AA31" s="66">
        <f t="shared" ca="1" si="25"/>
        <v>224967.99375950001</v>
      </c>
      <c r="AB31" s="66">
        <f t="shared" ca="1" si="25"/>
        <v>223100.76340300002</v>
      </c>
      <c r="AC31" s="66">
        <f t="shared" ca="1" si="25"/>
        <v>331573.09791349998</v>
      </c>
      <c r="AD31" s="66">
        <f t="shared" ca="1" si="25"/>
        <v>264916.07884500001</v>
      </c>
      <c r="AF31" s="63" t="s">
        <v>526</v>
      </c>
      <c r="AG31" s="66">
        <f ca="1">AG29*AG30</f>
        <v>17218.0370625</v>
      </c>
      <c r="AH31" s="66">
        <f t="shared" ref="AH31:AL31" ca="1" si="26">AH29*AH30</f>
        <v>26698.888687499995</v>
      </c>
      <c r="AI31" s="66">
        <f t="shared" ca="1" si="26"/>
        <v>45342.430625000001</v>
      </c>
      <c r="AJ31" s="66">
        <f t="shared" ca="1" si="26"/>
        <v>48877.753812499999</v>
      </c>
      <c r="AK31" s="66">
        <f t="shared" ca="1" si="26"/>
        <v>138170.88149999999</v>
      </c>
      <c r="AL31" s="66">
        <f t="shared" ca="1" si="26"/>
        <v>198246.49156249998</v>
      </c>
      <c r="AN31" s="63" t="s">
        <v>526</v>
      </c>
      <c r="AO31" s="66">
        <f ca="1">AO29*AO30</f>
        <v>15949.460123999997</v>
      </c>
      <c r="AP31" s="66">
        <f t="shared" ref="AP31:AS31" ca="1" si="27">AP29*AP30</f>
        <v>30238.363648999995</v>
      </c>
      <c r="AQ31" s="66">
        <f t="shared" ca="1" si="27"/>
        <v>42433.815983</v>
      </c>
      <c r="AR31" s="66">
        <f t="shared" ca="1" si="27"/>
        <v>93833.284804999988</v>
      </c>
      <c r="AS31" s="66">
        <f t="shared" ca="1" si="27"/>
        <v>189026.12918799996</v>
      </c>
    </row>
    <row r="32" spans="1:45" x14ac:dyDescent="0.3">
      <c r="A32" s="1" t="s">
        <v>646</v>
      </c>
      <c r="B32" s="115">
        <f ca="1">'Income Statement'!B21/'Company Profile'!$B$9</f>
        <v>19.992528426785174</v>
      </c>
      <c r="C32" s="115">
        <f ca="1">'Income Statement'!C21/'Company Profile'!$B$9</f>
        <v>16.895252446817299</v>
      </c>
      <c r="D32" s="115">
        <f ca="1">'Income Statement'!D21/'Company Profile'!$B$9</f>
        <v>22.934133825373298</v>
      </c>
      <c r="E32" s="115">
        <f ca="1">'Income Statement'!E21/'Company Profile'!$B$9</f>
        <v>36.548624927792808</v>
      </c>
      <c r="F32" s="115">
        <f ca="1">'Income Statement'!F21/'Company Profile'!$B$9</f>
        <v>38.965437596458422</v>
      </c>
      <c r="G32" s="115">
        <f ca="1">'Income Statement'!G21/'Company Profile'!$B$9</f>
        <v>41.606151585035363</v>
      </c>
      <c r="I32" s="63" t="s">
        <v>524</v>
      </c>
      <c r="J32" s="114">
        <f>('Income Statement'!J27-6060)/6060</f>
        <v>0.11485148514851486</v>
      </c>
      <c r="K32" s="114">
        <f>('Income Statement'!K27-'Income Statement'!J27)/'Income Statement'!J27</f>
        <v>0.18398460627590291</v>
      </c>
      <c r="L32" s="114">
        <f>('Income Statement'!L27-'Income Statement'!K27)/'Income Statement'!K27</f>
        <v>0.11163895486935867</v>
      </c>
      <c r="M32" s="114">
        <f>('Income Statement'!M27-'Income Statement'!L27)/'Income Statement'!L27</f>
        <v>0.14068825910931174</v>
      </c>
      <c r="N32" s="114">
        <f>('Income Statement'!N27-'Income Statement'!M27)/'Income Statement'!M27</f>
        <v>1.3704032337572711E-2</v>
      </c>
      <c r="P32" s="63" t="s">
        <v>524</v>
      </c>
      <c r="Q32" s="98">
        <f>('Income Statement'!Q30-13162.3)/13162.3</f>
        <v>0.1846546576206286</v>
      </c>
      <c r="R32" s="98">
        <f>('Income Statement'!R30-'Income Statement'!Q30)/'Income Statement'!Q30</f>
        <v>-0.14172585004085234</v>
      </c>
      <c r="S32" s="98">
        <f>('Income Statement'!S30-'Income Statement'!R30)/'Income Statement'!R30</f>
        <v>0.15843002403070194</v>
      </c>
      <c r="T32" s="98">
        <f>('Income Statement'!T30-'Income Statement'!S30)/'Income Statement'!S30</f>
        <v>0.25630888730211376</v>
      </c>
      <c r="U32" s="98">
        <f>('Income Statement'!U30-'Income Statement'!T30)/'Income Statement'!T30</f>
        <v>6.5444284253199536E-2</v>
      </c>
      <c r="V32" s="98">
        <f>('Income Statement'!V30-'Income Statement'!U30)/'Income Statement'!U30</f>
        <v>0.68916543301258393</v>
      </c>
      <c r="X32" s="63" t="s">
        <v>524</v>
      </c>
      <c r="Y32" s="114">
        <f>('Income Statement'!Y28-1389)/1389</f>
        <v>7.487401007919367E-2</v>
      </c>
      <c r="Z32" s="114">
        <f>('Income Statement'!Z28-'Income Statement'!Y28)/'Income Statement'!Y28</f>
        <v>-0.34762223710649698</v>
      </c>
      <c r="AA32" s="114">
        <f>('Income Statement'!AA28-'Income Statement'!Z28)/'Income Statement'!Z28</f>
        <v>1.2566735112936345</v>
      </c>
      <c r="AB32" s="114">
        <f>('Income Statement'!AB28-'Income Statement'!AA28)/'Income Statement'!AA28</f>
        <v>0.48953594176524112</v>
      </c>
      <c r="AC32" s="114">
        <f>('Income Statement'!AC28-'Income Statement'!AB28)/'Income Statement'!AB28</f>
        <v>6.78069639584606E-2</v>
      </c>
      <c r="AD32" s="114">
        <f>('Income Statement'!AD28-'Income Statement'!AC28)/'Income Statement'!AC28</f>
        <v>-4.5480549199084667E-2</v>
      </c>
      <c r="AF32" s="63" t="s">
        <v>524</v>
      </c>
      <c r="AG32" s="114">
        <f>('Income Statement'!AG25-106.5)/106.5</f>
        <v>-4.8826291079849191E-3</v>
      </c>
      <c r="AH32" s="114">
        <f>('Income Statement'!AH25-'Income Statement'!AG25)/'Income Statement'!AG25</f>
        <v>-2.7090960558596051</v>
      </c>
      <c r="AI32" s="114">
        <f>('Income Statement'!AI25-'Income Statement'!AH25)/ABS('Income Statement'!AH25)</f>
        <v>1.1910230221387974</v>
      </c>
      <c r="AJ32" s="114">
        <f>('Income Statement'!AJ25-'Income Statement'!AI25)/'Income Statement'!AI25</f>
        <v>10.378323699421871</v>
      </c>
      <c r="AK32" s="114">
        <f>('Income Statement'!AK25-'Income Statement'!AJ25)/'Income Statement'!AJ25</f>
        <v>2.7526734232517778</v>
      </c>
      <c r="AL32" s="114">
        <f>('Income Statement'!AL25-'Income Statement'!AK25)/'Income Statement'!AK25</f>
        <v>3.8595089989781298E-2</v>
      </c>
      <c r="AN32" s="63" t="s">
        <v>524</v>
      </c>
      <c r="AO32" s="114">
        <f>('Income Statement'!AO27-490.54)/490.54</f>
        <v>-0.27168426631874898</v>
      </c>
      <c r="AP32" s="114">
        <f>('Income Statement'!AP27-'Income Statement'!AO27)/'Income Statement'!AO27</f>
        <v>1.0882138898529856</v>
      </c>
      <c r="AQ32" s="114">
        <f>('Income Statement'!AQ27-'Income Statement'!AP27)/'Income Statement'!AP27</f>
        <v>1.077755974114412</v>
      </c>
      <c r="AR32" s="114">
        <f>('Income Statement'!AR27-'Income Statement'!AQ27)/'Income Statement'!AQ27</f>
        <v>0.35590866220161715</v>
      </c>
      <c r="AS32" s="114">
        <f>('Income Statement'!AS27-'Income Statement'!AR27)/'Income Statement'!AR27</f>
        <v>0.25333890312791818</v>
      </c>
    </row>
    <row r="33" spans="1:45" x14ac:dyDescent="0.3">
      <c r="A33" s="1" t="s">
        <v>647</v>
      </c>
      <c r="B33" s="143">
        <f>'Income Statement'!G21/AVERAGE('Balance Sheet'!F28:G28)</f>
        <v>0.119015356671324</v>
      </c>
      <c r="I33" s="63" t="s">
        <v>523</v>
      </c>
      <c r="J33" s="127">
        <f>'Income Statement'!J8+'Income Statement'!J9+'Income Statement'!J10</f>
        <v>18259</v>
      </c>
      <c r="K33" s="127">
        <f>'Income Statement'!K8+'Income Statement'!K9+'Income Statement'!K10</f>
        <v>22148</v>
      </c>
      <c r="L33" s="127">
        <f>'Income Statement'!L8+'Income Statement'!L9+'Income Statement'!L10</f>
        <v>25735</v>
      </c>
      <c r="M33" s="127">
        <f>'Income Statement'!M8+'Income Statement'!M9+'Income Statement'!M10</f>
        <v>31716</v>
      </c>
      <c r="N33" s="127">
        <f>'Income Statement'!N8+'Income Statement'!N9+'Income Statement'!N10</f>
        <v>29760</v>
      </c>
      <c r="P33" s="63" t="s">
        <v>523</v>
      </c>
      <c r="Q33" s="66">
        <f>'Income Statement'!Q8+'Income Statement'!Q9+'Income Statement'!Q10</f>
        <v>17345.469999999998</v>
      </c>
      <c r="R33" s="66">
        <f>'Income Statement'!R8+'Income Statement'!R9+'Income Statement'!R10</f>
        <v>20131.439999999999</v>
      </c>
      <c r="S33" s="66">
        <f>'Income Statement'!S8+'Income Statement'!S9+'Income Statement'!S10</f>
        <v>26385.07</v>
      </c>
      <c r="T33" s="66">
        <f>'Income Statement'!T8+'Income Statement'!T9+'Income Statement'!T10</f>
        <v>29005.77</v>
      </c>
      <c r="U33" s="66">
        <f>'Income Statement'!U8+'Income Statement'!U9+'Income Statement'!U10</f>
        <v>26980.799999999999</v>
      </c>
      <c r="V33" s="66">
        <f>'Income Statement'!V8+'Income Statement'!V9+'Income Statement'!V10</f>
        <v>31978.720000000001</v>
      </c>
      <c r="X33" s="63" t="s">
        <v>523</v>
      </c>
      <c r="Y33" s="66">
        <f>'Income Statement'!Y8+'Income Statement'!Y9+'Income Statement'!Y10</f>
        <v>15155</v>
      </c>
      <c r="Z33" s="66">
        <f>'Income Statement'!Z8+'Income Statement'!Z9+'Income Statement'!Z10</f>
        <v>16414</v>
      </c>
      <c r="AA33" s="66">
        <f>'Income Statement'!AA8+'Income Statement'!AA9+'Income Statement'!AA10</f>
        <v>21641</v>
      </c>
      <c r="AB33" s="66">
        <f>'Income Statement'!AB8+'Income Statement'!AB9+'Income Statement'!AB10</f>
        <v>30355</v>
      </c>
      <c r="AC33" s="66">
        <f>'Income Statement'!AC8+'Income Statement'!AC9+'Income Statement'!AC10</f>
        <v>39432</v>
      </c>
      <c r="AD33" s="66">
        <f>'Income Statement'!AD8+'Income Statement'!AD9+'Income Statement'!AD10</f>
        <v>47456</v>
      </c>
      <c r="AF33" s="63" t="s">
        <v>523</v>
      </c>
      <c r="AG33" s="66">
        <f>'Income Statement'!AG8+'Income Statement'!AG9</f>
        <v>1881.75</v>
      </c>
      <c r="AH33" s="66">
        <f>'Income Statement'!AH8+'Income Statement'!AH9</f>
        <v>1534</v>
      </c>
      <c r="AI33" s="66">
        <f>'Income Statement'!AI8+'Income Statement'!AI9</f>
        <v>2481.54</v>
      </c>
      <c r="AJ33" s="66">
        <f>'Income Statement'!AJ8+'Income Statement'!AJ9</f>
        <v>4719.74</v>
      </c>
      <c r="AK33" s="66">
        <f>'Income Statement'!AK8+'Income Statement'!AK9</f>
        <v>6958.89</v>
      </c>
      <c r="AL33" s="66">
        <f>'Income Statement'!AL8+'Income Statement'!AL9</f>
        <v>9689.14</v>
      </c>
      <c r="AN33" s="63" t="s">
        <v>523</v>
      </c>
      <c r="AO33" s="66">
        <f>'Income Statement'!AO8+'Income Statement'!AO10+'Income Statement'!AO11</f>
        <v>2763.9369999999999</v>
      </c>
      <c r="AP33" s="66">
        <f>'Income Statement'!AP8+'Income Statement'!AP10+'Income Statement'!AP11</f>
        <v>4034.6599999999994</v>
      </c>
      <c r="AQ33" s="66">
        <f>'Income Statement'!AQ8+'Income Statement'!AQ10+'Income Statement'!AQ11</f>
        <v>6261.1559999999999</v>
      </c>
      <c r="AR33" s="66">
        <f>'Income Statement'!AR8+'Income Statement'!AR10+'Income Statement'!AR11</f>
        <v>7404.8879999999999</v>
      </c>
      <c r="AS33" s="66">
        <f>'Income Statement'!AS8+'Income Statement'!AS10+'Income Statement'!AS11</f>
        <v>8904.7240000000002</v>
      </c>
    </row>
    <row r="34" spans="1:45" x14ac:dyDescent="0.3">
      <c r="B34" s="1">
        <v>2025</v>
      </c>
      <c r="I34" s="63" t="s">
        <v>527</v>
      </c>
      <c r="J34" s="127">
        <f>'Income Statement'!J16+'Income Statement'!J13+'Income Statement'!J12</f>
        <v>10493</v>
      </c>
      <c r="K34" s="127">
        <f>'Income Statement'!K16+'Income Statement'!K13+'Income Statement'!K12</f>
        <v>12036</v>
      </c>
      <c r="L34" s="127">
        <f>'Income Statement'!L16+'Income Statement'!L13+'Income Statement'!L12</f>
        <v>13115</v>
      </c>
      <c r="M34" s="127">
        <f>'Income Statement'!M16+'Income Statement'!M13+'Income Statement'!M12</f>
        <v>14660</v>
      </c>
      <c r="N34" s="127">
        <f>'Income Statement'!N16+'Income Statement'!N13+'Income Statement'!N12</f>
        <v>15474</v>
      </c>
      <c r="P34" s="63" t="s">
        <v>527</v>
      </c>
      <c r="Q34" s="66">
        <f>'Income Statement'!Q20+'Income Statement'!Q14+'Income Statement'!Q13</f>
        <v>21734.16</v>
      </c>
      <c r="R34" s="66">
        <f>'Income Statement'!R20+'Income Statement'!R14+'Income Statement'!R13</f>
        <v>19628.34</v>
      </c>
      <c r="S34" s="66">
        <f>'Income Statement'!S20+'Income Statement'!S14+'Income Statement'!S13</f>
        <v>22512.239999999998</v>
      </c>
      <c r="T34" s="66">
        <f>'Income Statement'!T20+'Income Statement'!T14+'Income Statement'!T13</f>
        <v>27767.330000000013</v>
      </c>
      <c r="U34" s="66">
        <f>'Income Statement'!U20+'Income Statement'!U14+'Income Statement'!U13</f>
        <v>27957.439999999991</v>
      </c>
      <c r="V34" s="66">
        <f>'Income Statement'!V20+'Income Statement'!V14+'Income Statement'!V13</f>
        <v>28618.320000000003</v>
      </c>
      <c r="X34" s="63" t="s">
        <v>527</v>
      </c>
      <c r="Y34" s="66">
        <f>'Income Statement'!Y16+'Income Statement'!Y13+'Income Statement'!Y12</f>
        <v>2620</v>
      </c>
      <c r="Z34" s="66">
        <f>'Income Statement'!Z16+'Income Statement'!Z13+'Income Statement'!Z12</f>
        <v>1910</v>
      </c>
      <c r="AA34" s="66">
        <f>'Income Statement'!AA16+'Income Statement'!AA13+'Income Statement'!AA12</f>
        <v>3575</v>
      </c>
      <c r="AB34" s="66">
        <f>'Income Statement'!AB16+'Income Statement'!AB13+'Income Statement'!AB12</f>
        <v>5187</v>
      </c>
      <c r="AC34" s="66">
        <f>'Income Statement'!AC16+'Income Statement'!AC13+'Income Statement'!AC12</f>
        <v>5825</v>
      </c>
      <c r="AD34" s="66">
        <f>'Income Statement'!AD16+'Income Statement'!AD13+'Income Statement'!AD12</f>
        <v>6180</v>
      </c>
      <c r="AF34" s="63" t="s">
        <v>527</v>
      </c>
      <c r="AG34" s="66">
        <f>'Income Statement'!AG15+'Income Statement'!AG12+'Income Statement'!AG11</f>
        <v>688.45999999999958</v>
      </c>
      <c r="AH34" s="66">
        <f>'Income Statement'!AH15+'Income Statement'!AH12+'Income Statement'!AH11</f>
        <v>373.49999999999977</v>
      </c>
      <c r="AI34" s="66">
        <f>'Income Statement'!AI15+'Income Statement'!AI12+'Income Statement'!AI11</f>
        <v>749.08000000000038</v>
      </c>
      <c r="AJ34" s="66">
        <f>'Income Statement'!AJ15+'Income Statement'!AJ12+'Income Statement'!AJ11</f>
        <v>1334.5700000000018</v>
      </c>
      <c r="AK34" s="66">
        <f>'Income Statement'!AK15+'Income Statement'!AK12+'Income Statement'!AK11</f>
        <v>2211.3999999999987</v>
      </c>
      <c r="AL34" s="66">
        <f>'Income Statement'!AL15+'Income Statement'!AL12+'Income Statement'!AL11</f>
        <v>2977.0100000000016</v>
      </c>
      <c r="AN34" s="63" t="s">
        <v>527</v>
      </c>
      <c r="AO34" s="66">
        <f>'Income Statement'!AO17+'Income Statement'!AO14+'Income Statement'!AO13</f>
        <v>1238.8370000000009</v>
      </c>
      <c r="AP34" s="66">
        <f>'Income Statement'!AP17+'Income Statement'!AP14+'Income Statement'!AP13</f>
        <v>1722.5699999999983</v>
      </c>
      <c r="AQ34" s="66">
        <f>'Income Statement'!AQ17+'Income Statement'!AQ14+'Income Statement'!AQ13</f>
        <v>2826.9540000000015</v>
      </c>
      <c r="AR34" s="66">
        <f>'Income Statement'!AR17+'Income Statement'!AR14+'Income Statement'!AR13</f>
        <v>3688.8440000000001</v>
      </c>
      <c r="AS34" s="66">
        <f>'Income Statement'!AS17+'Income Statement'!AS14+'Income Statement'!AS13</f>
        <v>4832.3389999999999</v>
      </c>
    </row>
    <row r="35" spans="1:45" x14ac:dyDescent="0.3">
      <c r="I35" s="63" t="s">
        <v>528</v>
      </c>
      <c r="J35" s="127">
        <f>'Income Statement'!J16+'Income Statement'!J12</f>
        <v>9491</v>
      </c>
      <c r="K35" s="127">
        <f>'Income Statement'!K16+'Income Statement'!K12</f>
        <v>10962</v>
      </c>
      <c r="L35" s="127">
        <f>'Income Statement'!L16+'Income Statement'!L12</f>
        <v>12024</v>
      </c>
      <c r="M35" s="127">
        <f>'Income Statement'!M16+'Income Statement'!M12</f>
        <v>13523</v>
      </c>
      <c r="N35" s="127">
        <f>'Income Statement'!N16+'Income Statement'!N12</f>
        <v>14258</v>
      </c>
      <c r="P35" s="63" t="s">
        <v>528</v>
      </c>
      <c r="Q35" s="66">
        <f>'Income Statement'!Q18+'Income Statement'!Q13</f>
        <v>20221.36</v>
      </c>
      <c r="R35" s="66">
        <f>'Income Statement'!R18+'Income Statement'!R13</f>
        <v>17982.75</v>
      </c>
      <c r="S35" s="66">
        <f>'Income Statement'!S18+'Income Statement'!S13</f>
        <v>20779.829999999998</v>
      </c>
      <c r="T35" s="66">
        <f>'Income Statement'!T18+'Income Statement'!T13</f>
        <v>25885.450000000015</v>
      </c>
      <c r="U35" s="66">
        <f>'Income Statement'!U18+'Income Statement'!U13</f>
        <v>26439.389999999992</v>
      </c>
      <c r="V35" s="66">
        <f>'Income Statement'!V18+'Income Statement'!V13</f>
        <v>26972.000000000004</v>
      </c>
      <c r="X35" s="63" t="s">
        <v>528</v>
      </c>
      <c r="Y35" s="66">
        <f>'Income Statement'!Y16+'Income Statement'!Y12</f>
        <v>2272</v>
      </c>
      <c r="Z35" s="66">
        <f>'Income Statement'!Z16+'Income Statement'!Z12</f>
        <v>1535</v>
      </c>
      <c r="AA35" s="66">
        <f>'Income Statement'!AA16+'Income Statement'!AA12</f>
        <v>3176</v>
      </c>
      <c r="AB35" s="66">
        <f>'Income Statement'!AB16+'Income Statement'!AB12</f>
        <v>4746</v>
      </c>
      <c r="AC35" s="66">
        <f>'Income Statement'!AC16+'Income Statement'!AC12</f>
        <v>5241</v>
      </c>
      <c r="AD35" s="66">
        <f>'Income Statement'!AD16+'Income Statement'!AD12</f>
        <v>5487</v>
      </c>
      <c r="AF35" s="63" t="s">
        <v>528</v>
      </c>
      <c r="AG35" s="66">
        <f>'Income Statement'!AG15+'Income Statement'!AG11</f>
        <v>441.21999999999963</v>
      </c>
      <c r="AH35" s="66">
        <f>'Income Statement'!AH15+'Income Statement'!AH11</f>
        <v>116.19999999999973</v>
      </c>
      <c r="AI35" s="66">
        <f>'Income Statement'!AI15+'Income Statement'!AI11</f>
        <v>438.26000000000045</v>
      </c>
      <c r="AJ35" s="66">
        <f>'Income Statement'!AJ15+'Income Statement'!AJ11</f>
        <v>840.8800000000017</v>
      </c>
      <c r="AK35" s="66">
        <f>'Income Statement'!AK15+'Income Statement'!AK11</f>
        <v>1540.2899999999986</v>
      </c>
      <c r="AL35" s="66">
        <f>'Income Statement'!AL15+'Income Statement'!AL11</f>
        <v>2081.8300000000017</v>
      </c>
      <c r="AN35" s="63" t="s">
        <v>528</v>
      </c>
      <c r="AO35" s="66">
        <f>'Income Statement'!AO17+'Income Statement'!AO13</f>
        <v>710.1350000000009</v>
      </c>
      <c r="AP35" s="66">
        <f>'Income Statement'!AP17+'Income Statement'!AP13</f>
        <v>1191.3079999999984</v>
      </c>
      <c r="AQ35" s="66">
        <f>'Income Statement'!AQ17+'Income Statement'!AQ13</f>
        <v>2209.7650000000017</v>
      </c>
      <c r="AR35" s="66">
        <f>'Income Statement'!AR17+'Income Statement'!AR13</f>
        <v>3007.9380000000001</v>
      </c>
      <c r="AS35" s="66">
        <f>'Income Statement'!AS17+'Income Statement'!AS13</f>
        <v>3884.9529999999991</v>
      </c>
    </row>
    <row r="36" spans="1:45" x14ac:dyDescent="0.3">
      <c r="I36" s="63" t="s">
        <v>529</v>
      </c>
      <c r="J36" s="127">
        <f>'Balance Sheet'!J47+'Balance Sheet'!J48</f>
        <v>7206</v>
      </c>
      <c r="K36" s="127">
        <f>'Balance Sheet'!K47+'Balance Sheet'!K48</f>
        <v>7535</v>
      </c>
      <c r="L36" s="127">
        <f>'Balance Sheet'!L47+'Balance Sheet'!L48</f>
        <v>8802</v>
      </c>
      <c r="M36" s="127">
        <f>'Balance Sheet'!M47+'Balance Sheet'!M48</f>
        <v>9068</v>
      </c>
      <c r="N36" s="127">
        <f>'Balance Sheet'!N47+'Balance Sheet'!N48</f>
        <v>10486</v>
      </c>
      <c r="P36" s="63" t="s">
        <v>529</v>
      </c>
      <c r="Q36" s="66">
        <f>'Balance Sheet'!Q53+'Balance Sheet'!Q54</f>
        <v>3629.83</v>
      </c>
      <c r="R36" s="66">
        <f>'Balance Sheet'!R53+'Balance Sheet'!R54</f>
        <v>4318.7299999999996</v>
      </c>
      <c r="S36" s="66">
        <f>'Balance Sheet'!S53+'Balance Sheet'!S54</f>
        <v>4417.26</v>
      </c>
      <c r="T36" s="66">
        <f>'Balance Sheet'!T53+'Balance Sheet'!T54</f>
        <v>4658.99</v>
      </c>
      <c r="U36" s="66">
        <f>'Balance Sheet'!U53+'Balance Sheet'!U54</f>
        <v>4797.83</v>
      </c>
      <c r="V36" s="66">
        <f>'Balance Sheet'!V53+'Balance Sheet'!V54</f>
        <v>4807.3</v>
      </c>
      <c r="X36" s="63" t="s">
        <v>529</v>
      </c>
      <c r="Y36" s="66">
        <f>'Balance Sheet'!Y53+'Balance Sheet'!Y52</f>
        <v>596</v>
      </c>
      <c r="Z36" s="66">
        <f>'Balance Sheet'!Z53+'Balance Sheet'!Z52</f>
        <v>789</v>
      </c>
      <c r="AA36" s="66">
        <f>'Balance Sheet'!AA53+'Balance Sheet'!AA52</f>
        <v>1294</v>
      </c>
      <c r="AB36" s="66">
        <f>'Balance Sheet'!AB53+'Balance Sheet'!AB52</f>
        <v>1214</v>
      </c>
      <c r="AC36" s="66">
        <f>'Balance Sheet'!AC53+'Balance Sheet'!AC52</f>
        <v>1410</v>
      </c>
      <c r="AD36" s="66">
        <f>'Balance Sheet'!AD53+'Balance Sheet'!AD52</f>
        <v>1963</v>
      </c>
      <c r="AF36" s="63" t="s">
        <v>529</v>
      </c>
      <c r="AG36" s="66">
        <f>'Balance Sheet'!AG52+'Balance Sheet'!AG53</f>
        <v>297.64999999999998</v>
      </c>
      <c r="AH36" s="66">
        <f>'Balance Sheet'!AH52+'Balance Sheet'!AH53</f>
        <v>274.57</v>
      </c>
      <c r="AI36" s="66">
        <f>'Balance Sheet'!AI52+'Balance Sheet'!AI53</f>
        <v>378.03</v>
      </c>
      <c r="AJ36" s="66">
        <f>'Balance Sheet'!AJ52+'Balance Sheet'!AJ53</f>
        <v>665.22</v>
      </c>
      <c r="AK36" s="66">
        <f>'Balance Sheet'!AK52+'Balance Sheet'!AK53</f>
        <v>773.91000000000008</v>
      </c>
      <c r="AL36" s="66">
        <f>'Balance Sheet'!AL52+'Balance Sheet'!AL53</f>
        <v>928.19</v>
      </c>
      <c r="AN36" s="63" t="s">
        <v>529</v>
      </c>
      <c r="AO36" s="66">
        <f>'Balance Sheet'!AO47+'Balance Sheet'!AO48</f>
        <v>511.38499999999999</v>
      </c>
      <c r="AP36" s="66">
        <f>'Balance Sheet'!AP47+'Balance Sheet'!AP48</f>
        <v>711.75299999999993</v>
      </c>
      <c r="AQ36" s="66">
        <f>'Balance Sheet'!AQ47+'Balance Sheet'!AQ48</f>
        <v>824.26099999999997</v>
      </c>
      <c r="AR36" s="66">
        <f>'Balance Sheet'!AR47+'Balance Sheet'!AR48</f>
        <v>758.24800000000005</v>
      </c>
      <c r="AS36" s="66">
        <f>'Balance Sheet'!AS47+'Balance Sheet'!AS48</f>
        <v>1560.4270000000001</v>
      </c>
    </row>
    <row r="37" spans="1:45" x14ac:dyDescent="0.3">
      <c r="I37" s="1" t="s">
        <v>646</v>
      </c>
      <c r="J37" s="115">
        <f ca="1">'Income Statement'!J27/'Company Profile'!$G$9</f>
        <v>28.75394057944553</v>
      </c>
      <c r="K37" s="115">
        <f ca="1">'Income Statement'!K27/'Company Profile'!$G$9</f>
        <v>34.04422301583552</v>
      </c>
      <c r="L37" s="115">
        <f ca="1">'Income Statement'!L27/'Company Profile'!$G$9</f>
        <v>37.844884492662764</v>
      </c>
      <c r="M37" s="115">
        <f ca="1">'Income Statement'!M27/'Company Profile'!$G$9</f>
        <v>43.16921540812848</v>
      </c>
      <c r="N37" s="115">
        <f ca="1">'Income Statement'!N27/'Company Profile'!$G$9</f>
        <v>43.760807732069111</v>
      </c>
      <c r="P37" s="1" t="s">
        <v>646</v>
      </c>
      <c r="Q37" s="115">
        <f ca="1">'Income Statement'!Q30/'Company Profile'!$C$9</f>
        <v>12.446503148188352</v>
      </c>
      <c r="R37" s="115">
        <f ca="1">'Income Statement'!R30/'Company Profile'!$C$9</f>
        <v>10.682511909475213</v>
      </c>
      <c r="S37" s="115">
        <f ca="1">'Income Statement'!S30/'Company Profile'!$C$9</f>
        <v>12.374942528001631</v>
      </c>
      <c r="T37" s="115">
        <f ca="1">'Income Statement'!T30/'Company Profile'!$C$9</f>
        <v>15.546750277781337</v>
      </c>
      <c r="U37" s="115">
        <f ca="1">'Income Statement'!U30/'Company Profile'!$C$9</f>
        <v>16.564196222173969</v>
      </c>
      <c r="V37" s="115">
        <f ca="1">'Income Statement'!V30/'Company Profile'!$C$9</f>
        <v>27.979667684133897</v>
      </c>
      <c r="X37" s="1" t="s">
        <v>646</v>
      </c>
      <c r="Y37" s="115">
        <f ca="1">'Income Statement'!Y28/'Company Profile'!$F$9</f>
        <v>16.831158453801624</v>
      </c>
      <c r="Z37" s="115">
        <f ca="1">'Income Statement'!Z28/'Company Profile'!$F$9</f>
        <v>10.980273498997176</v>
      </c>
      <c r="AA37" s="115">
        <f ca="1">'Income Statement'!AA28/'Company Profile'!$F$9</f>
        <v>24.7788923519464</v>
      </c>
      <c r="AB37" s="115">
        <f ca="1">'Income Statement'!AB28/'Company Profile'!$F$9</f>
        <v>36.909050755356013</v>
      </c>
      <c r="AC37" s="115">
        <f ca="1">'Income Statement'!AC28/'Company Profile'!$F$9</f>
        <v>39.411741429665426</v>
      </c>
      <c r="AD37" s="115">
        <f ca="1">'Income Statement'!AD28/'Company Profile'!$F$9</f>
        <v>37.619273784551922</v>
      </c>
      <c r="AF37" s="1" t="s">
        <v>646</v>
      </c>
      <c r="AG37" s="115">
        <f ca="1">'Income Statement'!AG25/'Company Profile'!$D$9</f>
        <v>2.9812581314392097</v>
      </c>
      <c r="AH37" s="115">
        <f ca="1">'Income Statement'!AH25/'Company Profile'!$D$9</f>
        <v>-5.0952565139421298</v>
      </c>
      <c r="AI37" s="115">
        <f ca="1">'Income Statement'!AI25/'Company Profile'!$D$9</f>
        <v>0.97331129786561932</v>
      </c>
      <c r="AJ37" s="115">
        <f ca="1">'Income Statement'!AJ25/'Company Profile'!$D$9</f>
        <v>11.074651007419437</v>
      </c>
      <c r="AK37" s="115">
        <f ca="1">'Income Statement'!AK25/'Company Profile'!$D$9</f>
        <v>41.559548507331449</v>
      </c>
      <c r="AL37" s="115">
        <f ca="1">'Income Statement'!AL25/'Company Profile'!$D$9</f>
        <v>43.163543021906584</v>
      </c>
      <c r="AN37" s="1" t="s">
        <v>646</v>
      </c>
      <c r="AO37" s="115">
        <f ca="1">'Income Statement'!AO27/'Company Profile'!$E$9</f>
        <v>1.0563842756437141</v>
      </c>
      <c r="AP37" s="115">
        <f ca="1">'Income Statement'!AP27/'Company Profile'!$E$9</f>
        <v>2.2059563174214887</v>
      </c>
      <c r="AQ37" s="115">
        <f ca="1">'Income Statement'!AQ27/'Company Profile'!$E$9</f>
        <v>4.5834389171579266</v>
      </c>
      <c r="AR37" s="115">
        <f ca="1">'Income Statement'!AR27/'Company Profile'!$E$9</f>
        <v>6.2147245304464329</v>
      </c>
      <c r="AS37" s="115">
        <f ca="1">'Income Statement'!AS27/'Company Profile'!$E$9</f>
        <v>7.7891560262318986</v>
      </c>
    </row>
    <row r="38" spans="1:45" s="143" customFormat="1" x14ac:dyDescent="0.3">
      <c r="I38" s="143" t="s">
        <v>647</v>
      </c>
      <c r="J38" s="143">
        <f>'Income Statement'!J27/'Balance Sheet'!J29</f>
        <v>0.36266036824306191</v>
      </c>
      <c r="K38" s="143">
        <f>'Income Statement'!K27/AVERAGE('Balance Sheet'!J29:K29)</f>
        <v>0.4125109586921768</v>
      </c>
      <c r="L38" s="143">
        <f>'Income Statement'!L27/AVERAGE('Balance Sheet'!K29:L29)</f>
        <v>0.20002249465751884</v>
      </c>
      <c r="M38" s="143">
        <f>'Income Statement'!M27/AVERAGE('Balance Sheet'!L29:M29)</f>
        <v>0.14565532690954522</v>
      </c>
      <c r="N38" s="143">
        <f>'Income Statement'!N27/AVERAGE('Balance Sheet'!M29:N29)</f>
        <v>0.13799860417673271</v>
      </c>
      <c r="P38" s="143" t="s">
        <v>647</v>
      </c>
      <c r="Q38" s="143">
        <f>'Income Statement'!Q30/'Balance Sheet'!Q33</f>
        <v>0.20154397295785365</v>
      </c>
      <c r="R38" s="143">
        <f>'Income Statement'!R30/AVERAGE('Balance Sheet'!Q33:R33)</f>
        <v>0.17703868494649697</v>
      </c>
      <c r="S38" s="143">
        <f>'Income Statement'!S30/AVERAGE('Balance Sheet'!R33:S33)</f>
        <v>0.20523230088129468</v>
      </c>
      <c r="T38" s="143">
        <f>'Income Statement'!T30/AVERAGE('Balance Sheet'!S33:T33)</f>
        <v>0.23876940473699976</v>
      </c>
      <c r="U38" s="143">
        <f>'Income Statement'!U30/AVERAGE('Balance Sheet'!T33:U33)</f>
        <v>0.23354299430440029</v>
      </c>
      <c r="V38" s="143">
        <f>'Income Statement'!V30/AVERAGE('Balance Sheet'!U33:V33)</f>
        <v>0.38965201923288562</v>
      </c>
      <c r="X38" s="143" t="s">
        <v>647</v>
      </c>
      <c r="Y38" s="143">
        <f>'Income Statement'!Y28/'Balance Sheet'!Y30</f>
        <v>0.11018450184501845</v>
      </c>
      <c r="Z38" s="143">
        <f>'Income Statement'!Z28/AVERAGE('Balance Sheet'!Y30:Z30)</f>
        <v>6.4929004733017798E-2</v>
      </c>
      <c r="AA38" s="143">
        <f>'Income Statement'!AA28/AVERAGE('Balance Sheet'!Z30:AA30)</f>
        <v>0.11677203421346226</v>
      </c>
      <c r="AB38" s="143">
        <f>'Income Statement'!AB28/AVERAGE('Balance Sheet'!AA30:AB30)</f>
        <v>0.13580272517991579</v>
      </c>
      <c r="AC38" s="143">
        <f>'Income Statement'!AC28/AVERAGE('Balance Sheet'!AB30:AC30)</f>
        <v>0.11937240708176122</v>
      </c>
      <c r="AD38" s="143">
        <f>'Income Statement'!AD28/AVERAGE('Balance Sheet'!AC30:AD30)</f>
        <v>9.2441514190340315E-2</v>
      </c>
      <c r="AF38" s="143" t="s">
        <v>647</v>
      </c>
      <c r="AG38" s="143">
        <f>'Income Statement'!AG25/'Balance Sheet'!AG32</f>
        <v>1.9245716112067452E-2</v>
      </c>
      <c r="AH38" s="143">
        <f>'Income Statement'!AH25/AVERAGE('Balance Sheet'!AG32:AH32)</f>
        <v>-3.2257059181276602E-2</v>
      </c>
      <c r="AI38" s="143">
        <f>'Income Statement'!AI25/AVERAGE('Balance Sheet'!AH32:AI32)</f>
        <v>5.1450770460418115E-3</v>
      </c>
      <c r="AJ38" s="143">
        <f>'Income Statement'!AJ25/AVERAGE('Balance Sheet'!AI32:AJ32)</f>
        <v>4.9810375421871403E-2</v>
      </c>
      <c r="AK38" s="143">
        <f>'Income Statement'!AK25/AVERAGE('Balance Sheet'!AJ32:AK32)</f>
        <v>0.19384148293543105</v>
      </c>
      <c r="AL38" s="143">
        <f>'Income Statement'!AL25/AVERAGE('Balance Sheet'!AK32:AL32)</f>
        <v>0.18507616068375471</v>
      </c>
      <c r="AN38" s="143" t="s">
        <v>647</v>
      </c>
      <c r="AO38" s="143">
        <f>'Income Statement'!AO27/'Balance Sheet'!AO28</f>
        <v>4.2238333260624504E-2</v>
      </c>
      <c r="AP38" s="143">
        <f>'Income Statement'!AP27/AVERAGE('Balance Sheet'!AO28:AP28)</f>
        <v>8.2709613097318238E-2</v>
      </c>
      <c r="AQ38" s="143">
        <f>'Income Statement'!AQ27/AVERAGE('Balance Sheet'!AP28:AQ28)</f>
        <v>0.14623625238577531</v>
      </c>
      <c r="AR38" s="143">
        <f>'Income Statement'!AR27/AVERAGE('Balance Sheet'!AQ28:AR28)</f>
        <v>0.15681996622624092</v>
      </c>
      <c r="AS38" s="143">
        <f>'Income Statement'!AS27/AVERAGE('Balance Sheet'!AR28:AS28)</f>
        <v>0.13744893734180752</v>
      </c>
    </row>
    <row r="39" spans="1:45" x14ac:dyDescent="0.3">
      <c r="A39" s="1" t="s">
        <v>666</v>
      </c>
      <c r="B39" s="20">
        <f>(Dmart[[#This Row],[2020]]+'Balance Sheet'!B40+'Balance Sheet'!B47+'Balance Sheet'!B48)/('Balance Sheet'!B28-'Balance Sheet'!B55)</f>
        <v>2.6358842885649721E-2</v>
      </c>
      <c r="C39" s="20">
        <f>(Dmart[[#This Row],[2021]]+'Balance Sheet'!C40+'Balance Sheet'!C47+'Balance Sheet'!C48)/('Balance Sheet'!C28-'Balance Sheet'!C55)</f>
        <v>3.1291134802632625E-2</v>
      </c>
      <c r="D39" s="20">
        <f>(Dmart[[#This Row],[2022]]+'Balance Sheet'!D40+'Balance Sheet'!D47+'Balance Sheet'!D48)/('Balance Sheet'!D28-'Balance Sheet'!D55)</f>
        <v>4.538544374173497E-2</v>
      </c>
      <c r="E39" s="20">
        <f>(Dmart[[#This Row],[2023]]+'Balance Sheet'!E40+'Balance Sheet'!E47+'Balance Sheet'!E48)/('Balance Sheet'!E28-'Balance Sheet'!E55)</f>
        <v>3.8641600328854442E-2</v>
      </c>
      <c r="F39" s="20">
        <f>(Dmart[[#This Row],[2024]]+'Balance Sheet'!F40+'Balance Sheet'!F47+'Balance Sheet'!F48)/('Balance Sheet'!F28-'Balance Sheet'!F55)</f>
        <v>3.084478327497674E-2</v>
      </c>
      <c r="J39" s="20">
        <f>('Balance Sheet'!J38+'Balance Sheet'!J45+'Balance Sheet'!J46)/('Balance Sheet'!J29-'Balance Sheet'!J52)</f>
        <v>9.9377635013049581E-3</v>
      </c>
      <c r="K39" s="20">
        <f>('Balance Sheet'!K38+'Balance Sheet'!K45+'Balance Sheet'!K46)/('Balance Sheet'!K29-'Balance Sheet'!K52)</f>
        <v>0</v>
      </c>
      <c r="L39" s="20">
        <f>('Balance Sheet'!L38+'Balance Sheet'!L45+'Balance Sheet'!L46)/('Balance Sheet'!L29-'Balance Sheet'!L52)</f>
        <v>1.7500953966767267E-2</v>
      </c>
      <c r="M39" s="20">
        <f>('Balance Sheet'!M38+'Balance Sheet'!M45+'Balance Sheet'!M46)/('Balance Sheet'!M29-'Balance Sheet'!M52)</f>
        <v>1.7607238719043839E-2</v>
      </c>
      <c r="N39" s="20">
        <f>('Balance Sheet'!N38+'Balance Sheet'!N45+'Balance Sheet'!N46)/('Balance Sheet'!N29-'Balance Sheet'!N52)</f>
        <v>2.2614022522591166E-2</v>
      </c>
      <c r="Q39" s="20">
        <f>('Balance Sheet'!Q43+'Balance Sheet'!Q44+'Balance Sheet'!Q52+'Balance Sheet'!Q55)/('Balance Sheet'!Q33-'Balance Sheet'!Q60)</f>
        <v>4.0584383263819728E-3</v>
      </c>
      <c r="R39" s="20">
        <f>('Balance Sheet'!R43+'Balance Sheet'!R44+'Balance Sheet'!R52+'Balance Sheet'!R55)/('Balance Sheet'!R33-'Balance Sheet'!R60)</f>
        <v>4.2845181073480247E-3</v>
      </c>
      <c r="S39" s="20">
        <f>('Balance Sheet'!S43+'Balance Sheet'!S44+'Balance Sheet'!S52+'Balance Sheet'!S55)/('Balance Sheet'!S33-'Balance Sheet'!S60)</f>
        <v>3.8318884893412532E-3</v>
      </c>
      <c r="T39" s="20">
        <f>('Balance Sheet'!T43+'Balance Sheet'!T44+'Balance Sheet'!T52+'Balance Sheet'!T55)/('Balance Sheet'!T33-'Balance Sheet'!T60)</f>
        <v>4.2420978729214194E-3</v>
      </c>
      <c r="U39" s="20">
        <f>('Balance Sheet'!U43+'Balance Sheet'!U44+'Balance Sheet'!U52+'Balance Sheet'!U55)/('Balance Sheet'!U33-'Balance Sheet'!U60)</f>
        <v>3.8833691513335249E-3</v>
      </c>
      <c r="V39" s="20">
        <f>('Balance Sheet'!V43+'Balance Sheet'!V44+'Balance Sheet'!V52+'Balance Sheet'!V55)/('Balance Sheet'!V33-'Balance Sheet'!V60)</f>
        <v>3.8578258180932226E-3</v>
      </c>
      <c r="Y39" s="20">
        <f>('Balance Sheet'!Y40+'Balance Sheet'!Y49+'Balance Sheet'!Y50+'Balance Sheet'!Y41+'Balance Sheet'!Y51)/('Balance Sheet'!Y30-'Balance Sheet'!Y58)</f>
        <v>0.44824539257763191</v>
      </c>
      <c r="Z39" s="20">
        <f>('Balance Sheet'!Z40+'Balance Sheet'!Z49+'Balance Sheet'!Z50+'Balance Sheet'!Z41+'Balance Sheet'!Z51)/('Balance Sheet'!Z30-'Balance Sheet'!Z58)</f>
        <v>0.64442664225223167</v>
      </c>
      <c r="AA39" s="20">
        <f>('Balance Sheet'!AA40+'Balance Sheet'!AA49+'Balance Sheet'!AA50+'Balance Sheet'!AA41+'Balance Sheet'!AA51)/('Balance Sheet'!AA30-'Balance Sheet'!AA58)</f>
        <v>0.681052237408725</v>
      </c>
      <c r="AB39" s="20">
        <f>('Balance Sheet'!AB40+'Balance Sheet'!AB49+'Balance Sheet'!AB50+'Balance Sheet'!AB41+'Balance Sheet'!AB51)/('Balance Sheet'!AB30-'Balance Sheet'!AB58)</f>
        <v>0.68079075514208887</v>
      </c>
      <c r="AC39" s="20">
        <f>('Balance Sheet'!AC40+'Balance Sheet'!AC49+'Balance Sheet'!AC50+'Balance Sheet'!AC41+'Balance Sheet'!AC51)/('Balance Sheet'!AC30-'Balance Sheet'!AC58)</f>
        <v>1.0337527461553824</v>
      </c>
      <c r="AD39" s="20">
        <f>('Balance Sheet'!AD40+'Balance Sheet'!AD49+'Balance Sheet'!AD50+'Balance Sheet'!AD41+'Balance Sheet'!AD51)/('Balance Sheet'!AD30-'Balance Sheet'!AD58)</f>
        <v>1.3987478120371617</v>
      </c>
      <c r="AG39" s="20">
        <f>('Balance Sheet'!AG42+'Balance Sheet'!AG51+'Balance Sheet'!AG43)/('Balance Sheet'!AG32-'Balance Sheet'!AG58)</f>
        <v>0.50343367049115317</v>
      </c>
      <c r="AH39" s="20">
        <f>('Balance Sheet'!AH42+'Balance Sheet'!AH51+'Balance Sheet'!AH43)/('Balance Sheet'!AH32-'Balance Sheet'!AH58)</f>
        <v>0.52131512844182448</v>
      </c>
      <c r="AI39" s="20">
        <f>('Balance Sheet'!AI42+'Balance Sheet'!AI51+'Balance Sheet'!AI43)/('Balance Sheet'!AI32-'Balance Sheet'!AI58)</f>
        <v>0.66812488246846602</v>
      </c>
      <c r="AJ39" s="20">
        <f>('Balance Sheet'!AJ42+'Balance Sheet'!AJ51+'Balance Sheet'!AJ43)/('Balance Sheet'!AJ32-'Balance Sheet'!AJ58)</f>
        <v>0.63887056264355879</v>
      </c>
      <c r="AK39" s="20">
        <f>('Balance Sheet'!AK42+'Balance Sheet'!AK51+'Balance Sheet'!AK43)/('Balance Sheet'!AK32-'Balance Sheet'!AK58)</f>
        <v>0.31190438910516916</v>
      </c>
      <c r="AL39" s="20">
        <f>('Balance Sheet'!AL42+'Balance Sheet'!AL51+'Balance Sheet'!AL43)/('Balance Sheet'!AL32-'Balance Sheet'!AL58)</f>
        <v>0.30195776729496082</v>
      </c>
      <c r="AO39" s="20">
        <f>('Balance Sheet'!AO38+'Balance Sheet'!AO45)/('Balance Sheet'!AO28-'Balance Sheet'!AO53)</f>
        <v>0.44716692291588533</v>
      </c>
      <c r="AP39" s="20">
        <f>('Balance Sheet'!AP38+'Balance Sheet'!AP45)/('Balance Sheet'!AP28-'Balance Sheet'!AP53)</f>
        <v>0.50825398775954544</v>
      </c>
      <c r="AQ39" s="20">
        <f>('Balance Sheet'!AQ38+'Balance Sheet'!AQ45)/('Balance Sheet'!AQ28-'Balance Sheet'!AQ53)</f>
        <v>0.48153006894506062</v>
      </c>
      <c r="AR39" s="20">
        <f>('Balance Sheet'!AR38+'Balance Sheet'!AR45)/('Balance Sheet'!AR28-'Balance Sheet'!AR53)</f>
        <v>0.47076315498744742</v>
      </c>
      <c r="AS39" s="20">
        <f>('Balance Sheet'!AS38+'Balance Sheet'!AS45)/('Balance Sheet'!AS28-'Balance Sheet'!AS53)</f>
        <v>0.12697800180832067</v>
      </c>
    </row>
  </sheetData>
  <conditionalFormatting sqref="B4:G4">
    <cfRule type="colorScale" priority="121">
      <colorScale>
        <cfvo type="num" val="0.2"/>
        <cfvo type="percentile" val="50"/>
        <cfvo type="num" val="0.35"/>
        <color rgb="FFF8696B"/>
        <color rgb="FFFFEB84"/>
        <color rgb="FF63BE7B"/>
      </colorScale>
    </cfRule>
  </conditionalFormatting>
  <conditionalFormatting sqref="B5:G5">
    <cfRule type="colorScale" priority="120">
      <colorScale>
        <cfvo type="num" val="0.08"/>
        <cfvo type="percentile" val="50"/>
        <cfvo type="num" val="0.15"/>
        <color rgb="FFF8696B"/>
        <color rgb="FFFFEB84"/>
        <color rgb="FF63BE7B"/>
      </colorScale>
    </cfRule>
  </conditionalFormatting>
  <conditionalFormatting sqref="B6:G6">
    <cfRule type="colorScale" priority="119">
      <colorScale>
        <cfvo type="num" val="0.05"/>
        <cfvo type="percentile" val="50"/>
        <cfvo type="num" val="0.1"/>
        <color rgb="FFF8696B"/>
        <color rgb="FFFFEB84"/>
        <color rgb="FF63BE7B"/>
      </colorScale>
    </cfRule>
  </conditionalFormatting>
  <conditionalFormatting sqref="B7:G7">
    <cfRule type="colorScale" priority="118">
      <colorScale>
        <cfvo type="min"/>
        <cfvo type="percentile" val="50"/>
        <cfvo type="num" val="0.15"/>
        <color rgb="FFF8696B"/>
        <color rgb="FFFFEB84"/>
        <color rgb="FF63BE7B"/>
      </colorScale>
    </cfRule>
  </conditionalFormatting>
  <conditionalFormatting sqref="B8:G8">
    <cfRule type="colorScale" priority="117">
      <colorScale>
        <cfvo type="min"/>
        <cfvo type="percentile" val="50"/>
        <cfvo type="num" val="0.12"/>
        <color rgb="FFF8696B"/>
        <color rgb="FFFFEB84"/>
        <color rgb="FF63BE7B"/>
      </colorScale>
    </cfRule>
  </conditionalFormatting>
  <conditionalFormatting sqref="B10:G10">
    <cfRule type="colorScale" priority="116">
      <colorScale>
        <cfvo type="num" val="2"/>
        <cfvo type="percentile" val="50"/>
        <cfvo type="num" val="3.5"/>
        <color rgb="FFF8696B"/>
        <color rgb="FFFFEB84"/>
        <color rgb="FF63BE7B"/>
      </colorScale>
    </cfRule>
  </conditionalFormatting>
  <conditionalFormatting sqref="B11:G11">
    <cfRule type="colorScale" priority="115">
      <colorScale>
        <cfvo type="num" val="4"/>
        <cfvo type="percentile" val="50"/>
        <cfvo type="num" val="8"/>
        <color rgb="FFF8696B"/>
        <color rgb="FFFFEB84"/>
        <color rgb="FF63BE7B"/>
      </colorScale>
    </cfRule>
  </conditionalFormatting>
  <conditionalFormatting sqref="B12:G12">
    <cfRule type="colorScale" priority="114">
      <colorScale>
        <cfvo type="num" val="45"/>
        <cfvo type="percentile" val="50"/>
        <cfvo type="num" val="90"/>
        <color rgb="FFF8696B"/>
        <color rgb="FFFFEB84"/>
        <color rgb="FF63BE7B"/>
      </colorScale>
    </cfRule>
  </conditionalFormatting>
  <conditionalFormatting sqref="B13:G13">
    <cfRule type="colorScale" priority="113">
      <colorScale>
        <cfvo type="num" val="2"/>
        <cfvo type="percentile" val="50"/>
        <cfvo type="num" val="15"/>
        <color rgb="FFF8696B"/>
        <color rgb="FFFFEB84"/>
        <color rgb="FF63BE7B"/>
      </colorScale>
    </cfRule>
  </conditionalFormatting>
  <conditionalFormatting sqref="B14:G14">
    <cfRule type="colorScale" priority="112">
      <colorScale>
        <cfvo type="num" val="30"/>
        <cfvo type="percentile" val="50"/>
        <cfvo type="num" val="60"/>
        <color rgb="FFF8696B"/>
        <color rgb="FFFFEB84"/>
        <color rgb="FF63BE7B"/>
      </colorScale>
    </cfRule>
  </conditionalFormatting>
  <conditionalFormatting sqref="B15:G15">
    <cfRule type="colorScale" priority="61">
      <colorScale>
        <cfvo type="min"/>
        <cfvo type="percentile" val="50"/>
        <cfvo type="num" val="20"/>
        <color rgb="FF63BE7B"/>
        <color rgb="FFFFEB84"/>
        <color rgb="FFF8696B"/>
      </colorScale>
    </cfRule>
  </conditionalFormatting>
  <conditionalFormatting sqref="B17:G17">
    <cfRule type="colorScale" priority="110">
      <colorScale>
        <cfvo type="num" val="1.5"/>
        <cfvo type="percentile" val="50"/>
        <cfvo type="num" val="2.5"/>
        <color rgb="FFF8696B"/>
        <color rgb="FFFFEB84"/>
        <color rgb="FF63BE7B"/>
      </colorScale>
    </cfRule>
  </conditionalFormatting>
  <conditionalFormatting sqref="B18:G18">
    <cfRule type="colorScale" priority="109">
      <colorScale>
        <cfvo type="min"/>
        <cfvo type="percentile" val="50"/>
        <cfvo type="num" val="1"/>
        <color rgb="FFF8696B"/>
        <color rgb="FFFFEB84"/>
        <color rgb="FF63BE7B"/>
      </colorScale>
    </cfRule>
  </conditionalFormatting>
  <conditionalFormatting sqref="B20:G20">
    <cfRule type="colorScale" priority="108">
      <colorScale>
        <cfvo type="min"/>
        <cfvo type="percentile" val="50"/>
        <cfvo type="num" val="1.5"/>
        <color rgb="FF63BE7B"/>
        <color rgb="FFFFEB84"/>
        <color rgb="FFF8696B"/>
      </colorScale>
    </cfRule>
  </conditionalFormatting>
  <conditionalFormatting sqref="B21:G21">
    <cfRule type="colorScale" priority="107">
      <colorScale>
        <cfvo type="min"/>
        <cfvo type="percentile" val="50"/>
        <cfvo type="num" val="5"/>
        <color rgb="FFF8696B"/>
        <color rgb="FFFFEB84"/>
        <color rgb="FF63BE7B"/>
      </colorScale>
    </cfRule>
  </conditionalFormatting>
  <conditionalFormatting sqref="B23:G23">
    <cfRule type="colorScale" priority="106">
      <colorScale>
        <cfvo type="num" val="10"/>
        <cfvo type="percentile" val="50"/>
        <cfvo type="num" val="20"/>
        <color rgb="FFF8696B"/>
        <color rgb="FFFFEB84"/>
        <color rgb="FF63BE7B"/>
      </colorScale>
    </cfRule>
  </conditionalFormatting>
  <conditionalFormatting sqref="B24:G24">
    <cfRule type="colorScale" priority="105">
      <colorScale>
        <cfvo type="num" val="25"/>
        <cfvo type="percentile" val="50"/>
        <cfvo type="num" val="40"/>
        <color rgb="FFF8696B"/>
        <color rgb="FFFFEB84"/>
        <color rgb="FF63BE7B"/>
      </colorScale>
    </cfRule>
  </conditionalFormatting>
  <conditionalFormatting sqref="B25:G25">
    <cfRule type="colorScale" priority="104">
      <colorScale>
        <cfvo type="min"/>
        <cfvo type="percentile" val="50"/>
        <cfvo type="num" val="1"/>
        <color rgb="FF63BE7B"/>
        <color rgb="FFFFEB84"/>
        <color rgb="FFF8696B"/>
      </colorScale>
    </cfRule>
  </conditionalFormatting>
  <conditionalFormatting sqref="B26:G26">
    <cfRule type="colorScale" priority="102">
      <colorScale>
        <cfvo type="num" val="3"/>
        <cfvo type="percentile" val="50"/>
        <cfvo type="num" val="8"/>
        <color rgb="FFF8696B"/>
        <color rgb="FFFFEB84"/>
        <color rgb="FF63BE7B"/>
      </colorScale>
    </cfRule>
  </conditionalFormatting>
  <conditionalFormatting sqref="B27:G27">
    <cfRule type="colorScale" priority="103">
      <colorScale>
        <cfvo type="num" val="3"/>
        <cfvo type="percentile" val="50"/>
        <cfvo type="num" val="6"/>
        <color rgb="FFF8696B"/>
        <color rgb="FFFFEB84"/>
        <color rgb="FF63BE7B"/>
      </colorScale>
    </cfRule>
  </conditionalFormatting>
  <conditionalFormatting sqref="J4:N4">
    <cfRule type="colorScale" priority="101">
      <colorScale>
        <cfvo type="num" val="0.45"/>
        <cfvo type="percentile" val="50"/>
        <cfvo type="num" val="0.55000000000000004"/>
        <color rgb="FFF8696B"/>
        <color rgb="FFFFEB84"/>
        <color rgb="FF63BE7B"/>
      </colorScale>
    </cfRule>
  </conditionalFormatting>
  <conditionalFormatting sqref="J5:N5">
    <cfRule type="colorScale" priority="100">
      <colorScale>
        <cfvo type="num" val="0.2"/>
        <cfvo type="percentile" val="50"/>
        <cfvo type="num" val="0.25"/>
        <color rgb="FFF8696B"/>
        <color rgb="FFFFEB84"/>
        <color rgb="FF63BE7B"/>
      </colorScale>
    </cfRule>
  </conditionalFormatting>
  <conditionalFormatting sqref="J6:N6">
    <cfRule type="colorScale" priority="99">
      <colorScale>
        <cfvo type="num" val="0.15"/>
        <cfvo type="percentile" val="50"/>
        <cfvo type="num" val="0.2"/>
        <color rgb="FFF8696B"/>
        <color rgb="FFFFEB84"/>
        <color rgb="FF63BE7B"/>
      </colorScale>
    </cfRule>
  </conditionalFormatting>
  <conditionalFormatting sqref="J7:N7">
    <cfRule type="colorScale" priority="122">
      <colorScale>
        <cfvo type="min"/>
        <cfvo type="percentile" val="50"/>
        <cfvo type="num" val="0.15"/>
        <color rgb="FFF8696B"/>
        <color rgb="FFFFEB84"/>
        <color rgb="FF63BE7B"/>
      </colorScale>
    </cfRule>
  </conditionalFormatting>
  <conditionalFormatting sqref="J8:N8">
    <cfRule type="colorScale" priority="123">
      <colorScale>
        <cfvo type="min"/>
        <cfvo type="percentile" val="50"/>
        <cfvo type="num" val="0.2"/>
        <color rgb="FFF8696B"/>
        <color rgb="FFFFEB84"/>
        <color rgb="FF63BE7B"/>
      </colorScale>
    </cfRule>
  </conditionalFormatting>
  <conditionalFormatting sqref="J10:N10">
    <cfRule type="colorScale" priority="96">
      <colorScale>
        <cfvo type="num" val="1.5"/>
        <cfvo type="percentile" val="50"/>
        <cfvo type="num" val="2.5"/>
        <color rgb="FFF8696B"/>
        <color rgb="FFFFEB84"/>
        <color rgb="FF63BE7B"/>
      </colorScale>
    </cfRule>
  </conditionalFormatting>
  <conditionalFormatting sqref="J11:N11">
    <cfRule type="colorScale" priority="95">
      <colorScale>
        <cfvo type="num" val="6"/>
        <cfvo type="percentile" val="50"/>
        <cfvo type="num" val="10"/>
        <color rgb="FFF8696B"/>
        <color rgb="FFFFEB84"/>
        <color rgb="FF63BE7B"/>
      </colorScale>
    </cfRule>
  </conditionalFormatting>
  <conditionalFormatting sqref="J12:N12">
    <cfRule type="colorScale" priority="94">
      <colorScale>
        <cfvo type="num" val="40"/>
        <cfvo type="percentile" val="50"/>
        <cfvo type="num" val="60"/>
        <color rgb="FFF8696B"/>
        <color rgb="FFFFEB84"/>
        <color rgb="FF63BE7B"/>
      </colorScale>
    </cfRule>
  </conditionalFormatting>
  <conditionalFormatting sqref="J13:N13">
    <cfRule type="colorScale" priority="93">
      <colorScale>
        <cfvo type="num" val="10"/>
        <cfvo type="percentile" val="50"/>
        <cfvo type="num" val="25"/>
        <color rgb="FFF8696B"/>
        <color rgb="FFFFEB84"/>
        <color rgb="FF63BE7B"/>
      </colorScale>
    </cfRule>
  </conditionalFormatting>
  <conditionalFormatting sqref="J14:N14">
    <cfRule type="colorScale" priority="92">
      <colorScale>
        <cfvo type="num" val="60"/>
        <cfvo type="percentile" val="50"/>
        <cfvo type="num" val="120"/>
        <color rgb="FFF8696B"/>
        <color rgb="FFFFEB84"/>
        <color rgb="FF63BE7B"/>
      </colorScale>
    </cfRule>
  </conditionalFormatting>
  <conditionalFormatting sqref="J15:N15">
    <cfRule type="colorScale" priority="124">
      <colorScale>
        <cfvo type="min"/>
        <cfvo type="percentile" val="50"/>
        <cfvo type="num" val="30"/>
        <color rgb="FFF8696B"/>
        <color rgb="FFFFEB84"/>
        <color rgb="FF63BE7B"/>
      </colorScale>
    </cfRule>
  </conditionalFormatting>
  <conditionalFormatting sqref="J17:N17">
    <cfRule type="colorScale" priority="90">
      <colorScale>
        <cfvo type="num" val="1.5"/>
        <cfvo type="percentile" val="50"/>
        <cfvo type="num" val="2.5"/>
        <color rgb="FFF8696B"/>
        <color rgb="FFFFEB84"/>
        <color rgb="FF63BE7B"/>
      </colorScale>
    </cfRule>
  </conditionalFormatting>
  <conditionalFormatting sqref="J18:N18">
    <cfRule type="colorScale" priority="125">
      <colorScale>
        <cfvo type="min"/>
        <cfvo type="percentile" val="50"/>
        <cfvo type="num" val="1"/>
        <color rgb="FFF8696B"/>
        <color rgb="FFFFEB84"/>
        <color rgb="FF63BE7B"/>
      </colorScale>
    </cfRule>
  </conditionalFormatting>
  <conditionalFormatting sqref="J20:N20">
    <cfRule type="colorScale" priority="126">
      <colorScale>
        <cfvo type="min"/>
        <cfvo type="percentile" val="50"/>
        <cfvo type="num" val="0.5"/>
        <color rgb="FF63BE7B"/>
        <color rgb="FFFFEB84"/>
        <color rgb="FFF8696B"/>
      </colorScale>
    </cfRule>
  </conditionalFormatting>
  <conditionalFormatting sqref="J21:N21">
    <cfRule type="colorScale" priority="127">
      <colorScale>
        <cfvo type="min"/>
        <cfvo type="percentile" val="50"/>
        <cfvo type="num" val="5"/>
        <color rgb="FFF8696B"/>
        <color rgb="FFFFEB84"/>
        <color rgb="FF63BE7B"/>
      </colorScale>
    </cfRule>
  </conditionalFormatting>
  <conditionalFormatting sqref="J23:N23">
    <cfRule type="colorScale" priority="86">
      <colorScale>
        <cfvo type="num" val="20"/>
        <cfvo type="percentile" val="50"/>
        <cfvo type="num" val="30"/>
        <color rgb="FFF8696B"/>
        <color rgb="FFFFEB84"/>
        <color rgb="FF63BE7B"/>
      </colorScale>
    </cfRule>
  </conditionalFormatting>
  <conditionalFormatting sqref="J24:N24">
    <cfRule type="colorScale" priority="85">
      <colorScale>
        <cfvo type="num" val="30"/>
        <cfvo type="percentile" val="50"/>
        <cfvo type="num" val="50"/>
        <color rgb="FFF8696B"/>
        <color rgb="FFFFEB84"/>
        <color rgb="FF63BE7B"/>
      </colorScale>
    </cfRule>
  </conditionalFormatting>
  <conditionalFormatting sqref="J25:N25">
    <cfRule type="colorScale" priority="128">
      <colorScale>
        <cfvo type="min"/>
        <cfvo type="percentile" val="50"/>
        <cfvo type="num" val="1"/>
        <color rgb="FF63BE7B"/>
        <color rgb="FFFFEB84"/>
        <color rgb="FFF8696B"/>
      </colorScale>
    </cfRule>
  </conditionalFormatting>
  <conditionalFormatting sqref="J26:N26">
    <cfRule type="colorScale" priority="83">
      <colorScale>
        <cfvo type="num" val="8"/>
        <cfvo type="percentile" val="50"/>
        <cfvo type="num" val="15"/>
        <color rgb="FFF8696B"/>
        <color rgb="FFFFEB84"/>
        <color rgb="FF63BE7B"/>
      </colorScale>
    </cfRule>
  </conditionalFormatting>
  <conditionalFormatting sqref="J27:N27">
    <cfRule type="colorScale" priority="82">
      <colorScale>
        <cfvo type="num" val="5"/>
        <cfvo type="percentile" val="50"/>
        <cfvo type="num" val="10"/>
        <color rgb="FFF8696B"/>
        <color rgb="FFFFEB84"/>
        <color rgb="FF63BE7B"/>
      </colorScale>
    </cfRule>
  </conditionalFormatting>
  <conditionalFormatting sqref="Q4:V4">
    <cfRule type="colorScale" priority="81">
      <colorScale>
        <cfvo type="num" val="0.45"/>
        <cfvo type="percentile" val="50"/>
        <cfvo type="num" val="0.55000000000000004"/>
        <color rgb="FFF8696B"/>
        <color rgb="FFFFEB84"/>
        <color rgb="FF63BE7B"/>
      </colorScale>
    </cfRule>
  </conditionalFormatting>
  <conditionalFormatting sqref="Q5:V5">
    <cfRule type="colorScale" priority="80">
      <colorScale>
        <cfvo type="num" val="0.2"/>
        <cfvo type="percentile" val="50"/>
        <cfvo type="num" val="0.25"/>
        <color rgb="FFF8696B"/>
        <color rgb="FFFFEB84"/>
        <color rgb="FF63BE7B"/>
      </colorScale>
    </cfRule>
  </conditionalFormatting>
  <conditionalFormatting sqref="Q6:V6">
    <cfRule type="colorScale" priority="79">
      <colorScale>
        <cfvo type="num" val="0.15"/>
        <cfvo type="percentile" val="50"/>
        <cfvo type="num" val="0.2"/>
        <color rgb="FFF8696B"/>
        <color rgb="FFFFEB84"/>
        <color rgb="FF63BE7B"/>
      </colorScale>
    </cfRule>
  </conditionalFormatting>
  <conditionalFormatting sqref="Q7:V7">
    <cfRule type="colorScale" priority="78">
      <colorScale>
        <cfvo type="min"/>
        <cfvo type="percentile" val="50"/>
        <cfvo type="num" val="0.15"/>
        <color rgb="FFF8696B"/>
        <color rgb="FFFFEB84"/>
        <color rgb="FF63BE7B"/>
      </colorScale>
    </cfRule>
  </conditionalFormatting>
  <conditionalFormatting sqref="Q8:V8">
    <cfRule type="colorScale" priority="77">
      <colorScale>
        <cfvo type="min"/>
        <cfvo type="percentile" val="50"/>
        <cfvo type="num" val="0.2"/>
        <color rgb="FFF8696B"/>
        <color rgb="FFFFEB84"/>
        <color rgb="FF63BE7B"/>
      </colorScale>
    </cfRule>
  </conditionalFormatting>
  <conditionalFormatting sqref="Q10:V10">
    <cfRule type="colorScale" priority="76">
      <colorScale>
        <cfvo type="num" val="1.5"/>
        <cfvo type="percentile" val="50"/>
        <cfvo type="num" val="2.5"/>
        <color rgb="FFF8696B"/>
        <color rgb="FFFFEB84"/>
        <color rgb="FF63BE7B"/>
      </colorScale>
    </cfRule>
  </conditionalFormatting>
  <conditionalFormatting sqref="Q11:V11">
    <cfRule type="colorScale" priority="75">
      <colorScale>
        <cfvo type="num" val="6"/>
        <cfvo type="percentile" val="50"/>
        <cfvo type="num" val="10"/>
        <color rgb="FFF8696B"/>
        <color rgb="FFFFEB84"/>
        <color rgb="FF63BE7B"/>
      </colorScale>
    </cfRule>
  </conditionalFormatting>
  <conditionalFormatting sqref="Q12:V12">
    <cfRule type="colorScale" priority="74">
      <colorScale>
        <cfvo type="num" val="40"/>
        <cfvo type="percentile" val="50"/>
        <cfvo type="num" val="60"/>
        <color rgb="FFF8696B"/>
        <color rgb="FFFFEB84"/>
        <color rgb="FF63BE7B"/>
      </colorScale>
    </cfRule>
  </conditionalFormatting>
  <conditionalFormatting sqref="Q13:V13">
    <cfRule type="colorScale" priority="73">
      <colorScale>
        <cfvo type="num" val="10"/>
        <cfvo type="percentile" val="50"/>
        <cfvo type="num" val="25"/>
        <color rgb="FFF8696B"/>
        <color rgb="FFFFEB84"/>
        <color rgb="FF63BE7B"/>
      </colorScale>
    </cfRule>
  </conditionalFormatting>
  <conditionalFormatting sqref="Q14:V14">
    <cfRule type="colorScale" priority="72">
      <colorScale>
        <cfvo type="num" val="60"/>
        <cfvo type="percentile" val="50"/>
        <cfvo type="num" val="120"/>
        <color rgb="FFF8696B"/>
        <color rgb="FFFFEB84"/>
        <color rgb="FF63BE7B"/>
      </colorScale>
    </cfRule>
  </conditionalFormatting>
  <conditionalFormatting sqref="Q15:V15">
    <cfRule type="colorScale" priority="71">
      <colorScale>
        <cfvo type="min"/>
        <cfvo type="percentile" val="50"/>
        <cfvo type="num" val="30"/>
        <color rgb="FFF8696B"/>
        <color rgb="FFFFEB84"/>
        <color rgb="FF63BE7B"/>
      </colorScale>
    </cfRule>
  </conditionalFormatting>
  <conditionalFormatting sqref="Q17:V17">
    <cfRule type="colorScale" priority="70">
      <colorScale>
        <cfvo type="num" val="1.5"/>
        <cfvo type="percentile" val="50"/>
        <cfvo type="num" val="2.5"/>
        <color rgb="FFF8696B"/>
        <color rgb="FFFFEB84"/>
        <color rgb="FF63BE7B"/>
      </colorScale>
    </cfRule>
  </conditionalFormatting>
  <conditionalFormatting sqref="Q18:V18">
    <cfRule type="colorScale" priority="69">
      <colorScale>
        <cfvo type="min"/>
        <cfvo type="percentile" val="50"/>
        <cfvo type="num" val="1"/>
        <color rgb="FFF8696B"/>
        <color rgb="FFFFEB84"/>
        <color rgb="FF63BE7B"/>
      </colorScale>
    </cfRule>
  </conditionalFormatting>
  <conditionalFormatting sqref="Q20:V20">
    <cfRule type="colorScale" priority="68">
      <colorScale>
        <cfvo type="min"/>
        <cfvo type="percentile" val="50"/>
        <cfvo type="num" val="0.5"/>
        <color rgb="FF63BE7B"/>
        <color rgb="FFFFEB84"/>
        <color rgb="FFF8696B"/>
      </colorScale>
    </cfRule>
  </conditionalFormatting>
  <conditionalFormatting sqref="Q21:V21">
    <cfRule type="colorScale" priority="67">
      <colorScale>
        <cfvo type="min"/>
        <cfvo type="percentile" val="50"/>
        <cfvo type="num" val="5"/>
        <color rgb="FFF8696B"/>
        <color rgb="FFFFEB84"/>
        <color rgb="FF63BE7B"/>
      </colorScale>
    </cfRule>
  </conditionalFormatting>
  <conditionalFormatting sqref="Q23:V23">
    <cfRule type="colorScale" priority="66">
      <colorScale>
        <cfvo type="num" val="20"/>
        <cfvo type="percentile" val="50"/>
        <cfvo type="num" val="30"/>
        <color rgb="FFF8696B"/>
        <color rgb="FFFFEB84"/>
        <color rgb="FF63BE7B"/>
      </colorScale>
    </cfRule>
  </conditionalFormatting>
  <conditionalFormatting sqref="Q24:V24">
    <cfRule type="colorScale" priority="65">
      <colorScale>
        <cfvo type="num" val="30"/>
        <cfvo type="percentile" val="50"/>
        <cfvo type="num" val="50"/>
        <color rgb="FFF8696B"/>
        <color rgb="FFFFEB84"/>
        <color rgb="FF63BE7B"/>
      </colorScale>
    </cfRule>
  </conditionalFormatting>
  <conditionalFormatting sqref="Q25:V25">
    <cfRule type="colorScale" priority="64">
      <colorScale>
        <cfvo type="min"/>
        <cfvo type="percentile" val="50"/>
        <cfvo type="num" val="1"/>
        <color rgb="FF63BE7B"/>
        <color rgb="FFFFEB84"/>
        <color rgb="FFF8696B"/>
      </colorScale>
    </cfRule>
  </conditionalFormatting>
  <conditionalFormatting sqref="Q26:V26">
    <cfRule type="colorScale" priority="63">
      <colorScale>
        <cfvo type="num" val="8"/>
        <cfvo type="percentile" val="50"/>
        <cfvo type="num" val="15"/>
        <color rgb="FFF8696B"/>
        <color rgb="FFFFEB84"/>
        <color rgb="FF63BE7B"/>
      </colorScale>
    </cfRule>
  </conditionalFormatting>
  <conditionalFormatting sqref="Q27:V27">
    <cfRule type="colorScale" priority="62">
      <colorScale>
        <cfvo type="num" val="5"/>
        <cfvo type="percentile" val="50"/>
        <cfvo type="num" val="10"/>
        <color rgb="FFF8696B"/>
        <color rgb="FFFFEB84"/>
        <color rgb="FF63BE7B"/>
      </colorScale>
    </cfRule>
  </conditionalFormatting>
  <conditionalFormatting sqref="Y4:AD4">
    <cfRule type="colorScale" priority="60">
      <colorScale>
        <cfvo type="num" val="0.2"/>
        <cfvo type="percentile" val="50"/>
        <cfvo type="num" val="0.35"/>
        <color rgb="FFF8696B"/>
        <color rgb="FFFFEB84"/>
        <color rgb="FF63BE7B"/>
      </colorScale>
    </cfRule>
  </conditionalFormatting>
  <conditionalFormatting sqref="Y5:AD5">
    <cfRule type="colorScale" priority="59">
      <colorScale>
        <cfvo type="num" val="0.08"/>
        <cfvo type="percentile" val="50"/>
        <cfvo type="num" val="0.15"/>
        <color rgb="FFF8696B"/>
        <color rgb="FFFFEB84"/>
        <color rgb="FF63BE7B"/>
      </colorScale>
    </cfRule>
  </conditionalFormatting>
  <conditionalFormatting sqref="Y6:AD6">
    <cfRule type="colorScale" priority="58">
      <colorScale>
        <cfvo type="num" val="0.05"/>
        <cfvo type="percentile" val="50"/>
        <cfvo type="num" val="0.1"/>
        <color rgb="FFF8696B"/>
        <color rgb="FFFFEB84"/>
        <color rgb="FF63BE7B"/>
      </colorScale>
    </cfRule>
  </conditionalFormatting>
  <conditionalFormatting sqref="Y7:AD7">
    <cfRule type="colorScale" priority="57">
      <colorScale>
        <cfvo type="min"/>
        <cfvo type="percentile" val="50"/>
        <cfvo type="num" val="0.15"/>
        <color rgb="FFF8696B"/>
        <color rgb="FFFFEB84"/>
        <color rgb="FF63BE7B"/>
      </colorScale>
    </cfRule>
  </conditionalFormatting>
  <conditionalFormatting sqref="Y8:AD8">
    <cfRule type="colorScale" priority="56">
      <colorScale>
        <cfvo type="min"/>
        <cfvo type="percentile" val="50"/>
        <cfvo type="num" val="0.12"/>
        <color rgb="FFF8696B"/>
        <color rgb="FFFFEB84"/>
        <color rgb="FF63BE7B"/>
      </colorScale>
    </cfRule>
  </conditionalFormatting>
  <conditionalFormatting sqref="Y10:AD10">
    <cfRule type="colorScale" priority="55">
      <colorScale>
        <cfvo type="num" val="2"/>
        <cfvo type="percentile" val="50"/>
        <cfvo type="num" val="3.5"/>
        <color rgb="FFF8696B"/>
        <color rgb="FFFFEB84"/>
        <color rgb="FF63BE7B"/>
      </colorScale>
    </cfRule>
  </conditionalFormatting>
  <conditionalFormatting sqref="Y11:AD11">
    <cfRule type="colorScale" priority="54">
      <colorScale>
        <cfvo type="num" val="4"/>
        <cfvo type="percentile" val="50"/>
        <cfvo type="num" val="8"/>
        <color rgb="FFF8696B"/>
        <color rgb="FFFFEB84"/>
        <color rgb="FF63BE7B"/>
      </colorScale>
    </cfRule>
  </conditionalFormatting>
  <conditionalFormatting sqref="Y12:AD12">
    <cfRule type="colorScale" priority="53">
      <colorScale>
        <cfvo type="num" val="45"/>
        <cfvo type="percentile" val="50"/>
        <cfvo type="num" val="90"/>
        <color rgb="FFF8696B"/>
        <color rgb="FFFFEB84"/>
        <color rgb="FF63BE7B"/>
      </colorScale>
    </cfRule>
  </conditionalFormatting>
  <conditionalFormatting sqref="Y13:AD13">
    <cfRule type="colorScale" priority="52">
      <colorScale>
        <cfvo type="num" val="2"/>
        <cfvo type="percentile" val="50"/>
        <cfvo type="num" val="15"/>
        <color rgb="FFF8696B"/>
        <color rgb="FFFFEB84"/>
        <color rgb="FF63BE7B"/>
      </colorScale>
    </cfRule>
  </conditionalFormatting>
  <conditionalFormatting sqref="Y14:AD14">
    <cfRule type="colorScale" priority="51">
      <colorScale>
        <cfvo type="num" val="30"/>
        <cfvo type="percentile" val="50"/>
        <cfvo type="num" val="60"/>
        <color rgb="FFF8696B"/>
        <color rgb="FFFFEB84"/>
        <color rgb="FF63BE7B"/>
      </colorScale>
    </cfRule>
  </conditionalFormatting>
  <conditionalFormatting sqref="Y15:AD15">
    <cfRule type="colorScale" priority="41">
      <colorScale>
        <cfvo type="min"/>
        <cfvo type="percentile" val="50"/>
        <cfvo type="num" val="20"/>
        <color rgb="FF63BE7B"/>
        <color rgb="FFFFEB84"/>
        <color rgb="FFF8696B"/>
      </colorScale>
    </cfRule>
  </conditionalFormatting>
  <conditionalFormatting sqref="Y17:AD17">
    <cfRule type="colorScale" priority="50">
      <colorScale>
        <cfvo type="num" val="1.5"/>
        <cfvo type="percentile" val="50"/>
        <cfvo type="num" val="2.5"/>
        <color rgb="FFF8696B"/>
        <color rgb="FFFFEB84"/>
        <color rgb="FF63BE7B"/>
      </colorScale>
    </cfRule>
  </conditionalFormatting>
  <conditionalFormatting sqref="Y18:AD18">
    <cfRule type="colorScale" priority="49">
      <colorScale>
        <cfvo type="min"/>
        <cfvo type="percentile" val="50"/>
        <cfvo type="num" val="1"/>
        <color rgb="FFF8696B"/>
        <color rgb="FFFFEB84"/>
        <color rgb="FF63BE7B"/>
      </colorScale>
    </cfRule>
  </conditionalFormatting>
  <conditionalFormatting sqref="Y20:AD20">
    <cfRule type="colorScale" priority="48">
      <colorScale>
        <cfvo type="min"/>
        <cfvo type="percentile" val="50"/>
        <cfvo type="num" val="1.5"/>
        <color rgb="FF63BE7B"/>
        <color rgb="FFFFEB84"/>
        <color rgb="FFF8696B"/>
      </colorScale>
    </cfRule>
  </conditionalFormatting>
  <conditionalFormatting sqref="Y21:AD21">
    <cfRule type="colorScale" priority="47">
      <colorScale>
        <cfvo type="min"/>
        <cfvo type="percentile" val="50"/>
        <cfvo type="num" val="5"/>
        <color rgb="FFF8696B"/>
        <color rgb="FFFFEB84"/>
        <color rgb="FF63BE7B"/>
      </colorScale>
    </cfRule>
  </conditionalFormatting>
  <conditionalFormatting sqref="Y23:AD23">
    <cfRule type="colorScale" priority="46">
      <colorScale>
        <cfvo type="num" val="10"/>
        <cfvo type="percentile" val="50"/>
        <cfvo type="num" val="20"/>
        <color rgb="FFF8696B"/>
        <color rgb="FFFFEB84"/>
        <color rgb="FF63BE7B"/>
      </colorScale>
    </cfRule>
  </conditionalFormatting>
  <conditionalFormatting sqref="Y24:AD24">
    <cfRule type="colorScale" priority="45">
      <colorScale>
        <cfvo type="num" val="25"/>
        <cfvo type="percentile" val="50"/>
        <cfvo type="num" val="40"/>
        <color rgb="FFF8696B"/>
        <color rgb="FFFFEB84"/>
        <color rgb="FF63BE7B"/>
      </colorScale>
    </cfRule>
  </conditionalFormatting>
  <conditionalFormatting sqref="Y25:AD25">
    <cfRule type="colorScale" priority="44">
      <colorScale>
        <cfvo type="min"/>
        <cfvo type="percentile" val="50"/>
        <cfvo type="num" val="1"/>
        <color rgb="FF63BE7B"/>
        <color rgb="FFFFEB84"/>
        <color rgb="FFF8696B"/>
      </colorScale>
    </cfRule>
  </conditionalFormatting>
  <conditionalFormatting sqref="Y26:AD26">
    <cfRule type="colorScale" priority="42">
      <colorScale>
        <cfvo type="num" val="3"/>
        <cfvo type="percentile" val="50"/>
        <cfvo type="num" val="8"/>
        <color rgb="FFF8696B"/>
        <color rgb="FFFFEB84"/>
        <color rgb="FF63BE7B"/>
      </colorScale>
    </cfRule>
  </conditionalFormatting>
  <conditionalFormatting sqref="Y27:AD27">
    <cfRule type="colorScale" priority="43">
      <colorScale>
        <cfvo type="num" val="3"/>
        <cfvo type="percentile" val="50"/>
        <cfvo type="num" val="6"/>
        <color rgb="FFF8696B"/>
        <color rgb="FFFFEB84"/>
        <color rgb="FF63BE7B"/>
      </colorScale>
    </cfRule>
  </conditionalFormatting>
  <conditionalFormatting sqref="AG4:AL4">
    <cfRule type="colorScale" priority="40">
      <colorScale>
        <cfvo type="num" val="0.2"/>
        <cfvo type="percentile" val="50"/>
        <cfvo type="num" val="0.35"/>
        <color rgb="FFF8696B"/>
        <color rgb="FFFFEB84"/>
        <color rgb="FF63BE7B"/>
      </colorScale>
    </cfRule>
  </conditionalFormatting>
  <conditionalFormatting sqref="AG5:AL5">
    <cfRule type="colorScale" priority="39">
      <colorScale>
        <cfvo type="num" val="0.08"/>
        <cfvo type="percentile" val="50"/>
        <cfvo type="num" val="0.15"/>
        <color rgb="FFF8696B"/>
        <color rgb="FFFFEB84"/>
        <color rgb="FF63BE7B"/>
      </colorScale>
    </cfRule>
  </conditionalFormatting>
  <conditionalFormatting sqref="AG6:AL6">
    <cfRule type="colorScale" priority="38">
      <colorScale>
        <cfvo type="num" val="0.05"/>
        <cfvo type="percentile" val="50"/>
        <cfvo type="num" val="0.1"/>
        <color rgb="FFF8696B"/>
        <color rgb="FFFFEB84"/>
        <color rgb="FF63BE7B"/>
      </colorScale>
    </cfRule>
  </conditionalFormatting>
  <conditionalFormatting sqref="AG7:AL7">
    <cfRule type="colorScale" priority="37">
      <colorScale>
        <cfvo type="min"/>
        <cfvo type="percentile" val="50"/>
        <cfvo type="num" val="0.15"/>
        <color rgb="FFF8696B"/>
        <color rgb="FFFFEB84"/>
        <color rgb="FF63BE7B"/>
      </colorScale>
    </cfRule>
  </conditionalFormatting>
  <conditionalFormatting sqref="AG8:AL8">
    <cfRule type="colorScale" priority="36">
      <colorScale>
        <cfvo type="min"/>
        <cfvo type="percentile" val="50"/>
        <cfvo type="num" val="0.12"/>
        <color rgb="FFF8696B"/>
        <color rgb="FFFFEB84"/>
        <color rgb="FF63BE7B"/>
      </colorScale>
    </cfRule>
  </conditionalFormatting>
  <conditionalFormatting sqref="AG10:AL10">
    <cfRule type="colorScale" priority="35">
      <colorScale>
        <cfvo type="num" val="2"/>
        <cfvo type="percentile" val="50"/>
        <cfvo type="num" val="3.5"/>
        <color rgb="FFF8696B"/>
        <color rgb="FFFFEB84"/>
        <color rgb="FF63BE7B"/>
      </colorScale>
    </cfRule>
  </conditionalFormatting>
  <conditionalFormatting sqref="AG11:AL11">
    <cfRule type="colorScale" priority="34">
      <colorScale>
        <cfvo type="num" val="4"/>
        <cfvo type="percentile" val="50"/>
        <cfvo type="num" val="8"/>
        <color rgb="FFF8696B"/>
        <color rgb="FFFFEB84"/>
        <color rgb="FF63BE7B"/>
      </colorScale>
    </cfRule>
  </conditionalFormatting>
  <conditionalFormatting sqref="AG12:AL12">
    <cfRule type="colorScale" priority="33">
      <colorScale>
        <cfvo type="num" val="45"/>
        <cfvo type="percentile" val="50"/>
        <cfvo type="num" val="90"/>
        <color rgb="FFF8696B"/>
        <color rgb="FFFFEB84"/>
        <color rgb="FF63BE7B"/>
      </colorScale>
    </cfRule>
  </conditionalFormatting>
  <conditionalFormatting sqref="AG13:AL13">
    <cfRule type="colorScale" priority="32">
      <colorScale>
        <cfvo type="num" val="2"/>
        <cfvo type="percentile" val="50"/>
        <cfvo type="num" val="15"/>
        <color rgb="FFF8696B"/>
        <color rgb="FFFFEB84"/>
        <color rgb="FF63BE7B"/>
      </colorScale>
    </cfRule>
  </conditionalFormatting>
  <conditionalFormatting sqref="AG14:AL14">
    <cfRule type="colorScale" priority="31">
      <colorScale>
        <cfvo type="num" val="30"/>
        <cfvo type="percentile" val="50"/>
        <cfvo type="num" val="60"/>
        <color rgb="FFF8696B"/>
        <color rgb="FFFFEB84"/>
        <color rgb="FF63BE7B"/>
      </colorScale>
    </cfRule>
  </conditionalFormatting>
  <conditionalFormatting sqref="AG15:AL15">
    <cfRule type="colorScale" priority="21">
      <colorScale>
        <cfvo type="min"/>
        <cfvo type="percentile" val="50"/>
        <cfvo type="num" val="20"/>
        <color rgb="FF63BE7B"/>
        <color rgb="FFFFEB84"/>
        <color rgb="FFF8696B"/>
      </colorScale>
    </cfRule>
  </conditionalFormatting>
  <conditionalFormatting sqref="AG17:AL17">
    <cfRule type="colorScale" priority="30">
      <colorScale>
        <cfvo type="num" val="1.5"/>
        <cfvo type="percentile" val="50"/>
        <cfvo type="num" val="2.5"/>
        <color rgb="FFF8696B"/>
        <color rgb="FFFFEB84"/>
        <color rgb="FF63BE7B"/>
      </colorScale>
    </cfRule>
  </conditionalFormatting>
  <conditionalFormatting sqref="AG18:AL18">
    <cfRule type="colorScale" priority="29">
      <colorScale>
        <cfvo type="min"/>
        <cfvo type="percentile" val="50"/>
        <cfvo type="num" val="1"/>
        <color rgb="FFF8696B"/>
        <color rgb="FFFFEB84"/>
        <color rgb="FF63BE7B"/>
      </colorScale>
    </cfRule>
  </conditionalFormatting>
  <conditionalFormatting sqref="AG20:AL20">
    <cfRule type="colorScale" priority="28">
      <colorScale>
        <cfvo type="min"/>
        <cfvo type="percentile" val="50"/>
        <cfvo type="num" val="1.5"/>
        <color rgb="FF63BE7B"/>
        <color rgb="FFFFEB84"/>
        <color rgb="FFF8696B"/>
      </colorScale>
    </cfRule>
  </conditionalFormatting>
  <conditionalFormatting sqref="AG21:AL21">
    <cfRule type="colorScale" priority="27">
      <colorScale>
        <cfvo type="min"/>
        <cfvo type="percentile" val="50"/>
        <cfvo type="num" val="5"/>
        <color rgb="FFF8696B"/>
        <color rgb="FFFFEB84"/>
        <color rgb="FF63BE7B"/>
      </colorScale>
    </cfRule>
  </conditionalFormatting>
  <conditionalFormatting sqref="AG23:AL23">
    <cfRule type="colorScale" priority="26">
      <colorScale>
        <cfvo type="num" val="10"/>
        <cfvo type="percentile" val="50"/>
        <cfvo type="num" val="20"/>
        <color rgb="FFF8696B"/>
        <color rgb="FFFFEB84"/>
        <color rgb="FF63BE7B"/>
      </colorScale>
    </cfRule>
  </conditionalFormatting>
  <conditionalFormatting sqref="AG24:AL24">
    <cfRule type="colorScale" priority="25">
      <colorScale>
        <cfvo type="num" val="25"/>
        <cfvo type="percentile" val="50"/>
        <cfvo type="num" val="40"/>
        <color rgb="FFF8696B"/>
        <color rgb="FFFFEB84"/>
        <color rgb="FF63BE7B"/>
      </colorScale>
    </cfRule>
  </conditionalFormatting>
  <conditionalFormatting sqref="AG25:AL25">
    <cfRule type="colorScale" priority="24">
      <colorScale>
        <cfvo type="min"/>
        <cfvo type="percentile" val="50"/>
        <cfvo type="num" val="1"/>
        <color rgb="FF63BE7B"/>
        <color rgb="FFFFEB84"/>
        <color rgb="FFF8696B"/>
      </colorScale>
    </cfRule>
  </conditionalFormatting>
  <conditionalFormatting sqref="AG26:AL26">
    <cfRule type="colorScale" priority="22">
      <colorScale>
        <cfvo type="num" val="3"/>
        <cfvo type="percentile" val="50"/>
        <cfvo type="num" val="8"/>
        <color rgb="FFF8696B"/>
        <color rgb="FFFFEB84"/>
        <color rgb="FF63BE7B"/>
      </colorScale>
    </cfRule>
  </conditionalFormatting>
  <conditionalFormatting sqref="AG27:AL27">
    <cfRule type="colorScale" priority="23">
      <colorScale>
        <cfvo type="num" val="3"/>
        <cfvo type="percentile" val="50"/>
        <cfvo type="num" val="6"/>
        <color rgb="FFF8696B"/>
        <color rgb="FFFFEB84"/>
        <color rgb="FF63BE7B"/>
      </colorScale>
    </cfRule>
  </conditionalFormatting>
  <conditionalFormatting sqref="AO4:AS4">
    <cfRule type="colorScale" priority="13">
      <colorScale>
        <cfvo type="num" val="0.45"/>
        <cfvo type="percentile" val="50"/>
        <cfvo type="num" val="0.55000000000000004"/>
        <color rgb="FFF8696B"/>
        <color rgb="FFFFEB84"/>
        <color rgb="FF63BE7B"/>
      </colorScale>
    </cfRule>
  </conditionalFormatting>
  <conditionalFormatting sqref="AO5:AS5">
    <cfRule type="colorScale" priority="12">
      <colorScale>
        <cfvo type="num" val="0.2"/>
        <cfvo type="percentile" val="50"/>
        <cfvo type="num" val="0.25"/>
        <color rgb="FFF8696B"/>
        <color rgb="FFFFEB84"/>
        <color rgb="FF63BE7B"/>
      </colorScale>
    </cfRule>
  </conditionalFormatting>
  <conditionalFormatting sqref="AO6:AS6">
    <cfRule type="colorScale" priority="11">
      <colorScale>
        <cfvo type="num" val="0.15"/>
        <cfvo type="percentile" val="50"/>
        <cfvo type="num" val="0.2"/>
        <color rgb="FFF8696B"/>
        <color rgb="FFFFEB84"/>
        <color rgb="FF63BE7B"/>
      </colorScale>
    </cfRule>
  </conditionalFormatting>
  <conditionalFormatting sqref="AO7:AS7">
    <cfRule type="colorScale" priority="14">
      <colorScale>
        <cfvo type="min"/>
        <cfvo type="percentile" val="50"/>
        <cfvo type="num" val="0.15"/>
        <color rgb="FFF8696B"/>
        <color rgb="FFFFEB84"/>
        <color rgb="FF63BE7B"/>
      </colorScale>
    </cfRule>
  </conditionalFormatting>
  <conditionalFormatting sqref="AO8:AS8">
    <cfRule type="colorScale" priority="15">
      <colorScale>
        <cfvo type="min"/>
        <cfvo type="percentile" val="50"/>
        <cfvo type="num" val="0.2"/>
        <color rgb="FFF8696B"/>
        <color rgb="FFFFEB84"/>
        <color rgb="FF63BE7B"/>
      </colorScale>
    </cfRule>
  </conditionalFormatting>
  <conditionalFormatting sqref="AO10:AS10">
    <cfRule type="colorScale" priority="10">
      <colorScale>
        <cfvo type="num" val="1.5"/>
        <cfvo type="percentile" val="50"/>
        <cfvo type="num" val="2.5"/>
        <color rgb="FFF8696B"/>
        <color rgb="FFFFEB84"/>
        <color rgb="FF63BE7B"/>
      </colorScale>
    </cfRule>
  </conditionalFormatting>
  <conditionalFormatting sqref="AO11:AS11">
    <cfRule type="colorScale" priority="9">
      <colorScale>
        <cfvo type="num" val="6"/>
        <cfvo type="percentile" val="50"/>
        <cfvo type="num" val="10"/>
        <color rgb="FFF8696B"/>
        <color rgb="FFFFEB84"/>
        <color rgb="FF63BE7B"/>
      </colorScale>
    </cfRule>
  </conditionalFormatting>
  <conditionalFormatting sqref="AO12:AS12">
    <cfRule type="colorScale" priority="8">
      <colorScale>
        <cfvo type="num" val="40"/>
        <cfvo type="percentile" val="50"/>
        <cfvo type="num" val="60"/>
        <color rgb="FFF8696B"/>
        <color rgb="FFFFEB84"/>
        <color rgb="FF63BE7B"/>
      </colorScale>
    </cfRule>
  </conditionalFormatting>
  <conditionalFormatting sqref="AO13:AS13">
    <cfRule type="colorScale" priority="7">
      <colorScale>
        <cfvo type="num" val="10"/>
        <cfvo type="percentile" val="50"/>
        <cfvo type="num" val="25"/>
        <color rgb="FFF8696B"/>
        <color rgb="FFFFEB84"/>
        <color rgb="FF63BE7B"/>
      </colorScale>
    </cfRule>
  </conditionalFormatting>
  <conditionalFormatting sqref="AO14:AS14">
    <cfRule type="colorScale" priority="6">
      <colorScale>
        <cfvo type="num" val="60"/>
        <cfvo type="percentile" val="50"/>
        <cfvo type="num" val="120"/>
        <color rgb="FFF8696B"/>
        <color rgb="FFFFEB84"/>
        <color rgb="FF63BE7B"/>
      </colorScale>
    </cfRule>
  </conditionalFormatting>
  <conditionalFormatting sqref="AO15:AS15">
    <cfRule type="colorScale" priority="16">
      <colorScale>
        <cfvo type="min"/>
        <cfvo type="percentile" val="50"/>
        <cfvo type="num" val="30"/>
        <color rgb="FFF8696B"/>
        <color rgb="FFFFEB84"/>
        <color rgb="FF63BE7B"/>
      </colorScale>
    </cfRule>
  </conditionalFormatting>
  <conditionalFormatting sqref="AO17:AS17">
    <cfRule type="colorScale" priority="5">
      <colorScale>
        <cfvo type="num" val="1.5"/>
        <cfvo type="percentile" val="50"/>
        <cfvo type="num" val="2.5"/>
        <color rgb="FFF8696B"/>
        <color rgb="FFFFEB84"/>
        <color rgb="FF63BE7B"/>
      </colorScale>
    </cfRule>
  </conditionalFormatting>
  <conditionalFormatting sqref="AO18:AS18">
    <cfRule type="colorScale" priority="17">
      <colorScale>
        <cfvo type="min"/>
        <cfvo type="percentile" val="50"/>
        <cfvo type="num" val="1"/>
        <color rgb="FFF8696B"/>
        <color rgb="FFFFEB84"/>
        <color rgb="FF63BE7B"/>
      </colorScale>
    </cfRule>
  </conditionalFormatting>
  <conditionalFormatting sqref="AO20:AS20">
    <cfRule type="colorScale" priority="18">
      <colorScale>
        <cfvo type="min"/>
        <cfvo type="percentile" val="50"/>
        <cfvo type="num" val="0.5"/>
        <color rgb="FF63BE7B"/>
        <color rgb="FFFFEB84"/>
        <color rgb="FFF8696B"/>
      </colorScale>
    </cfRule>
  </conditionalFormatting>
  <conditionalFormatting sqref="AO21:AS21">
    <cfRule type="colorScale" priority="19">
      <colorScale>
        <cfvo type="min"/>
        <cfvo type="percentile" val="50"/>
        <cfvo type="num" val="5"/>
        <color rgb="FFF8696B"/>
        <color rgb="FFFFEB84"/>
        <color rgb="FF63BE7B"/>
      </colorScale>
    </cfRule>
  </conditionalFormatting>
  <conditionalFormatting sqref="AO23:AS23">
    <cfRule type="colorScale" priority="4">
      <colorScale>
        <cfvo type="num" val="20"/>
        <cfvo type="percentile" val="50"/>
        <cfvo type="num" val="30"/>
        <color rgb="FFF8696B"/>
        <color rgb="FFFFEB84"/>
        <color rgb="FF63BE7B"/>
      </colorScale>
    </cfRule>
  </conditionalFormatting>
  <conditionalFormatting sqref="AO24:AS24">
    <cfRule type="colorScale" priority="3">
      <colorScale>
        <cfvo type="num" val="30"/>
        <cfvo type="percentile" val="50"/>
        <cfvo type="num" val="50"/>
        <color rgb="FFF8696B"/>
        <color rgb="FFFFEB84"/>
        <color rgb="FF63BE7B"/>
      </colorScale>
    </cfRule>
  </conditionalFormatting>
  <conditionalFormatting sqref="AO25:AS25">
    <cfRule type="colorScale" priority="20">
      <colorScale>
        <cfvo type="min"/>
        <cfvo type="percentile" val="50"/>
        <cfvo type="num" val="1"/>
        <color rgb="FF63BE7B"/>
        <color rgb="FFFFEB84"/>
        <color rgb="FFF8696B"/>
      </colorScale>
    </cfRule>
  </conditionalFormatting>
  <conditionalFormatting sqref="AO26:AS26">
    <cfRule type="colorScale" priority="2">
      <colorScale>
        <cfvo type="num" val="8"/>
        <cfvo type="percentile" val="50"/>
        <cfvo type="num" val="15"/>
        <color rgb="FFF8696B"/>
        <color rgb="FFFFEB84"/>
        <color rgb="FF63BE7B"/>
      </colorScale>
    </cfRule>
  </conditionalFormatting>
  <conditionalFormatting sqref="AO27:AS27">
    <cfRule type="colorScale" priority="1">
      <colorScale>
        <cfvo type="num" val="5"/>
        <cfvo type="percentile" val="50"/>
        <cfvo type="num" val="10"/>
        <color rgb="FFF8696B"/>
        <color rgb="FFFFEB84"/>
        <color rgb="FF63BE7B"/>
      </colorScale>
    </cfRule>
  </conditionalFormatting>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C430-2AD1-4391-8BB2-6C91232CAB6A}">
  <dimension ref="A2:H6"/>
  <sheetViews>
    <sheetView workbookViewId="0">
      <selection activeCell="B2" sqref="B2"/>
    </sheetView>
  </sheetViews>
  <sheetFormatPr defaultRowHeight="14.4" x14ac:dyDescent="0.3"/>
  <cols>
    <col min="1" max="1" width="19.6640625" style="1" bestFit="1" customWidth="1"/>
    <col min="2" max="8" width="8.88671875" style="3"/>
    <col min="9" max="16384" width="8.88671875" style="1"/>
  </cols>
  <sheetData>
    <row r="2" spans="1:7" ht="37.799999999999997" customHeight="1" x14ac:dyDescent="0.3">
      <c r="A2" s="63" t="s">
        <v>530</v>
      </c>
      <c r="B2" s="6" t="e" vm="13">
        <v>#VALUE!</v>
      </c>
      <c r="C2" s="6" t="e" vm="6">
        <v>#VALUE!</v>
      </c>
      <c r="D2" s="6" t="e" vm="2">
        <v>#VALUE!</v>
      </c>
      <c r="E2" s="6" t="e" vm="5">
        <v>#VALUE!</v>
      </c>
      <c r="F2" s="6" t="e" vm="14">
        <v>#VALUE!</v>
      </c>
      <c r="G2" s="6" t="e" vm="4">
        <v>#VALUE!</v>
      </c>
    </row>
    <row r="3" spans="1:7" x14ac:dyDescent="0.3">
      <c r="A3" s="63" t="s">
        <v>532</v>
      </c>
      <c r="B3" s="13">
        <f>AVERAGE('Financial Ratio'!B6:G6)</f>
        <v>4.9513644569665692E-2</v>
      </c>
      <c r="C3" s="13">
        <f>AVERAGE('Financial Ratio'!J6:N6)</f>
        <v>0.17105708582799817</v>
      </c>
      <c r="D3" s="13">
        <f>AVERAGE('Financial Ratio'!Q6:V6)</f>
        <v>0.292966767627235</v>
      </c>
      <c r="E3" s="13">
        <f>AVERAGE('Financial Ratio'!Y6:AD6)</f>
        <v>6.6094365905178545E-2</v>
      </c>
      <c r="F3" s="13">
        <f>AVERAGE('Financial Ratio'!AG6:AL6)</f>
        <v>3.2532528986284621E-2</v>
      </c>
      <c r="G3" s="13">
        <f>AVERAGE('Financial Ratio'!AO6:AS6)</f>
        <v>0.10423740267118489</v>
      </c>
    </row>
    <row r="4" spans="1:7" x14ac:dyDescent="0.3">
      <c r="A4" s="63" t="s">
        <v>533</v>
      </c>
      <c r="B4" s="128">
        <f>AVERAGE('Financial Ratio'!B10:G10)</f>
        <v>2.1723787818893316</v>
      </c>
      <c r="C4" s="128">
        <f>AVERAGE('Financial Ratio'!J10:N10)</f>
        <v>1.3758881412807404</v>
      </c>
      <c r="D4" s="128">
        <f>AVERAGE('Financial Ratio'!Q10:V10)</f>
        <v>0.80840648027347484</v>
      </c>
      <c r="E4" s="128">
        <f>AVERAGE('Financial Ratio'!Y10:AD10)</f>
        <v>1.4726751693619313</v>
      </c>
      <c r="F4" s="128">
        <f>AVERAGE('Financial Ratio'!AG10:AL10)</f>
        <v>1.0391816887078693</v>
      </c>
      <c r="G4" s="128">
        <f>AVERAGE('Financial Ratio'!AO10:AS10)</f>
        <v>0.9644289609716632</v>
      </c>
    </row>
    <row r="5" spans="1:7" x14ac:dyDescent="0.3">
      <c r="A5" s="63" t="s">
        <v>534</v>
      </c>
      <c r="B5" s="32">
        <f>AVERAGE('Balance Sheet'!B28:G28)/AVERAGE('Balance Sheet'!B35:G35)</f>
        <v>1.1252253743678406</v>
      </c>
      <c r="C5" s="32">
        <f>AVERAGE('Balance Sheet'!J29:N29)/AVERAGE('Balance Sheet'!J35:N35)</f>
        <v>1.5611707792010223</v>
      </c>
      <c r="D5" s="32">
        <f>AVERAGE('Balance Sheet'!Q33:V33)/AVERAGE('Balance Sheet'!Q40:V40)</f>
        <v>1.2233992655078936</v>
      </c>
      <c r="E5" s="32">
        <f>AVERAGE('Balance Sheet'!Y30:AD30)/AVERAGE('Balance Sheet'!Y37:AD37)</f>
        <v>2.6655797550904672</v>
      </c>
      <c r="F5" s="32">
        <f>AVERAGE('Balance Sheet'!AG32:AL32)/AVERAGE('Balance Sheet'!AG39:AL39)</f>
        <v>2.2273248112975352</v>
      </c>
      <c r="G5" s="32">
        <f>AVERAGE('Balance Sheet'!AO28:AS28)/AVERAGE('Balance Sheet'!AO35:AS35)</f>
        <v>1.8462859405291014</v>
      </c>
    </row>
    <row r="6" spans="1:7" x14ac:dyDescent="0.3">
      <c r="A6" s="63" t="s">
        <v>531</v>
      </c>
      <c r="B6" s="91">
        <f>B3*B4*B5</f>
        <v>0.12103193154264301</v>
      </c>
      <c r="C6" s="91">
        <f t="shared" ref="C6:G6" si="0">C3*C4*C5</f>
        <v>0.36742999798729564</v>
      </c>
      <c r="D6" s="91">
        <f t="shared" si="0"/>
        <v>0.28974527405405037</v>
      </c>
      <c r="E6" s="91">
        <f t="shared" si="0"/>
        <v>0.25945562222610896</v>
      </c>
      <c r="F6" s="91">
        <f t="shared" si="0"/>
        <v>7.5299634092088022E-2</v>
      </c>
      <c r="G6" s="91">
        <f t="shared" si="0"/>
        <v>0.18560633161084042</v>
      </c>
    </row>
  </sheetData>
  <conditionalFormatting sqref="B3:G3">
    <cfRule type="colorScale" priority="1">
      <colorScale>
        <cfvo type="num" val="0.1"/>
        <cfvo type="percentile" val="50"/>
        <cfvo type="num" val="0.2"/>
        <color rgb="FFF8696B"/>
        <color rgb="FFFFEB84"/>
        <color rgb="FF63BE7B"/>
      </colorScale>
    </cfRule>
  </conditionalFormatting>
  <conditionalFormatting sqref="B4:G4">
    <cfRule type="colorScale" priority="2">
      <colorScale>
        <cfvo type="num" val="1"/>
        <cfvo type="percentile" val="50"/>
        <cfvo type="num" val="2"/>
        <color rgb="FFF8696B"/>
        <color rgb="FFFFEB84"/>
        <color rgb="FF63BE7B"/>
      </colorScale>
    </cfRule>
  </conditionalFormatting>
  <conditionalFormatting sqref="B5:G5">
    <cfRule type="colorScale" priority="3">
      <colorScale>
        <cfvo type="num" val="1.5"/>
        <cfvo type="percentile" val="50"/>
        <cfvo type="num" val="3"/>
        <color rgb="FFF8696B"/>
        <color rgb="FFFFEB84"/>
        <color rgb="FF63BE7B"/>
      </colorScale>
    </cfRule>
  </conditionalFormatting>
  <conditionalFormatting sqref="B6:G6">
    <cfRule type="colorScale" priority="4">
      <colorScale>
        <cfvo type="num" val="0.15"/>
        <cfvo type="percentile" val="50"/>
        <cfvo type="num" val="0.3"/>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53B70-D4D1-404C-9A1B-8566250348A5}">
  <dimension ref="A1:BC79"/>
  <sheetViews>
    <sheetView topLeftCell="A2" workbookViewId="0">
      <selection activeCell="B40" sqref="B40"/>
    </sheetView>
  </sheetViews>
  <sheetFormatPr defaultRowHeight="14.4" x14ac:dyDescent="0.3"/>
  <cols>
    <col min="1" max="1" width="31.44140625" style="1" bestFit="1" customWidth="1"/>
    <col min="2" max="2" width="10" style="3" bestFit="1" customWidth="1"/>
    <col min="3" max="3" width="10" style="3" customWidth="1"/>
    <col min="4" max="8" width="9.88671875" style="3" bestFit="1" customWidth="1"/>
    <col min="9" max="9" width="8.88671875" style="1"/>
    <col min="10" max="10" width="31.44140625" style="1" bestFit="1" customWidth="1"/>
    <col min="11" max="11" width="10" style="3" bestFit="1" customWidth="1"/>
    <col min="12" max="12" width="10" style="3" customWidth="1"/>
    <col min="13" max="16" width="9.88671875" style="3" bestFit="1" customWidth="1"/>
    <col min="17" max="18" width="11" style="3" bestFit="1" customWidth="1"/>
    <col min="19" max="19" width="8.88671875" style="1"/>
    <col min="20" max="20" width="31.44140625" style="1" bestFit="1" customWidth="1"/>
    <col min="21" max="21" width="10" style="1" bestFit="1" customWidth="1"/>
    <col min="22" max="22" width="10" style="1" customWidth="1"/>
    <col min="23" max="23" width="9.88671875" style="1" bestFit="1" customWidth="1"/>
    <col min="24" max="28" width="11" style="1" bestFit="1" customWidth="1"/>
    <col min="29" max="29" width="31.44140625" style="1" bestFit="1" customWidth="1"/>
    <col min="30" max="30" width="10" style="3" bestFit="1" customWidth="1"/>
    <col min="31" max="31" width="10" style="3" customWidth="1"/>
    <col min="32" max="32" width="10.5546875" style="3" bestFit="1" customWidth="1"/>
    <col min="33" max="36" width="11" style="3" bestFit="1" customWidth="1"/>
    <col min="37" max="37" width="8.88671875" style="1"/>
    <col min="38" max="38" width="31.44140625" style="1" bestFit="1" customWidth="1"/>
    <col min="39" max="39" width="10" style="1" bestFit="1" customWidth="1"/>
    <col min="40" max="40" width="10" style="1" customWidth="1"/>
    <col min="41" max="41" width="10.5546875" style="1" bestFit="1" customWidth="1"/>
    <col min="42" max="45" width="11" style="1" bestFit="1" customWidth="1"/>
    <col min="46" max="46" width="8.88671875" style="1"/>
    <col min="47" max="47" width="31.44140625" style="1" bestFit="1" customWidth="1"/>
    <col min="48" max="48" width="10" style="3" bestFit="1" customWidth="1"/>
    <col min="49" max="49" width="10" style="3" customWidth="1"/>
    <col min="50" max="52" width="9.88671875" style="3" bestFit="1" customWidth="1"/>
    <col min="53" max="53" width="10.44140625" style="3" customWidth="1"/>
    <col min="54" max="54" width="11" style="3" bestFit="1" customWidth="1"/>
    <col min="55" max="55" width="11" style="1" bestFit="1" customWidth="1"/>
    <col min="56" max="16384" width="8.88671875" style="1"/>
  </cols>
  <sheetData>
    <row r="1" spans="1:55" ht="38.4" customHeight="1" x14ac:dyDescent="0.3">
      <c r="A1" s="6" t="e" vm="13">
        <v>#VALUE!</v>
      </c>
      <c r="J1" s="6" t="e" vm="6">
        <v>#VALUE!</v>
      </c>
      <c r="K1" s="1"/>
      <c r="L1" s="1"/>
      <c r="M1" s="1"/>
      <c r="N1" s="1"/>
      <c r="O1" s="1"/>
      <c r="P1" s="1"/>
      <c r="Q1" s="1"/>
      <c r="R1" s="1"/>
      <c r="T1" s="219" t="e" vm="2">
        <v>#VALUE!</v>
      </c>
      <c r="AC1" s="3" t="e" vm="5">
        <v>#VALUE!</v>
      </c>
      <c r="AL1" s="6" t="e" vm="14">
        <v>#VALUE!</v>
      </c>
      <c r="AU1" s="6" t="e" vm="4">
        <v>#VALUE!</v>
      </c>
    </row>
    <row r="2" spans="1:55" s="4" customFormat="1" ht="34.200000000000003" customHeight="1" x14ac:dyDescent="0.3">
      <c r="A2" s="27" t="s">
        <v>1</v>
      </c>
      <c r="B2" s="130" t="s">
        <v>535</v>
      </c>
      <c r="C2" s="130" t="s">
        <v>561</v>
      </c>
      <c r="D2" s="130" t="s">
        <v>545</v>
      </c>
      <c r="E2" s="130" t="s">
        <v>546</v>
      </c>
      <c r="F2" s="130" t="s">
        <v>547</v>
      </c>
      <c r="G2" s="130" t="s">
        <v>548</v>
      </c>
      <c r="H2" s="130" t="s">
        <v>549</v>
      </c>
      <c r="J2" s="27" t="s">
        <v>1</v>
      </c>
      <c r="K2" s="130" t="s">
        <v>573</v>
      </c>
      <c r="L2" s="130" t="s">
        <v>574</v>
      </c>
      <c r="M2" s="130" t="s">
        <v>32</v>
      </c>
      <c r="N2" s="130" t="s">
        <v>545</v>
      </c>
      <c r="O2" s="130" t="s">
        <v>546</v>
      </c>
      <c r="P2" s="130" t="s">
        <v>547</v>
      </c>
      <c r="Q2" s="130" t="s">
        <v>548</v>
      </c>
      <c r="R2" s="130" t="s">
        <v>549</v>
      </c>
      <c r="T2" s="148" t="s">
        <v>1</v>
      </c>
      <c r="U2" s="149" t="s">
        <v>535</v>
      </c>
      <c r="V2" s="149" t="s">
        <v>574</v>
      </c>
      <c r="W2" s="149" t="s">
        <v>545</v>
      </c>
      <c r="X2" s="149" t="s">
        <v>546</v>
      </c>
      <c r="Y2" s="149" t="s">
        <v>547</v>
      </c>
      <c r="Z2" s="149" t="s">
        <v>548</v>
      </c>
      <c r="AA2" s="150" t="s">
        <v>549</v>
      </c>
      <c r="AC2" s="148" t="s">
        <v>1</v>
      </c>
      <c r="AD2" s="149" t="s">
        <v>535</v>
      </c>
      <c r="AE2" s="149" t="s">
        <v>574</v>
      </c>
      <c r="AF2" s="149" t="s">
        <v>545</v>
      </c>
      <c r="AG2" s="149" t="s">
        <v>546</v>
      </c>
      <c r="AH2" s="149" t="s">
        <v>547</v>
      </c>
      <c r="AI2" s="149" t="s">
        <v>548</v>
      </c>
      <c r="AJ2" s="150" t="s">
        <v>549</v>
      </c>
      <c r="AL2" s="148" t="s">
        <v>1</v>
      </c>
      <c r="AM2" s="149" t="s">
        <v>535</v>
      </c>
      <c r="AN2" s="149" t="s">
        <v>574</v>
      </c>
      <c r="AO2" s="149" t="s">
        <v>545</v>
      </c>
      <c r="AP2" s="149" t="s">
        <v>546</v>
      </c>
      <c r="AQ2" s="149" t="s">
        <v>547</v>
      </c>
      <c r="AR2" s="149" t="s">
        <v>548</v>
      </c>
      <c r="AS2" s="150" t="s">
        <v>549</v>
      </c>
      <c r="AU2" s="27" t="s">
        <v>1</v>
      </c>
      <c r="AV2" s="130" t="s">
        <v>573</v>
      </c>
      <c r="AW2" s="130" t="s">
        <v>574</v>
      </c>
      <c r="AX2" s="130" t="s">
        <v>32</v>
      </c>
      <c r="AY2" s="130" t="s">
        <v>545</v>
      </c>
      <c r="AZ2" s="130" t="s">
        <v>546</v>
      </c>
      <c r="BA2" s="130" t="s">
        <v>547</v>
      </c>
      <c r="BB2" s="130" t="s">
        <v>548</v>
      </c>
      <c r="BC2" s="130" t="s">
        <v>549</v>
      </c>
    </row>
    <row r="3" spans="1:55" x14ac:dyDescent="0.3">
      <c r="A3" s="134" t="s">
        <v>536</v>
      </c>
      <c r="B3" s="135"/>
      <c r="C3" s="135"/>
      <c r="D3" s="135"/>
      <c r="E3" s="135"/>
      <c r="F3" s="135"/>
      <c r="G3" s="135"/>
      <c r="H3" s="136"/>
      <c r="J3" s="134" t="s">
        <v>536</v>
      </c>
      <c r="K3" s="135"/>
      <c r="L3" s="135"/>
      <c r="M3" s="135"/>
      <c r="N3" s="135"/>
      <c r="O3" s="135"/>
      <c r="P3" s="135"/>
      <c r="Q3" s="135"/>
      <c r="R3" s="157"/>
      <c r="T3" s="134" t="s">
        <v>536</v>
      </c>
      <c r="U3" s="135"/>
      <c r="V3" s="135"/>
      <c r="W3" s="135"/>
      <c r="X3" s="135"/>
      <c r="Y3" s="135"/>
      <c r="Z3" s="135"/>
      <c r="AA3" s="136"/>
      <c r="AC3" s="216" t="s">
        <v>536</v>
      </c>
      <c r="AD3" s="217"/>
      <c r="AE3" s="217"/>
      <c r="AF3" s="217"/>
      <c r="AG3" s="217"/>
      <c r="AH3" s="217"/>
      <c r="AI3" s="217"/>
      <c r="AJ3" s="218"/>
      <c r="AL3" s="216" t="s">
        <v>536</v>
      </c>
      <c r="AM3" s="217"/>
      <c r="AN3" s="217"/>
      <c r="AO3" s="217"/>
      <c r="AP3" s="217"/>
      <c r="AQ3" s="217"/>
      <c r="AR3" s="217"/>
      <c r="AS3" s="218"/>
      <c r="AU3" s="134" t="s">
        <v>536</v>
      </c>
      <c r="AV3" s="135"/>
      <c r="AW3" s="135"/>
      <c r="AX3" s="135"/>
      <c r="AY3" s="135"/>
      <c r="AZ3" s="135"/>
      <c r="BA3" s="135"/>
      <c r="BB3" s="135"/>
      <c r="BC3" s="157"/>
    </row>
    <row r="4" spans="1:55" x14ac:dyDescent="0.3">
      <c r="A4" s="18" t="s">
        <v>13</v>
      </c>
      <c r="B4" s="64"/>
      <c r="C4" s="64"/>
      <c r="D4" s="64"/>
      <c r="E4" s="64"/>
      <c r="F4" s="64"/>
      <c r="G4" s="64"/>
      <c r="H4" s="64"/>
      <c r="J4" s="18" t="s">
        <v>13</v>
      </c>
      <c r="K4" s="64"/>
      <c r="L4" s="64"/>
      <c r="M4" s="64"/>
      <c r="N4" s="64"/>
      <c r="O4" s="64"/>
      <c r="P4" s="64"/>
      <c r="Q4" s="64"/>
      <c r="R4" s="153"/>
      <c r="T4" s="168" t="s">
        <v>13</v>
      </c>
      <c r="U4" s="64"/>
      <c r="V4" s="64"/>
      <c r="W4" s="64"/>
      <c r="X4" s="64"/>
      <c r="Y4" s="64"/>
      <c r="Z4" s="64"/>
      <c r="AA4" s="184"/>
      <c r="AC4" s="168" t="s">
        <v>13</v>
      </c>
      <c r="AD4" s="64"/>
      <c r="AE4" s="64"/>
      <c r="AF4" s="64"/>
      <c r="AG4" s="64"/>
      <c r="AH4" s="64"/>
      <c r="AI4" s="64"/>
      <c r="AJ4" s="184"/>
      <c r="AL4" s="168" t="s">
        <v>13</v>
      </c>
      <c r="AM4" s="64"/>
      <c r="AN4" s="64"/>
      <c r="AO4" s="64"/>
      <c r="AP4" s="64"/>
      <c r="AQ4" s="64"/>
      <c r="AR4" s="64"/>
      <c r="AS4" s="184"/>
      <c r="AU4" s="18" t="s">
        <v>13</v>
      </c>
      <c r="AV4" s="64"/>
      <c r="AW4" s="64"/>
      <c r="AX4" s="64"/>
      <c r="AY4" s="64"/>
      <c r="AZ4" s="64"/>
      <c r="BA4" s="64"/>
      <c r="BB4" s="64"/>
      <c r="BC4" s="153"/>
    </row>
    <row r="5" spans="1:55" x14ac:dyDescent="0.3">
      <c r="A5" s="34" t="s">
        <v>537</v>
      </c>
      <c r="B5" s="32">
        <f>Dmart[[#This Row],[2025]]</f>
        <v>14349.83</v>
      </c>
      <c r="C5" s="96"/>
      <c r="D5" s="32">
        <f>Table22[[#This Row],[2025 (Current)]]+C49-'Income Statement Forecast'!D13</f>
        <v>17898.655957475275</v>
      </c>
      <c r="E5" s="32">
        <f>Table22[[#This Row],[2026]]+D49-'Income Statement Forecast'!E13</f>
        <v>21914.574100577731</v>
      </c>
      <c r="F5" s="32">
        <f>Table22[[#This Row],[2027]]+E49-'Income Statement Forecast'!F13</f>
        <v>26476.140038507816</v>
      </c>
      <c r="G5" s="32">
        <f>Table22[[#This Row],[2028]]+F49-'Income Statement Forecast'!G13</f>
        <v>31673.78743993368</v>
      </c>
      <c r="H5" s="131">
        <f>Table22[[#This Row],[2029]]+G49-'Income Statement Forecast'!H13</f>
        <v>37611.705712509269</v>
      </c>
      <c r="J5" s="34" t="s">
        <v>537</v>
      </c>
      <c r="K5" s="32">
        <f>HUL[[#This Row],[2024]]</f>
        <v>8031</v>
      </c>
      <c r="L5" s="96"/>
      <c r="M5" s="32">
        <f>Table2231[[#This Row],[2024 (Actual)]]+K47-'Income Statement Forecast'!M13</f>
        <v>7857.0331348577747</v>
      </c>
      <c r="N5" s="32">
        <f>Table2231[[#This Row],[2025]]+L47-'Income Statement Forecast'!N13</f>
        <v>7821.9850089404517</v>
      </c>
      <c r="O5" s="32">
        <f>Table2231[[#This Row],[2026]]+M47-'Income Statement Forecast'!O13</f>
        <v>7906.9308146173262</v>
      </c>
      <c r="P5" s="32">
        <f>Table2231[[#This Row],[2027]]+N47-'Income Statement Forecast'!P13</f>
        <v>8097.22766838998</v>
      </c>
      <c r="Q5" s="32">
        <f>Table2231[[#This Row],[2028]]+O47-'Income Statement Forecast'!Q13</f>
        <v>8381.7309299252411</v>
      </c>
      <c r="R5" s="32">
        <f>Table2231[[#This Row],[2029]]+P47-'Income Statement Forecast'!R13</f>
        <v>8752.1660730726326</v>
      </c>
      <c r="T5" s="185" t="s">
        <v>537</v>
      </c>
      <c r="U5" s="186">
        <f>ITC[[#This Row],[2025]]</f>
        <v>17428.89</v>
      </c>
      <c r="V5" s="187"/>
      <c r="W5" s="186">
        <f>Table32[[#This Row],[2025 (Current)]]+U49-'Income Statement Forecast'!W13</f>
        <v>19276.429142839937</v>
      </c>
      <c r="X5" s="186">
        <f>Table32[[#This Row],[2026]]+V49-'Income Statement Forecast'!X13</f>
        <v>21226.565010228391</v>
      </c>
      <c r="Y5" s="186">
        <f>Table32[[#This Row],[2027]]+W49-'Income Statement Forecast'!Y13</f>
        <v>23291.349587102482</v>
      </c>
      <c r="Z5" s="186">
        <f>Table32[[#This Row],[2028]]+X49-'Income Statement Forecast'!Z13</f>
        <v>25483.480295841393</v>
      </c>
      <c r="AA5" s="186">
        <f>Table32[[#This Row],[2029]]+Y49-'Income Statement Forecast'!AA13</f>
        <v>27816.378472928194</v>
      </c>
      <c r="AC5" s="185" t="s">
        <v>537</v>
      </c>
      <c r="AD5" s="32">
        <f>Titan[[#This Row],[2025]]</f>
        <v>1854</v>
      </c>
      <c r="AE5" s="96"/>
      <c r="AF5" s="32">
        <f>Table36[[#This Row],[2025 (Current)]]+AD49-'Income Statement Forecast'!AF13</f>
        <v>2018.4200543157006</v>
      </c>
      <c r="AG5" s="32">
        <f>Table36[[#This Row],[2026]]+AE49-'Income Statement Forecast'!AG13</f>
        <v>2276.8038113891921</v>
      </c>
      <c r="AH5" s="32">
        <f>Table36[[#This Row],[2027]]+AF49-'Income Statement Forecast'!AH13</f>
        <v>2627.0238118757538</v>
      </c>
      <c r="AI5" s="32">
        <f>Table36[[#This Row],[2028]]+AG49-'Income Statement Forecast'!AI13</f>
        <v>3073.0946045302171</v>
      </c>
      <c r="AJ5" s="32">
        <f>Table36[[#This Row],[2029]]+AH49-'Income Statement Forecast'!AJ13</f>
        <v>3624.2308117878515</v>
      </c>
      <c r="AL5" s="185" t="s">
        <v>537</v>
      </c>
      <c r="AM5" s="32">
        <f>Trent_BS[[#This Row],[2025]]</f>
        <v>2068.2399999999998</v>
      </c>
      <c r="AN5" s="96"/>
      <c r="AO5" s="32">
        <f>Table3645[[#This Row],[2025 (Current)]]+AM49-'Income Statement Forecast'!AO13</f>
        <v>2354.2191111098982</v>
      </c>
      <c r="AP5" s="32">
        <f>Table3645[[#This Row],[2026]]+AN49-'Income Statement Forecast'!AP13</f>
        <v>2883.5562563017929</v>
      </c>
      <c r="AQ5" s="32">
        <f>Table3645[[#This Row],[2027]]+AO49-'Income Statement Forecast'!AQ13</f>
        <v>3657.1921346541862</v>
      </c>
      <c r="AR5" s="32">
        <f>Table3645[[#This Row],[2028]]+AP49-'Income Statement Forecast'!AR13</f>
        <v>4710.3354542149236</v>
      </c>
      <c r="AS5" s="32">
        <f>Table3645[[#This Row],[2029]]+AQ49-'Income Statement Forecast'!AS13</f>
        <v>6107.0581231715714</v>
      </c>
      <c r="AU5" s="34" t="s">
        <v>537</v>
      </c>
      <c r="AV5" s="32">
        <f>Table9[[#This Row],[2024]]</f>
        <v>10622.550999999999</v>
      </c>
      <c r="AW5" s="96"/>
      <c r="AX5" s="32">
        <f>VBL_BSF[[#This Row],[2024 (Actual)]]+AV49-'Income Statement Forecast'!AX13</f>
        <v>13025.145027713344</v>
      </c>
      <c r="AY5" s="32">
        <f>VBL_BSF[[#This Row],[2025]]+AW49-'Income Statement Forecast'!AY13</f>
        <v>15912.245080848337</v>
      </c>
      <c r="AZ5" s="32">
        <f>VBL_BSF[[#This Row],[2026]]+AX49-'Income Statement Forecast'!AZ13</f>
        <v>19386.967202409236</v>
      </c>
      <c r="BA5" s="32">
        <f>VBL_BSF[[#This Row],[2027]]+AY49-'Income Statement Forecast'!BA13</f>
        <v>23573.816560602922</v>
      </c>
      <c r="BB5" s="32">
        <f>VBL_BSF[[#This Row],[2028]]+AZ49-'Income Statement Forecast'!BB13</f>
        <v>28623.178569685955</v>
      </c>
      <c r="BC5" s="32">
        <f>VBL_BSF[[#This Row],[2029]]+BA49-'Income Statement Forecast'!BC13</f>
        <v>34716.747593102489</v>
      </c>
    </row>
    <row r="6" spans="1:55" x14ac:dyDescent="0.3">
      <c r="A6" s="34" t="s">
        <v>538</v>
      </c>
      <c r="B6" s="32">
        <f>'Balance Sheet'!G10</f>
        <v>28.98</v>
      </c>
      <c r="C6" s="96">
        <f>('Balance Sheet'!G10/'Balance Sheet'!B10)^(1/6)-1</f>
        <v>2.5531412019983435E-3</v>
      </c>
      <c r="D6" s="32">
        <f>Table22[[#This Row],[2025 (Current)]]*(1+$C$6)</f>
        <v>29.053990032033912</v>
      </c>
      <c r="E6" s="32">
        <f>Table22[[#This Row],[2026]]*(1+Table22[[#This Row],[CAGR]])</f>
        <v>29.128168971067147</v>
      </c>
      <c r="F6" s="32">
        <f>Table22[[#This Row],[2027]]*(1+$C$6)</f>
        <v>29.202537299405947</v>
      </c>
      <c r="G6" s="32">
        <f>Table22[[#This Row],[2028]]*(1+$C$6)</f>
        <v>29.277095500587954</v>
      </c>
      <c r="H6" s="32">
        <f>Table22[[#This Row],[2029]]*(1+$C$6)</f>
        <v>29.351844059385346</v>
      </c>
      <c r="J6" s="34" t="s">
        <v>538</v>
      </c>
      <c r="K6" s="32">
        <f>'Balance Sheet'!N8</f>
        <v>28247</v>
      </c>
      <c r="L6" s="96">
        <f>AVERAGE('Balance Sheet'!J8:N8)/AVERAGE(HUL_IS[[#This Row],[2020]:[2024]])</f>
        <v>0.32112757039749434</v>
      </c>
      <c r="M6" s="32">
        <f>Table28[[#This Row],[2025]]*$L$6</f>
        <v>21667.573920422506</v>
      </c>
      <c r="N6" s="32">
        <f>Table28[[#This Row],[2026]]*$L$6</f>
        <v>23314.843017623953</v>
      </c>
      <c r="O6" s="32">
        <f>Table28[[#This Row],[2027]]*$L$6</f>
        <v>25087.655246159797</v>
      </c>
      <c r="P6" s="32">
        <f>Table28[[#This Row],[2028]]*$L$6</f>
        <v>26995.591845385643</v>
      </c>
      <c r="Q6" s="32">
        <f>Table28[[#This Row],[2029]]*$L$6</f>
        <v>29048.965842067159</v>
      </c>
      <c r="R6" s="32">
        <f>Table28[[#This Row],[2030]]*$L$6</f>
        <v>31258.877966143529</v>
      </c>
      <c r="T6" s="188" t="s">
        <v>538</v>
      </c>
      <c r="U6" s="189">
        <f>'Balance Sheet'!V9</f>
        <v>2724.74</v>
      </c>
      <c r="V6" s="190">
        <f>AVERAGE('Balance Sheet'!Q9:V9)/AVERAGE(ITC_IS[[#This Row],[2020]:[2025]])</f>
        <v>3.0476665606608035E-2</v>
      </c>
      <c r="W6" s="189">
        <f>Table29[[#This Row],[2026]]*'Balance Sheet Forecast'!$V$6</f>
        <v>2763.3409016972259</v>
      </c>
      <c r="X6" s="189">
        <f>Table29[[#This Row],[2027]]*'Balance Sheet Forecast'!$V$6</f>
        <v>2978.2708133313317</v>
      </c>
      <c r="Y6" s="189">
        <f>Table29[[#This Row],[2028]]*'Balance Sheet Forecast'!$V$6</f>
        <v>3210.4512402313771</v>
      </c>
      <c r="Z6" s="189">
        <f>Table29[[#This Row],[2029]]*'Balance Sheet Forecast'!$V$6</f>
        <v>3461.2642966875069</v>
      </c>
      <c r="AA6" s="189">
        <f>Table29[[#This Row],[2030]]*'Balance Sheet Forecast'!$V$6</f>
        <v>3732.2028429661759</v>
      </c>
      <c r="AC6" s="188" t="s">
        <v>538</v>
      </c>
      <c r="AD6" s="32">
        <f>'Balance Sheet'!AD10</f>
        <v>310</v>
      </c>
      <c r="AE6" s="96">
        <f>AVERAGE('Balance Sheet'!Y10:AD10)/AVERAGE(Titan_IS[[#This Row],[2020]:[2025]])</f>
        <v>7.0905946521218569E-3</v>
      </c>
      <c r="AF6" s="32">
        <f>Table42[[#This Row],[2026]]*'Balance Sheet Forecast'!$AE$6</f>
        <v>515.24731664035028</v>
      </c>
      <c r="AG6" s="32">
        <f>Table42[[#This Row],[2027]]*'Balance Sheet Forecast'!$AE$6</f>
        <v>614.37438814854602</v>
      </c>
      <c r="AH6" s="32">
        <f>Table42[[#This Row],[2028]]*'Balance Sheet Forecast'!$AE$6</f>
        <v>732.57394780922903</v>
      </c>
      <c r="AI6" s="32">
        <f>Table42[[#This Row],[2029]]*'Balance Sheet Forecast'!$AE$6</f>
        <v>873.51598615004184</v>
      </c>
      <c r="AJ6" s="32">
        <f>Table42[[#This Row],[2030]]*'Balance Sheet Forecast'!$AE$6</f>
        <v>1041.5767615146306</v>
      </c>
      <c r="AL6" s="188" t="s">
        <v>538</v>
      </c>
      <c r="AM6" s="32">
        <f>'Balance Sheet'!AL9</f>
        <v>46.09</v>
      </c>
      <c r="AN6" s="96">
        <f>AVERAGE('Balance Sheet'!AG9:AL9)/AVERAGE('Balance Sheet Forecast'!AM40:AR40)</f>
        <v>5.4218066858403077E-3</v>
      </c>
      <c r="AO6" s="32">
        <f>Table38[[#This Row],[2026]]*'Balance Sheet Forecast'!$AN$6</f>
        <v>122.39943538424946</v>
      </c>
      <c r="AP6" s="32">
        <f>Table38[[#This Row],[2027]]*'Balance Sheet Forecast'!$AN$6</f>
        <v>159.30062350176928</v>
      </c>
      <c r="AQ6" s="32">
        <f>Table38[[#This Row],[2028]]*'Balance Sheet Forecast'!$AN$6</f>
        <v>207.39792283286388</v>
      </c>
      <c r="AR6" s="32">
        <f>Table38[[#This Row],[2029]]*'Balance Sheet Forecast'!$AN$6</f>
        <v>270.09301073347211</v>
      </c>
      <c r="AS6" s="32">
        <f>Table38[[#This Row],[2030]]*'Balance Sheet Forecast'!$AN$6</f>
        <v>351.8213922794904</v>
      </c>
      <c r="AU6" s="34" t="s">
        <v>538</v>
      </c>
      <c r="AV6" s="32">
        <f>'Balance Sheet'!AS9</f>
        <v>1115.126</v>
      </c>
      <c r="AW6" s="96">
        <f>AVERAGE('Balance Sheet'!AO9:AS9)/AVERAGE('Balance Sheet Forecast'!AV40:AZ40)</f>
        <v>5.0398794720493516E-2</v>
      </c>
      <c r="AX6" s="32">
        <f>Table2858[[#This Row],[2025]]*'Balance Sheet Forecast'!$AW$6</f>
        <v>1255.5050269897858</v>
      </c>
      <c r="AY6" s="32">
        <f>Table2858[[#This Row],[2026]]*'Balance Sheet Forecast'!$AW$6</f>
        <v>1518.0811369645673</v>
      </c>
      <c r="AZ6" s="32">
        <f>Table2858[[#This Row],[2027]]*'Balance Sheet Forecast'!$AW$6</f>
        <v>1835.573090347332</v>
      </c>
      <c r="BA6" s="32">
        <f>Table2858[[#This Row],[2028]]*'Balance Sheet Forecast'!$AW$6</f>
        <v>2219.4662855481424</v>
      </c>
      <c r="BB6" s="32">
        <f>Table2858[[#This Row],[2029]]*'Balance Sheet Forecast'!$AW$6</f>
        <v>2683.6482742106314</v>
      </c>
      <c r="BC6" s="32">
        <f>Table2858[[#This Row],[2030]]*'Balance Sheet Forecast'!$AW$6</f>
        <v>3244.9111753782763</v>
      </c>
    </row>
    <row r="7" spans="1:55" x14ac:dyDescent="0.3">
      <c r="A7" s="34" t="s">
        <v>18</v>
      </c>
      <c r="B7" s="32">
        <f>'Balance Sheet'!G9</f>
        <v>78.27</v>
      </c>
      <c r="C7" s="96"/>
      <c r="D7" s="32">
        <f>$B$7</f>
        <v>78.27</v>
      </c>
      <c r="E7" s="32">
        <f t="shared" ref="E7:H7" si="0">$B$7</f>
        <v>78.27</v>
      </c>
      <c r="F7" s="32">
        <f t="shared" si="0"/>
        <v>78.27</v>
      </c>
      <c r="G7" s="32">
        <f t="shared" si="0"/>
        <v>78.27</v>
      </c>
      <c r="H7" s="32">
        <f t="shared" si="0"/>
        <v>78.27</v>
      </c>
      <c r="J7" s="34" t="s">
        <v>18</v>
      </c>
      <c r="K7" s="32">
        <f>HUL[[#This Row],[2024]]</f>
        <v>17466</v>
      </c>
      <c r="L7" s="96"/>
      <c r="M7" s="32">
        <f>$K$7</f>
        <v>17466</v>
      </c>
      <c r="N7" s="32">
        <f t="shared" ref="N7:R7" si="1">$K$7</f>
        <v>17466</v>
      </c>
      <c r="O7" s="32">
        <f t="shared" si="1"/>
        <v>17466</v>
      </c>
      <c r="P7" s="32">
        <f t="shared" si="1"/>
        <v>17466</v>
      </c>
      <c r="Q7" s="32">
        <f t="shared" si="1"/>
        <v>17466</v>
      </c>
      <c r="R7" s="32">
        <f t="shared" si="1"/>
        <v>17466</v>
      </c>
      <c r="T7" s="185" t="s">
        <v>18</v>
      </c>
      <c r="U7" s="186">
        <f>'Balance Sheet'!$V$8</f>
        <v>896.93</v>
      </c>
      <c r="V7" s="186"/>
      <c r="W7" s="186">
        <f>'Balance Sheet'!$V$8</f>
        <v>896.93</v>
      </c>
      <c r="X7" s="186">
        <f>'Balance Sheet'!$V$8</f>
        <v>896.93</v>
      </c>
      <c r="Y7" s="186">
        <f>'Balance Sheet'!$V$8</f>
        <v>896.93</v>
      </c>
      <c r="Z7" s="186">
        <f>'Balance Sheet'!$V$8</f>
        <v>896.93</v>
      </c>
      <c r="AA7" s="186">
        <f>'Balance Sheet'!$V$8</f>
        <v>896.93</v>
      </c>
      <c r="AC7" s="185" t="s">
        <v>18</v>
      </c>
      <c r="AD7" s="32">
        <f>'Balance Sheet'!$AD$9</f>
        <v>123</v>
      </c>
      <c r="AE7" s="32"/>
      <c r="AF7" s="32">
        <f>'Balance Sheet'!$AD$9</f>
        <v>123</v>
      </c>
      <c r="AG7" s="32">
        <f>'Balance Sheet'!$AD$9</f>
        <v>123</v>
      </c>
      <c r="AH7" s="32">
        <f>'Balance Sheet'!$AD$9</f>
        <v>123</v>
      </c>
      <c r="AI7" s="32">
        <f>'Balance Sheet'!$AD$9</f>
        <v>123</v>
      </c>
      <c r="AJ7" s="32">
        <f>'Balance Sheet'!$AD$9</f>
        <v>123</v>
      </c>
      <c r="AL7" s="185" t="s">
        <v>18</v>
      </c>
      <c r="AM7" s="32">
        <f>'Balance Sheet'!$AL$8</f>
        <v>27.19</v>
      </c>
      <c r="AN7" s="32"/>
      <c r="AO7" s="32">
        <f>'Balance Sheet'!$AL$8</f>
        <v>27.19</v>
      </c>
      <c r="AP7" s="32">
        <f>'Balance Sheet'!$AL$8</f>
        <v>27.19</v>
      </c>
      <c r="AQ7" s="32">
        <f>'Balance Sheet'!$AL$8</f>
        <v>27.19</v>
      </c>
      <c r="AR7" s="32">
        <f>'Balance Sheet'!$AL$8</f>
        <v>27.19</v>
      </c>
      <c r="AS7" s="32">
        <f>'Balance Sheet'!$AL$8</f>
        <v>27.19</v>
      </c>
      <c r="AU7" s="34" t="s">
        <v>18</v>
      </c>
      <c r="AV7" s="32">
        <f>'Balance Sheet'!AS8</f>
        <v>300.93700000000001</v>
      </c>
      <c r="AW7" s="96"/>
      <c r="AX7" s="32">
        <f>$AV$7</f>
        <v>300.93700000000001</v>
      </c>
      <c r="AY7" s="32">
        <f t="shared" ref="AY7:BC7" si="2">$AV$7</f>
        <v>300.93700000000001</v>
      </c>
      <c r="AZ7" s="32">
        <f t="shared" si="2"/>
        <v>300.93700000000001</v>
      </c>
      <c r="BA7" s="32">
        <f t="shared" si="2"/>
        <v>300.93700000000001</v>
      </c>
      <c r="BB7" s="32">
        <f t="shared" si="2"/>
        <v>300.93700000000001</v>
      </c>
      <c r="BC7" s="32">
        <f t="shared" si="2"/>
        <v>300.93700000000001</v>
      </c>
    </row>
    <row r="8" spans="1:55" x14ac:dyDescent="0.3">
      <c r="A8" s="34" t="s">
        <v>551</v>
      </c>
      <c r="B8" s="32">
        <f>'Balance Sheet'!G15</f>
        <v>7.51</v>
      </c>
      <c r="C8" s="96">
        <f>('Balance Sheet'!G15/'Balance Sheet'!B15)^(1/6)-1</f>
        <v>0.72004703599976416</v>
      </c>
      <c r="D8" s="32">
        <f>Table22[[#This Row],[2025 (Current)]]*(1+C8)</f>
        <v>12.917553240358229</v>
      </c>
      <c r="E8" s="32">
        <f>Table22[[#This Row],[2026]]*(1+$C$8)</f>
        <v>22.218799163447322</v>
      </c>
      <c r="F8" s="32">
        <f>Table22[[#This Row],[2027]]*(1+$C$8)</f>
        <v>38.217379644561603</v>
      </c>
      <c r="G8" s="32">
        <f>Table22[[#This Row],[2028]]*(1+$C$8)</f>
        <v>65.735690581305903</v>
      </c>
      <c r="H8" s="32">
        <f>Table22[[#This Row],[2029]]*(1+$C$8)</f>
        <v>113.06847974377283</v>
      </c>
      <c r="J8" s="34" t="s">
        <v>551</v>
      </c>
      <c r="K8" s="32">
        <f>'Balance Sheet'!N15</f>
        <v>1175</v>
      </c>
      <c r="L8" s="96">
        <f>('Balance Sheet'!N15/'Balance Sheet'!J15)^(1/6)-1</f>
        <v>0.21075100757188592</v>
      </c>
      <c r="M8" s="32">
        <f>Table2231[[#This Row],[2024 (Actual)]]*(1+L8)</f>
        <v>1422.6324338969659</v>
      </c>
      <c r="N8" s="32">
        <f>Table2231[[#This Row],[2025]]*(1+$L$8)</f>
        <v>1722.453652745196</v>
      </c>
      <c r="O8" s="32">
        <f>Table2231[[#This Row],[2026]]*(1+$L$8)</f>
        <v>2085.4624955571212</v>
      </c>
      <c r="P8" s="32">
        <f>Table2231[[#This Row],[2027]]*(1+$L$8)</f>
        <v>2524.975817749164</v>
      </c>
      <c r="Q8" s="32">
        <f>Table2231[[#This Row],[2028]]*(1+$L$8)</f>
        <v>3057.1170154344468</v>
      </c>
      <c r="R8" s="32">
        <f>Table2231[[#This Row],[2029]]*(1+$L$8)</f>
        <v>3701.4075067024132</v>
      </c>
      <c r="T8" s="188" t="s">
        <v>551</v>
      </c>
      <c r="U8" s="189">
        <f>'Balance Sheet'!V17</f>
        <v>87.98</v>
      </c>
      <c r="V8" s="190">
        <f>('Balance Sheet'!V17/'Balance Sheet'!Q17)^(1/6)-1</f>
        <v>7.7272197209434124E-2</v>
      </c>
      <c r="W8" s="189">
        <f>Table32[[#This Row],[2025 (Current)]]*(1+V8)</f>
        <v>94.778407910486024</v>
      </c>
      <c r="X8" s="189">
        <f>Table32[[#This Row],[2026]]*(1+$V$8)</f>
        <v>102.10214373774129</v>
      </c>
      <c r="Y8" s="189">
        <f>Table32[[#This Row],[2027]]*(1+$V$8)</f>
        <v>109.99180072415002</v>
      </c>
      <c r="Z8" s="189">
        <f>Table32[[#This Row],[2028]]*(1+$V$8)</f>
        <v>118.49110884112733</v>
      </c>
      <c r="AA8" s="189">
        <f>Table32[[#This Row],[2029]]*(1+$V$8)</f>
        <v>127.64717717106345</v>
      </c>
      <c r="AC8" s="188" t="s">
        <v>551</v>
      </c>
      <c r="AD8" s="32">
        <f>'Balance Sheet'!AD15</f>
        <v>170</v>
      </c>
      <c r="AE8" s="96">
        <f>AVERAGE('Balance Sheet'!Y15:AD15)/AVERAGE('Income Statement'!Y22:AD22)</f>
        <v>4.8450195606379774E-2</v>
      </c>
      <c r="AF8" s="32">
        <f>'Income Statement Forecast'!AF16*'Balance Sheet Forecast'!$AE$8</f>
        <v>338.33128507700411</v>
      </c>
      <c r="AG8" s="32">
        <f>'Income Statement Forecast'!AG16*'Balance Sheet Forecast'!$AE$8</f>
        <v>406.4419148563565</v>
      </c>
      <c r="AH8" s="32">
        <f>'Income Statement Forecast'!AH16*'Balance Sheet Forecast'!$AE$8</f>
        <v>486.67832334055242</v>
      </c>
      <c r="AI8" s="32">
        <f>'Income Statement Forecast'!AI16*'Balance Sheet Forecast'!$AE$8</f>
        <v>581.69120819350974</v>
      </c>
      <c r="AJ8" s="32">
        <f>'Income Statement Forecast'!AJ16*'Balance Sheet Forecast'!$AE$8</f>
        <v>694.53847336240585</v>
      </c>
      <c r="AL8" s="188" t="s">
        <v>551</v>
      </c>
      <c r="AM8" s="32">
        <f>'Balance Sheet'!AL14</f>
        <v>43.47</v>
      </c>
      <c r="AN8" s="96">
        <f>AVERAGE('Balance Sheet'!AG14:AL14)/AVERAGE('Income Statement'!AG19:AL19)</f>
        <v>0.13231686787552299</v>
      </c>
      <c r="AO8" s="32">
        <f>'Income Statement Forecast'!AO16*'Balance Sheet Forecast'!$AN$8</f>
        <v>265.82282975540932</v>
      </c>
      <c r="AP8" s="32">
        <f>'Income Statement Forecast'!AP16*'Balance Sheet Forecast'!$AN$8</f>
        <v>366.75589256892488</v>
      </c>
      <c r="AQ8" s="32">
        <f>'Income Statement Forecast'!AQ16*'Balance Sheet Forecast'!$AN$8</f>
        <v>488.66746540962521</v>
      </c>
      <c r="AR8" s="32">
        <f>'Income Statement Forecast'!AR16*'Balance Sheet Forecast'!$AN$8</f>
        <v>642.42779763683018</v>
      </c>
      <c r="AS8" s="32">
        <f>'Income Statement Forecast'!AS16*'Balance Sheet Forecast'!$AN$8</f>
        <v>840.11761378944357</v>
      </c>
      <c r="AU8" s="34" t="s">
        <v>551</v>
      </c>
      <c r="AV8" s="32">
        <f>'Balance Sheet'!AS15</f>
        <v>19.631</v>
      </c>
      <c r="AW8" s="96">
        <f>AVERAGE('Balance Sheet'!AO15:AS15)/AVERAGE('Income Statement'!AO21:AS21)</f>
        <v>3.4561762724126372E-3</v>
      </c>
      <c r="AX8" s="32">
        <f>'Income Statement Forecast'!AX16*'Balance Sheet Forecast'!$AW$8</f>
        <v>14.885858086815308</v>
      </c>
      <c r="AY8" s="32">
        <f>'Income Statement Forecast'!AY16*'Balance Sheet Forecast'!$AW$8</f>
        <v>17.936969247086409</v>
      </c>
      <c r="AZ8" s="32">
        <f>'Income Statement Forecast'!AZ16*'Balance Sheet Forecast'!$AW$8</f>
        <v>21.632367634118697</v>
      </c>
      <c r="BA8" s="32">
        <f>'Income Statement Forecast'!BA16*'Balance Sheet Forecast'!$AW$8</f>
        <v>26.106190809208194</v>
      </c>
      <c r="BB8" s="32">
        <f>'Income Statement Forecast'!BB16*'Balance Sheet Forecast'!$AW$8</f>
        <v>31.520691888982565</v>
      </c>
      <c r="BC8" s="32">
        <f>'Income Statement Forecast'!BC16*'Balance Sheet Forecast'!$AW$8</f>
        <v>38.0721139351541</v>
      </c>
    </row>
    <row r="9" spans="1:55" x14ac:dyDescent="0.3">
      <c r="A9" s="34" t="s">
        <v>25</v>
      </c>
      <c r="B9" s="32">
        <f>'Balance Sheet'!G16+'Balance Sheet'!G14+'Balance Sheet'!G12+'Balance Sheet'!G6+'Balance Sheet'!G7+'Balance Sheet'!G8</f>
        <v>3295.38</v>
      </c>
      <c r="C9" s="96">
        <f>'Balance Sheet'!C61</f>
        <v>-3.976391209446245E-2</v>
      </c>
      <c r="D9" s="32">
        <f>Table22[[#This Row],[2025 (Current)]]*(1+C9)</f>
        <v>3164.3427993621508</v>
      </c>
      <c r="E9" s="32">
        <f>Table22[[#This Row],[2026]]*(1+$C$9)</f>
        <v>3038.516150451569</v>
      </c>
      <c r="F9" s="32">
        <f>Table22[[#This Row],[2027]]*(1+$C$9)</f>
        <v>2917.6928613474088</v>
      </c>
      <c r="G9" s="32">
        <f>Table22[[#This Row],[2028]]*(1+$C$9)</f>
        <v>2801.67397889015</v>
      </c>
      <c r="H9" s="32">
        <f>Table22[[#This Row],[2029]]*(1+$C$9)</f>
        <v>2690.2684610762194</v>
      </c>
      <c r="J9" s="34" t="s">
        <v>25</v>
      </c>
      <c r="K9" s="32">
        <f>'Balance Sheet'!N16+'Balance Sheet'!N13+'Balance Sheet'!N12+'Balance Sheet'!N14+'Balance Sheet'!N6+HUL[[#This Row],[2024]]</f>
        <v>2254</v>
      </c>
      <c r="L9" s="96">
        <f>(Table2231[[#This Row],[2024 (Actual)]]/('Balance Sheet'!J12+'Balance Sheet'!J13+'Balance Sheet'!J14+'Balance Sheet'!J16))^(1/6)-1</f>
        <v>0.10787739461160251</v>
      </c>
      <c r="M9" s="32">
        <f>Table2231[[#This Row],[2024 (Actual)]]*(1+$L$9)</f>
        <v>2497.1556474545519</v>
      </c>
      <c r="N9" s="32">
        <f>Table2231[[#This Row],[2025]]*(1+$L$9)</f>
        <v>2766.5422926415981</v>
      </c>
      <c r="O9" s="32">
        <f>Table2231[[#This Row],[2026]]*(1+$L$9)</f>
        <v>3064.9896672545833</v>
      </c>
      <c r="P9" s="32">
        <f>Table2231[[#This Row],[2027]]*(1+$L$9)</f>
        <v>3395.6327670694905</v>
      </c>
      <c r="Q9" s="32">
        <f>Table2231[[#This Row],[2028]]*(1+$L$9)</f>
        <v>3761.9447830387335</v>
      </c>
      <c r="R9" s="32">
        <f>Table2231[[#This Row],[2029]]*(1+$L$9)</f>
        <v>4167.7735849056626</v>
      </c>
      <c r="T9" s="185" t="s">
        <v>25</v>
      </c>
      <c r="U9" s="186">
        <f>'Balance Sheet'!V6+'Balance Sheet'!V7+'Balance Sheet'!V10+'Balance Sheet'!V12+'Balance Sheet'!V19+'Balance Sheet'!V18+'Balance Sheet'!V16+'Balance Sheet'!V15</f>
        <v>8756.43</v>
      </c>
      <c r="V9" s="187">
        <f>((Table32[[#This Row],[2025 (Current)]])/('Balance Sheet'!Q6+'Balance Sheet'!Q7+'Balance Sheet'!Q10+'Balance Sheet'!Q12+'Balance Sheet'!Q15+'Balance Sheet'!Q16+'Balance Sheet'!Q18+'Balance Sheet'!Q19))^(1/6)-1</f>
        <v>6.4189367330462543E-2</v>
      </c>
      <c r="W9" s="186">
        <f>Table32[[#This Row],[2025 (Current)]]*(1+V9)</f>
        <v>9318.4997017734822</v>
      </c>
      <c r="X9" s="186">
        <f>Table32[[#This Row],[2026]]*(1+$V$9)</f>
        <v>9916.6483020994256</v>
      </c>
      <c r="Y9" s="186">
        <f>Table32[[#This Row],[2027]]*(1+$V$9)</f>
        <v>10553.191682649893</v>
      </c>
      <c r="Z9" s="186">
        <f>Table32[[#This Row],[2028]]*(1+$V$9)</f>
        <v>11230.594380076289</v>
      </c>
      <c r="AA9" s="186">
        <f>Table32[[#This Row],[2029]]*(1+$V$9)</f>
        <v>11951.479128078434</v>
      </c>
      <c r="AC9" s="185" t="s">
        <v>25</v>
      </c>
      <c r="AD9" s="32">
        <f>'Balance Sheet'!AD6+'Balance Sheet'!AD8+'Balance Sheet'!AD11+'Balance Sheet'!AD13+'Balance Sheet'!AD14+'Balance Sheet'!AD16+'Balance Sheet'!AD17</f>
        <v>1331</v>
      </c>
      <c r="AE9" s="96">
        <f>AJ76</f>
        <v>2.5670701964436167E-2</v>
      </c>
      <c r="AF9" s="32">
        <f>'Income Statement Forecast'!AF6*'Balance Sheet Forecast'!$AE$9</f>
        <v>1865.3950694377661</v>
      </c>
      <c r="AG9" s="32">
        <f>'Income Statement Forecast'!AG6*'Balance Sheet Forecast'!$AE$9</f>
        <v>2224.2735040599955</v>
      </c>
      <c r="AH9" s="32">
        <f>'Income Statement Forecast'!AH6*'Balance Sheet Forecast'!$AE$9</f>
        <v>2652.2017410053954</v>
      </c>
      <c r="AI9" s="32">
        <f>'Income Statement Forecast'!AI6*'Balance Sheet Forecast'!$AE$9</f>
        <v>3162.4665689947419</v>
      </c>
      <c r="AJ9" s="32">
        <f>'Income Statement Forecast'!AJ6*'Balance Sheet Forecast'!$AE$9</f>
        <v>3770.9117400926812</v>
      </c>
      <c r="AL9" s="185" t="s">
        <v>25</v>
      </c>
      <c r="AM9" s="32">
        <f>AR67</f>
        <v>988.8900000000001</v>
      </c>
      <c r="AN9" s="96">
        <f>AS67</f>
        <v>6.7740844693501154E-2</v>
      </c>
      <c r="AO9" s="32">
        <f>'Income Statement Forecast'!AO6*'Balance Sheet Forecast'!$AN$9</f>
        <v>1529.2764245156059</v>
      </c>
      <c r="AP9" s="32">
        <f>'Income Statement Forecast'!AP6*'Balance Sheet Forecast'!$AN$9</f>
        <v>1990.3252589941369</v>
      </c>
      <c r="AQ9" s="32">
        <f>'Income Statement Forecast'!AQ6*'Balance Sheet Forecast'!$AN$9</f>
        <v>2591.2599423854804</v>
      </c>
      <c r="AR9" s="32">
        <f>'Income Statement Forecast'!AR6*'Balance Sheet Forecast'!$AN$9</f>
        <v>3374.5815284560608</v>
      </c>
      <c r="AS9" s="32">
        <f>'Income Statement Forecast'!AS6*'Balance Sheet Forecast'!$AN$9</f>
        <v>4395.7078655161522</v>
      </c>
      <c r="AU9" s="63" t="s">
        <v>16</v>
      </c>
      <c r="AV9" s="32">
        <f>'Balance Sheet'!AS7</f>
        <v>1363.1220000000001</v>
      </c>
      <c r="AW9" s="96">
        <f>AVERAGE('Balance Sheet'!AP7:AS7)/AVERAGE('Balance Sheet Forecast'!AW40:AZ40)</f>
        <v>6.5358523750988523E-2</v>
      </c>
      <c r="AX9" s="32">
        <f>'Income Statement Forecast'!AX6*'Balance Sheet Forecast'!$AW$9</f>
        <v>1628.1729668553048</v>
      </c>
      <c r="AY9" s="32">
        <f>'Income Statement Forecast'!AY6*'Balance Sheet Forecast'!$AW$9</f>
        <v>1968.6887870332537</v>
      </c>
      <c r="AZ9" s="32">
        <f>'Income Statement Forecast'!AZ6*'Balance Sheet Forecast'!$AW$9</f>
        <v>2380.4209621973023</v>
      </c>
      <c r="BA9" s="32">
        <f>'Income Statement Forecast'!BA6*'Balance Sheet Forecast'!$AW$9</f>
        <v>2878.2640684764392</v>
      </c>
      <c r="BB9" s="32">
        <f>'Income Statement Forecast'!BB6*'Balance Sheet Forecast'!$AW$9</f>
        <v>3480.2278594565837</v>
      </c>
      <c r="BC9" s="32">
        <f>'Income Statement Forecast'!BC6*'Balance Sheet Forecast'!$AW$9</f>
        <v>4208.0888104963078</v>
      </c>
    </row>
    <row r="10" spans="1:55" x14ac:dyDescent="0.3">
      <c r="A10" s="34" t="s">
        <v>22</v>
      </c>
      <c r="B10" s="32">
        <f>'Balance Sheet'!G13</f>
        <v>168.12</v>
      </c>
      <c r="C10" s="96">
        <f>('Balance Sheet'!G13/'Balance Sheet'!F13)^(1/6)-1</f>
        <v>-5.4127614039949701E-2</v>
      </c>
      <c r="D10" s="32">
        <f>Table22[[#This Row],[2025 (Current)]]*(1+C10)</f>
        <v>159.02006552760366</v>
      </c>
      <c r="E10" s="32">
        <f>Table22[[#This Row],[2026]]*(1+$C$10)</f>
        <v>150.41268879611803</v>
      </c>
      <c r="F10" s="32">
        <f>Table22[[#This Row],[2027]]*(1+$C$10)</f>
        <v>142.27120883025069</v>
      </c>
      <c r="G10" s="32">
        <f>Table22[[#This Row],[2028]]*(1+$C$10)</f>
        <v>134.57040774968979</v>
      </c>
      <c r="H10" s="32">
        <f>Table22[[#This Row],[2029]]*(1+$C$10)</f>
        <v>127.28643265781592</v>
      </c>
      <c r="J10" s="34" t="s">
        <v>22</v>
      </c>
      <c r="K10" s="32">
        <f>'Balance Sheet'!N11</f>
        <v>2</v>
      </c>
      <c r="L10" s="96"/>
      <c r="M10" s="32">
        <f>$K$10</f>
        <v>2</v>
      </c>
      <c r="N10" s="32">
        <f t="shared" ref="N10:R10" si="3">$K$10</f>
        <v>2</v>
      </c>
      <c r="O10" s="32">
        <f t="shared" si="3"/>
        <v>2</v>
      </c>
      <c r="P10" s="32">
        <f t="shared" si="3"/>
        <v>2</v>
      </c>
      <c r="Q10" s="32">
        <f t="shared" si="3"/>
        <v>2</v>
      </c>
      <c r="R10" s="32">
        <f t="shared" si="3"/>
        <v>2</v>
      </c>
      <c r="T10" s="188" t="s">
        <v>22</v>
      </c>
      <c r="U10" s="189">
        <f>'Balance Sheet'!V14</f>
        <v>13720.54</v>
      </c>
      <c r="V10" s="190">
        <f>('Balance Sheet'!V14/'Balance Sheet'!Q14)^(1/6)-1</f>
        <v>4.6453223118179343E-2</v>
      </c>
      <c r="W10" s="189">
        <f>Table32[[#This Row],[2025 (Current)]]*(1+V10)</f>
        <v>14357.903305921905</v>
      </c>
      <c r="X10" s="189">
        <f>Table32[[#This Row],[2026]]*(1+$V$10)</f>
        <v>15024.874191701141</v>
      </c>
      <c r="Y10" s="189">
        <f>Table32[[#This Row],[2027]]*(1+$V$10)</f>
        <v>15722.828024850809</v>
      </c>
      <c r="Z10" s="189">
        <f>Table32[[#This Row],[2028]]*(1+$V$10)</f>
        <v>16453.204063137968</v>
      </c>
      <c r="AA10" s="189">
        <f>Table32[[#This Row],[2029]]*(1+$V$10)</f>
        <v>17217.50842249185</v>
      </c>
      <c r="AC10" s="63" t="s">
        <v>16</v>
      </c>
      <c r="AD10" s="128">
        <f>'Balance Sheet'!AD7</f>
        <v>1774</v>
      </c>
      <c r="AE10" s="96">
        <f>AVERAGE('Balance Sheet'!Y7:AD7)/AVERAGE('Income Statement'!Y6:AD6)</f>
        <v>3.2934237949536607E-2</v>
      </c>
      <c r="AF10" s="128">
        <f>'Income Statement Forecast'!AF6*$AE$10</f>
        <v>2393.2093938010516</v>
      </c>
      <c r="AG10" s="128">
        <f>'Income Statement Forecast'!AG6*$AE$10</f>
        <v>2853.6326333828965</v>
      </c>
      <c r="AH10" s="128">
        <f>'Income Statement Forecast'!AH6*$AE$10</f>
        <v>3402.6433460782641</v>
      </c>
      <c r="AI10" s="128">
        <f>'Income Statement Forecast'!AI6*$AE$10</f>
        <v>4057.287823099663</v>
      </c>
      <c r="AJ10" s="128">
        <f>'Income Statement Forecast'!AJ6*$AE$10</f>
        <v>4837.8928128637663</v>
      </c>
      <c r="AL10" s="63" t="s">
        <v>16</v>
      </c>
      <c r="AM10" s="128">
        <f>Trent_BS[[#This Row],[2025]]</f>
        <v>1726.75</v>
      </c>
      <c r="AN10" s="96">
        <f>AVERAGE(Trent_BS[[#This Row],[2020]:[2025]])/AVERAGE('Balance Sheet Forecast'!AM40:AR40)</f>
        <v>0.29516936269136018</v>
      </c>
      <c r="AO10" s="128">
        <f>'Income Statement Forecast'!AO6*'Balance Sheet Forecast'!$AN$10</f>
        <v>6663.5653813525423</v>
      </c>
      <c r="AP10" s="128">
        <f>'Income Statement Forecast'!AP6*'Balance Sheet Forecast'!$AN$10</f>
        <v>8672.5083057929023</v>
      </c>
      <c r="AQ10" s="128">
        <f>'Income Statement Forecast'!AQ6*'Balance Sheet Forecast'!$AN$10</f>
        <v>11290.98034165717</v>
      </c>
      <c r="AR10" s="128">
        <f>'Income Statement Forecast'!AR6*'Balance Sheet Forecast'!$AN$10</f>
        <v>14704.17269833619</v>
      </c>
      <c r="AS10" s="128">
        <f>'Income Statement Forecast'!AS6*'Balance Sheet Forecast'!$AN$10</f>
        <v>19153.559349788829</v>
      </c>
      <c r="AU10" s="34" t="s">
        <v>25</v>
      </c>
      <c r="AV10" s="32">
        <f>'Balance Sheet Forecast'!AZ76</f>
        <v>1852.5139999999999</v>
      </c>
      <c r="AW10" s="236">
        <f>BB76</f>
        <v>0.10045812654299341</v>
      </c>
      <c r="AX10" s="32">
        <f>'Income Statement Forecast'!AX6*'Balance Sheet Forecast'!$AW$10</f>
        <v>2502.5535546273318</v>
      </c>
      <c r="AY10" s="32">
        <f>'Income Statement Forecast'!AY6*'Balance Sheet Forecast'!$AW$10</f>
        <v>3025.9371837260569</v>
      </c>
      <c r="AZ10" s="32">
        <f>'Income Statement Forecast'!AZ6*'Balance Sheet Forecast'!$AW$10</f>
        <v>3658.7826119985452</v>
      </c>
      <c r="BA10" s="32">
        <f>'Income Statement Forecast'!BA6*'Balance Sheet Forecast'!$AW$10</f>
        <v>4423.9832759500468</v>
      </c>
      <c r="BB10" s="32">
        <f>'Income Statement Forecast'!BB6*'Balance Sheet Forecast'!$AW$10</f>
        <v>5349.2207387632852</v>
      </c>
      <c r="BC10" s="32">
        <f>'Income Statement Forecast'!BC6*'Balance Sheet Forecast'!$AW$10</f>
        <v>6467.9661346022822</v>
      </c>
    </row>
    <row r="11" spans="1:55" x14ac:dyDescent="0.3">
      <c r="A11" s="18" t="s">
        <v>33</v>
      </c>
      <c r="B11" s="40"/>
      <c r="C11" s="99"/>
      <c r="D11" s="40"/>
      <c r="E11" s="40"/>
      <c r="F11" s="40"/>
      <c r="G11" s="40"/>
      <c r="H11" s="40"/>
      <c r="J11" s="18" t="s">
        <v>33</v>
      </c>
      <c r="K11" s="40"/>
      <c r="L11" s="99"/>
      <c r="M11" s="40"/>
      <c r="N11" s="40"/>
      <c r="O11" s="40"/>
      <c r="P11" s="40"/>
      <c r="Q11" s="40"/>
      <c r="R11" s="153"/>
      <c r="T11" s="168" t="s">
        <v>33</v>
      </c>
      <c r="U11" s="40"/>
      <c r="V11" s="99"/>
      <c r="W11" s="40"/>
      <c r="X11" s="40"/>
      <c r="Y11" s="40"/>
      <c r="Z11" s="40"/>
      <c r="AA11" s="191"/>
      <c r="AC11" s="188" t="s">
        <v>22</v>
      </c>
      <c r="AD11" s="32">
        <f>'Balance Sheet'!AD12</f>
        <v>651</v>
      </c>
      <c r="AE11" s="96">
        <f>AVERAGE('Balance Sheet'!Y12:AD12)/AVERAGE('Income Statement'!Y6:AD6)</f>
        <v>8.970777349119774E-3</v>
      </c>
      <c r="AF11" s="32">
        <f>'Income Statement Forecast'!AF6*'Balance Sheet Forecast'!$AE$11</f>
        <v>651.87324675636569</v>
      </c>
      <c r="AG11" s="32">
        <f>'Income Statement Forecast'!AG6*'Balance Sheet Forecast'!$AE$11</f>
        <v>777.28542040306991</v>
      </c>
      <c r="AH11" s="32">
        <f>'Income Statement Forecast'!AH6*'Balance Sheet Forecast'!$AE$11</f>
        <v>926.82745241905604</v>
      </c>
      <c r="AI11" s="32">
        <f>'Income Statement Forecast'!AI6*'Balance Sheet Forecast'!$AE$11</f>
        <v>1105.1424890441119</v>
      </c>
      <c r="AJ11" s="32">
        <f>'Income Statement Forecast'!AJ6*'Balance Sheet Forecast'!$AE$11</f>
        <v>1317.7672223540326</v>
      </c>
      <c r="AL11" s="227" t="s">
        <v>22</v>
      </c>
      <c r="AM11" s="228">
        <f>Trent_BS[[#This Row],[2025]]</f>
        <v>845.56</v>
      </c>
      <c r="AN11" s="229">
        <f>AS68</f>
        <v>8.8987354424339318E-2</v>
      </c>
      <c r="AO11" s="228">
        <f>'Income Statement Forecast'!AO6*'Balance Sheet Forecast'!$AN$11</f>
        <v>2008.924804774575</v>
      </c>
      <c r="AP11" s="228">
        <f>'Income Statement Forecast'!AP6*'Balance Sheet Forecast'!$AN$11</f>
        <v>2614.5788415127035</v>
      </c>
      <c r="AQ11" s="228">
        <f>'Income Statement Forecast'!AQ6*'Balance Sheet Forecast'!$AN$11</f>
        <v>3403.9930848510935</v>
      </c>
      <c r="AR11" s="228">
        <f>'Income Statement Forecast'!AR6*'Balance Sheet Forecast'!$AN$11</f>
        <v>4432.9987892128775</v>
      </c>
      <c r="AS11" s="228">
        <f>'Income Statement Forecast'!AS6*'Balance Sheet Forecast'!$AN$11</f>
        <v>5774.3952787182889</v>
      </c>
      <c r="AU11" s="106" t="s">
        <v>22</v>
      </c>
      <c r="AV11" s="152">
        <f>'Balance Sheet'!AS12</f>
        <v>6.0549999999999997</v>
      </c>
      <c r="AW11" s="152"/>
      <c r="AX11" s="152">
        <f>$AV$11</f>
        <v>6.0549999999999997</v>
      </c>
      <c r="AY11" s="152">
        <f t="shared" ref="AY11:BC11" si="4">$AV$11</f>
        <v>6.0549999999999997</v>
      </c>
      <c r="AZ11" s="152">
        <f t="shared" si="4"/>
        <v>6.0549999999999997</v>
      </c>
      <c r="BA11" s="152">
        <f t="shared" si="4"/>
        <v>6.0549999999999997</v>
      </c>
      <c r="BB11" s="152">
        <f t="shared" si="4"/>
        <v>6.0549999999999997</v>
      </c>
      <c r="BC11" s="152">
        <f t="shared" si="4"/>
        <v>6.0549999999999997</v>
      </c>
    </row>
    <row r="12" spans="1:55" x14ac:dyDescent="0.3">
      <c r="A12" s="34" t="s">
        <v>34</v>
      </c>
      <c r="B12" s="32">
        <f>'Balance Sheet'!G19</f>
        <v>5044.37</v>
      </c>
      <c r="C12" s="96">
        <f>('Balance Sheet'!G19/'Balance Sheet'!B19)^(1/6)-1</f>
        <v>0.17190379708635328</v>
      </c>
      <c r="D12" s="32">
        <f>Table22[[#This Row],[2025 (Current)]]*(1+C12)</f>
        <v>5911.516356908488</v>
      </c>
      <c r="E12" s="32">
        <f>Table22[[#This Row],[2026]]*(1+$C$12)</f>
        <v>6927.7284651991431</v>
      </c>
      <c r="F12" s="32">
        <f>Table22[[#This Row],[2027]]*(1+$C$12)</f>
        <v>8118.63129355009</v>
      </c>
      <c r="G12" s="32">
        <f>Table22[[#This Row],[2028]]*(1+$C$12)</f>
        <v>9514.2548400554424</v>
      </c>
      <c r="H12" s="32">
        <f>Table22[[#This Row],[2029]]*(1+$C$12)</f>
        <v>11149.791373508187</v>
      </c>
      <c r="J12" s="63" t="s">
        <v>22</v>
      </c>
      <c r="K12" s="32">
        <f>'Balance Sheet'!N20</f>
        <v>4558</v>
      </c>
      <c r="L12" s="96">
        <f>AVERAGE('Balance Sheet'!J20:N20)/AVERAGE('Income Statement'!J6:N6)</f>
        <v>5.5799754876000543E-2</v>
      </c>
      <c r="M12" s="32">
        <f>'Income Statement Forecast'!M6*'Balance Sheet Forecast'!$L$12</f>
        <v>3765.0000341628461</v>
      </c>
      <c r="N12" s="32">
        <f>'Income Statement Forecast'!N6*'Balance Sheet Forecast'!$L$12</f>
        <v>4051.232735157269</v>
      </c>
      <c r="O12" s="32">
        <f>'Income Statement Forecast'!O6*'Balance Sheet Forecast'!$L$12</f>
        <v>4359.2800562609327</v>
      </c>
      <c r="P12" s="32">
        <f>'Income Statement Forecast'!P6*'Balance Sheet Forecast'!$L$12</f>
        <v>4690.8068523686979</v>
      </c>
      <c r="Q12" s="32">
        <f>'Income Statement Forecast'!Q6*'Balance Sheet Forecast'!$L$12</f>
        <v>5047.6051351874448</v>
      </c>
      <c r="R12" s="32">
        <f>'Income Statement Forecast'!R6*'Balance Sheet Forecast'!$L$12</f>
        <v>5431.603789268519</v>
      </c>
      <c r="T12" s="188" t="s">
        <v>34</v>
      </c>
      <c r="U12" s="189">
        <f>'Balance Sheet'!V22</f>
        <v>15637.56</v>
      </c>
      <c r="V12" s="190">
        <f>AA66</f>
        <v>0.47658368509647414</v>
      </c>
      <c r="W12" s="189">
        <f>'Income Statement Forecast'!W8*'Balance Sheet Forecast'!$V$12</f>
        <v>15682.762915692962</v>
      </c>
      <c r="X12" s="189">
        <f>'Income Statement Forecast'!X8*'Balance Sheet Forecast'!$V$12</f>
        <v>16902.552643981013</v>
      </c>
      <c r="Y12" s="189">
        <f>'Income Statement Forecast'!Y8*'Balance Sheet Forecast'!$V$12</f>
        <v>18220.244061099103</v>
      </c>
      <c r="Z12" s="189">
        <f>'Income Statement Forecast'!Z8*'Balance Sheet Forecast'!$V$12</f>
        <v>19643.681067422101</v>
      </c>
      <c r="AA12" s="189">
        <f>'Income Statement Forecast'!AA8*'Balance Sheet Forecast'!$V$12</f>
        <v>21181.33607893412</v>
      </c>
      <c r="AC12" s="168" t="s">
        <v>33</v>
      </c>
      <c r="AD12" s="154"/>
      <c r="AE12" s="220"/>
      <c r="AF12" s="154"/>
      <c r="AG12" s="154"/>
      <c r="AH12" s="154"/>
      <c r="AI12" s="154"/>
      <c r="AJ12" s="169"/>
      <c r="AL12" s="168" t="s">
        <v>33</v>
      </c>
      <c r="AM12" s="154"/>
      <c r="AN12" s="220"/>
      <c r="AO12" s="154"/>
      <c r="AP12" s="154"/>
      <c r="AQ12" s="154"/>
      <c r="AR12" s="154"/>
      <c r="AS12" s="154"/>
      <c r="AU12" s="134" t="s">
        <v>33</v>
      </c>
      <c r="AV12" s="159"/>
      <c r="AW12" s="159"/>
      <c r="AX12" s="159"/>
      <c r="AY12" s="159"/>
      <c r="AZ12" s="159"/>
      <c r="BA12" s="159"/>
      <c r="BB12" s="159"/>
      <c r="BC12" s="157"/>
    </row>
    <row r="13" spans="1:55" x14ac:dyDescent="0.3">
      <c r="A13" s="34" t="s">
        <v>35</v>
      </c>
      <c r="B13" s="32">
        <f>'Balance Sheet'!G22</f>
        <v>153.79</v>
      </c>
      <c r="C13" s="96">
        <f>'Balance Sheet Forecast'!H52</f>
        <v>2.0040582110512004E-3</v>
      </c>
      <c r="D13" s="32">
        <f>'Income Statement Forecast'!D4*$C$13</f>
        <v>137.51709264586628</v>
      </c>
      <c r="E13" s="32">
        <f>'Income Statement Forecast'!E4*$C$13</f>
        <v>158.97301342342817</v>
      </c>
      <c r="F13" s="32">
        <f>'Income Statement Forecast'!F4*$C$13</f>
        <v>183.77656559397275</v>
      </c>
      <c r="G13" s="32">
        <f>'Income Statement Forecast'!G4*$C$13</f>
        <v>212.4500588760838</v>
      </c>
      <c r="H13" s="32">
        <f>'Income Statement Forecast'!H4*$C$13</f>
        <v>245.59729566483824</v>
      </c>
      <c r="J13" s="34" t="s">
        <v>34</v>
      </c>
      <c r="K13" s="32">
        <f>'Balance Sheet'!N19</f>
        <v>4022</v>
      </c>
      <c r="L13" s="96">
        <f>AVERAGE('Balance Sheet'!J19:N19)/AVERAGE('Balance Sheet Forecast'!K43:O43)</f>
        <v>0.13350781237756429</v>
      </c>
      <c r="M13" s="32">
        <f>'Income Statement Forecast'!M8*'Balance Sheet Forecast'!$L$13</f>
        <v>4325.2169465115348</v>
      </c>
      <c r="N13" s="32">
        <f>'Income Statement Forecast'!N8*'Balance Sheet Forecast'!$L$13</f>
        <v>4654.039925994487</v>
      </c>
      <c r="O13" s="32">
        <f>'Income Statement Forecast'!O8*'Balance Sheet Forecast'!$L$13</f>
        <v>5007.9234536107897</v>
      </c>
      <c r="P13" s="32">
        <f>'Income Statement Forecast'!P8*'Balance Sheet Forecast'!$L$13</f>
        <v>5388.7801079897627</v>
      </c>
      <c r="Q13" s="32">
        <f>'Income Statement Forecast'!Q8*'Balance Sheet Forecast'!$L$13</f>
        <v>5798.6685449966435</v>
      </c>
      <c r="R13" s="32">
        <f>'Income Statement Forecast'!R8*'Balance Sheet Forecast'!$L$13</f>
        <v>6239.804659471708</v>
      </c>
      <c r="T13" s="63" t="s">
        <v>22</v>
      </c>
      <c r="U13" s="127">
        <f>'Balance Sheet'!V25</f>
        <v>16287.5</v>
      </c>
      <c r="V13" s="63"/>
      <c r="W13" s="127">
        <f>AVERAGE('Balance Sheet'!$Q$25:$V$25)</f>
        <v>15253.953333333333</v>
      </c>
      <c r="X13" s="127">
        <f>AVERAGE('Balance Sheet'!$Q$25:$V$25)</f>
        <v>15253.953333333333</v>
      </c>
      <c r="Y13" s="127">
        <f>AVERAGE('Balance Sheet'!$Q$25:$V$25)</f>
        <v>15253.953333333333</v>
      </c>
      <c r="Z13" s="127">
        <f>AVERAGE('Balance Sheet'!$Q$25:$V$25)</f>
        <v>15253.953333333333</v>
      </c>
      <c r="AA13" s="127">
        <f>AVERAGE('Balance Sheet'!$Q$25:$V$25)</f>
        <v>15253.953333333333</v>
      </c>
      <c r="AC13" s="63" t="s">
        <v>34</v>
      </c>
      <c r="AD13" s="32">
        <f>'Balance Sheet'!AD20</f>
        <v>28184</v>
      </c>
      <c r="AE13" s="96">
        <f>AJ66</f>
        <v>0.54985689574102914</v>
      </c>
      <c r="AF13" s="32">
        <f>'Income Statement Forecast'!AF8*'Balance Sheet Forecast'!$AE$13</f>
        <v>29947.811640104268</v>
      </c>
      <c r="AG13" s="32">
        <f>'Income Statement Forecast'!AG8*'Balance Sheet Forecast'!$AE$13</f>
        <v>35709.392089119479</v>
      </c>
      <c r="AH13" s="32">
        <f>'Income Statement Forecast'!AH8*'Balance Sheet Forecast'!$AE$13</f>
        <v>42579.526167143689</v>
      </c>
      <c r="AI13" s="32">
        <f>'Income Statement Forecast'!AI8*'Balance Sheet Forecast'!$AE$13</f>
        <v>50771.525387877657</v>
      </c>
      <c r="AJ13" s="32">
        <f>'Income Statement Forecast'!AJ8*'Balance Sheet Forecast'!$AE$13</f>
        <v>60539.751795200653</v>
      </c>
      <c r="AL13" s="63" t="s">
        <v>34</v>
      </c>
      <c r="AM13" s="32">
        <f>'Balance Sheet'!AL18</f>
        <v>2045.05</v>
      </c>
      <c r="AN13" s="96">
        <f>AS60</f>
        <v>0.27981058069554937</v>
      </c>
      <c r="AO13" s="32">
        <f>'Income Statement Forecast'!AO8*'Balance Sheet Forecast'!$AN$13</f>
        <v>3432.631645430652</v>
      </c>
      <c r="AP13" s="32">
        <f>'Income Statement Forecast'!AP8*'Balance Sheet Forecast'!$AN$13</f>
        <v>4467.5072205388033</v>
      </c>
      <c r="AQ13" s="32">
        <f>'Income Statement Forecast'!AQ8*'Balance Sheet Forecast'!$AN$13</f>
        <v>5816.3721987583931</v>
      </c>
      <c r="AR13" s="32">
        <f>'Income Statement Forecast'!AR8*'Balance Sheet Forecast'!$AN$13</f>
        <v>7574.6249395907071</v>
      </c>
      <c r="AS13" s="32">
        <f>'Income Statement Forecast'!AS8*'Balance Sheet Forecast'!$AN$13</f>
        <v>9866.6569897711743</v>
      </c>
      <c r="AU13" s="241" t="s">
        <v>22</v>
      </c>
      <c r="AV13" s="158">
        <v>0</v>
      </c>
      <c r="AW13" s="158"/>
      <c r="AX13" s="158">
        <v>0</v>
      </c>
      <c r="AY13" s="158">
        <v>0</v>
      </c>
      <c r="AZ13" s="158">
        <v>0</v>
      </c>
      <c r="BA13" s="158">
        <v>0</v>
      </c>
      <c r="BB13" s="158">
        <v>0</v>
      </c>
      <c r="BC13" s="158">
        <v>0</v>
      </c>
    </row>
    <row r="14" spans="1:55" x14ac:dyDescent="0.3">
      <c r="A14" s="34" t="s">
        <v>550</v>
      </c>
      <c r="B14" s="32">
        <f>'Balance Sheet'!G24+'Balance Sheet'!G25+'Balance Sheet'!G26+'Balance Sheet'!G21</f>
        <v>838.56000000000006</v>
      </c>
      <c r="C14" s="96">
        <f>'Balance Sheet'!B65</f>
        <v>3.1326713425095506E-2</v>
      </c>
      <c r="D14" s="32">
        <f>'Income Statement Forecast'!D4*'Balance Sheet Forecast'!$C$14</f>
        <v>2149.6174754872432</v>
      </c>
      <c r="E14" s="32">
        <f>'Income Statement Forecast'!E4*'Balance Sheet Forecast'!$C$14</f>
        <v>2485.0086720920913</v>
      </c>
      <c r="F14" s="32">
        <f>'Income Statement Forecast'!F4*'Balance Sheet Forecast'!$C$14</f>
        <v>2872.7288323580369</v>
      </c>
      <c r="G14" s="32">
        <f>'Income Statement Forecast'!G4*'Balance Sheet Forecast'!$C$14</f>
        <v>3320.942512974595</v>
      </c>
      <c r="H14" s="32">
        <f>'Income Statement Forecast'!H4*'Balance Sheet Forecast'!$C$14</f>
        <v>3839.0881346880574</v>
      </c>
      <c r="J14" s="34" t="s">
        <v>35</v>
      </c>
      <c r="K14" s="32">
        <f>'Balance Sheet'!N22</f>
        <v>2997</v>
      </c>
      <c r="L14" s="166">
        <f>R58</f>
        <v>3.738104928455703E-2</v>
      </c>
      <c r="M14" s="32">
        <f>'Income Statement Forecast'!M6*$L$14</f>
        <v>2522.2270625767987</v>
      </c>
      <c r="N14" s="32">
        <f>'Income Statement Forecast'!N6*$L$14</f>
        <v>2713.9784193076921</v>
      </c>
      <c r="O14" s="32">
        <f>'Income Statement Forecast'!O6*$L$14</f>
        <v>2920.3437002617216</v>
      </c>
      <c r="P14" s="32">
        <f>'Income Statement Forecast'!P6*$L$14</f>
        <v>3142.4382154078057</v>
      </c>
      <c r="Q14" s="32">
        <f>'Income Statement Forecast'!Q6*$L$14</f>
        <v>3381.462458871451</v>
      </c>
      <c r="R14" s="32">
        <f>'Income Statement Forecast'!R6*$L$14</f>
        <v>3638.7086178430554</v>
      </c>
      <c r="T14" s="185" t="s">
        <v>35</v>
      </c>
      <c r="U14" s="186">
        <f>Z59</f>
        <v>4719.67</v>
      </c>
      <c r="V14" s="187">
        <f>AA60</f>
        <v>4.5890579895223271E-2</v>
      </c>
      <c r="W14" s="186">
        <f>'Income Statement Forecast'!W6*'Balance Sheet Forecast'!$V$14</f>
        <v>4160.9314504398826</v>
      </c>
      <c r="X14" s="186">
        <f>'Income Statement Forecast'!X6*'Balance Sheet Forecast'!$V$14</f>
        <v>4484.5645672982973</v>
      </c>
      <c r="Y14" s="186">
        <f>'Income Statement Forecast'!Y6*'Balance Sheet Forecast'!$V$14</f>
        <v>4834.1728403389461</v>
      </c>
      <c r="Z14" s="186">
        <f>'Income Statement Forecast'!Z6*'Balance Sheet Forecast'!$V$14</f>
        <v>5211.8374036030309</v>
      </c>
      <c r="AA14" s="186">
        <f>'Income Statement Forecast'!AA6*'Balance Sheet Forecast'!$V$14</f>
        <v>5619.8061481234636</v>
      </c>
      <c r="AC14" s="63" t="s">
        <v>22</v>
      </c>
      <c r="AD14" s="32">
        <f>'Balance Sheet'!AD21</f>
        <v>1337</v>
      </c>
      <c r="AE14" s="96">
        <f>AVERAGE('Balance Sheet'!Y21:AD21)/AVERAGE('Income Statement'!Y6:AD6)</f>
        <v>3.5923018934858768E-2</v>
      </c>
      <c r="AF14" s="32">
        <f>'Income Statement Forecast'!AF6*'Balance Sheet Forecast'!$AE$14</f>
        <v>2610.3930657307556</v>
      </c>
      <c r="AG14" s="32">
        <f>'Income Statement Forecast'!AG6*'Balance Sheet Forecast'!$AE$14</f>
        <v>3112.5996988063612</v>
      </c>
      <c r="AH14" s="32">
        <f>'Income Statement Forecast'!AH6*'Balance Sheet Forecast'!$AE$14</f>
        <v>3711.4331151986025</v>
      </c>
      <c r="AI14" s="32">
        <f>'Income Statement Forecast'!AI6*'Balance Sheet Forecast'!$AE$14</f>
        <v>4425.4865564737274</v>
      </c>
      <c r="AJ14" s="32">
        <f>'Income Statement Forecast'!AJ6*'Balance Sheet Forecast'!$AE$14</f>
        <v>5276.9314227830046</v>
      </c>
      <c r="AL14" s="63" t="s">
        <v>22</v>
      </c>
      <c r="AM14" s="32">
        <f>'Balance Sheet'!AL19</f>
        <v>634.69000000000005</v>
      </c>
      <c r="AN14" s="96">
        <f>AS69</f>
        <v>7.8109080181074847E-2</v>
      </c>
      <c r="AO14" s="32">
        <f>'Income Statement Forecast'!AO6*'Balance Sheet Forecast'!$AN$14</f>
        <v>1763.3434510889206</v>
      </c>
      <c r="AP14" s="32">
        <f>'Income Statement Forecast'!AP6*'Balance Sheet Forecast'!$AN$14</f>
        <v>2294.9592073230551</v>
      </c>
      <c r="AQ14" s="32">
        <f>'Income Statement Forecast'!AQ6*'Balance Sheet Forecast'!$AN$14</f>
        <v>2987.8713725164489</v>
      </c>
      <c r="AR14" s="32">
        <f>'Income Statement Forecast'!AR6*'Balance Sheet Forecast'!$AN$14</f>
        <v>3891.0860999203946</v>
      </c>
      <c r="AS14" s="32">
        <f>'Income Statement Forecast'!AS6*'Balance Sheet Forecast'!$AN$14</f>
        <v>5068.5033479235899</v>
      </c>
      <c r="AU14" s="34" t="s">
        <v>34</v>
      </c>
      <c r="AV14" s="32">
        <f>AZ65</f>
        <v>2791.2339999999999</v>
      </c>
      <c r="AW14" s="236">
        <f>BB66</f>
        <v>0.32345698898227276</v>
      </c>
      <c r="AX14" s="32">
        <f>'Income Statement Forecast'!AX8*'Balance Sheet Forecast'!$AW$14</f>
        <v>3571.4913990183854</v>
      </c>
      <c r="AY14" s="32">
        <f>'Income Statement Forecast'!AY8*'Balance Sheet Forecast'!$AW$14</f>
        <v>4318.4325089326094</v>
      </c>
      <c r="AZ14" s="32">
        <f>'Income Statement Forecast'!AZ8*'Balance Sheet Forecast'!$AW$14</f>
        <v>5221.5908049075688</v>
      </c>
      <c r="BA14" s="32">
        <f>'Income Statement Forecast'!BA8*'Balance Sheet Forecast'!$AW$14</f>
        <v>6313.6383995625074</v>
      </c>
      <c r="BB14" s="32">
        <f>'Income Statement Forecast'!BB8*'Balance Sheet Forecast'!$AW$14</f>
        <v>7634.0807271110834</v>
      </c>
      <c r="BC14" s="32">
        <f>'Income Statement Forecast'!BC8*'Balance Sheet Forecast'!$AW$14</f>
        <v>9230.685743432261</v>
      </c>
    </row>
    <row r="15" spans="1:55" x14ac:dyDescent="0.3">
      <c r="A15" s="34" t="s">
        <v>36</v>
      </c>
      <c r="B15" s="32">
        <f>'Balance Sheet'!G23</f>
        <v>355.48</v>
      </c>
      <c r="C15" s="96"/>
      <c r="D15" s="32">
        <f>D33-SUM(D5:D10,D12:D14)</f>
        <v>434.99962366749241</v>
      </c>
      <c r="E15" s="32">
        <f t="shared" ref="E15:H15" si="5">E33-SUM(E5:E10,E12:E14)</f>
        <v>461.8368506940169</v>
      </c>
      <c r="F15" s="32">
        <f t="shared" si="5"/>
        <v>498.93507432685146</v>
      </c>
      <c r="G15" s="32">
        <f t="shared" si="5"/>
        <v>549.28336830990156</v>
      </c>
      <c r="H15" s="32">
        <f t="shared" si="5"/>
        <v>616.65258105827525</v>
      </c>
      <c r="J15" s="34" t="s">
        <v>550</v>
      </c>
      <c r="K15" s="32">
        <f>'Balance Sheet'!N21+'Balance Sheet'!N24+'Balance Sheet'!N25+'Balance Sheet'!N26+'Balance Sheet'!N27</f>
        <v>8922</v>
      </c>
      <c r="L15" s="96">
        <f>(AVERAGE('Balance Sheet'!J21:N21)+AVERAGE('Balance Sheet'!J24:N24)+AVERAGE('Balance Sheet'!J25:N25)+AVERAGE('Balance Sheet'!J26:N26)++AVERAGE('Balance Sheet'!J27:N27))/AVERAGE('Income Statement'!J6:N6)</f>
        <v>9.7981509782263304E-2</v>
      </c>
      <c r="M15" s="32">
        <f>'Income Statement Forecast'!M6*'Balance Sheet Forecast'!$L$15</f>
        <v>6611.1471008667913</v>
      </c>
      <c r="N15" s="32">
        <f>'Income Statement Forecast'!N6*'Balance Sheet Forecast'!$L$15</f>
        <v>7113.7570541687728</v>
      </c>
      <c r="O15" s="32">
        <f>'Income Statement Forecast'!O6*'Balance Sheet Forecast'!$L$15</f>
        <v>7654.6723623666649</v>
      </c>
      <c r="P15" s="32">
        <f>'Income Statement Forecast'!P6*'Balance Sheet Forecast'!$L$15</f>
        <v>8236.8164253307586</v>
      </c>
      <c r="Q15" s="32">
        <f>'Income Statement Forecast'!Q6*'Balance Sheet Forecast'!$L$15</f>
        <v>8863.3359237763671</v>
      </c>
      <c r="R15" s="32">
        <f>'Income Statement Forecast'!R6*'Balance Sheet Forecast'!$L$15</f>
        <v>9537.6178801188507</v>
      </c>
      <c r="T15" s="188" t="s">
        <v>550</v>
      </c>
      <c r="U15" s="189">
        <f>'Balance Sheet'!V28+'Balance Sheet'!V29+'Balance Sheet'!V30+'Balance Sheet'!V31</f>
        <v>6429.9700000000012</v>
      </c>
      <c r="V15" s="190">
        <f>(('Balance Sheet'!V28+'Balance Sheet'!V29+'Balance Sheet'!V30+'Balance Sheet'!V31)/('Balance Sheet'!Q28+'Balance Sheet'!Q29+'Balance Sheet'!Q30+'Balance Sheet'!Q31))^(1/6)-1</f>
        <v>-6.0973116736625088E-2</v>
      </c>
      <c r="W15" s="189">
        <f>Table32[[#This Row],[2025 (Current)]]*(1+V15)</f>
        <v>6037.9146885770042</v>
      </c>
      <c r="X15" s="189">
        <f>Table32[[#This Row],[2026]]*(1+$V$15)</f>
        <v>5669.7642114246155</v>
      </c>
      <c r="Y15" s="189">
        <f>Table32[[#This Row],[2027]]*(1+$V$15)</f>
        <v>5324.0610162922831</v>
      </c>
      <c r="Z15" s="189">
        <f>Table32[[#This Row],[2028]]*(1+$V$15)</f>
        <v>4999.4364224329793</v>
      </c>
      <c r="AA15" s="189">
        <f>Table32[[#This Row],[2029]]*(1+$V$15)</f>
        <v>4694.6052018306382</v>
      </c>
      <c r="AC15" s="63" t="s">
        <v>35</v>
      </c>
      <c r="AD15" s="32">
        <f>'Balance Sheet'!AD22</f>
        <v>1068</v>
      </c>
      <c r="AE15" s="96">
        <f>AJ60</f>
        <v>1.744552624474334E-2</v>
      </c>
      <c r="AF15" s="32">
        <f>'Income Statement Forecast'!AF6*'Balance Sheet Forecast'!$AE$15</f>
        <v>1267.7019384111784</v>
      </c>
      <c r="AG15" s="32">
        <f>'Income Statement Forecast'!AG6*'Balance Sheet Forecast'!$AE$15</f>
        <v>1511.5917688703596</v>
      </c>
      <c r="AH15" s="32">
        <f>'Income Statement Forecast'!AH6*'Balance Sheet Forecast'!$AE$15</f>
        <v>1802.4070842770138</v>
      </c>
      <c r="AI15" s="32">
        <f>'Income Statement Forecast'!AI6*'Balance Sheet Forecast'!$AE$15</f>
        <v>2149.1774398672146</v>
      </c>
      <c r="AJ15" s="32">
        <f>'Income Statement Forecast'!AJ6*'Balance Sheet Forecast'!$AE$15</f>
        <v>2562.6700749958459</v>
      </c>
      <c r="AL15" s="63" t="s">
        <v>35</v>
      </c>
      <c r="AM15" s="32">
        <f>AR53</f>
        <v>62.95</v>
      </c>
      <c r="AN15" s="96">
        <f>AS54</f>
        <v>5.0292154156372226E-3</v>
      </c>
      <c r="AO15" s="32">
        <f>'Income Statement Forecast'!AO6*'Balance Sheet Forecast'!$AN$15</f>
        <v>113.53653181833315</v>
      </c>
      <c r="AP15" s="32">
        <f>'Income Statement Forecast'!AP6*'Balance Sheet Forecast'!$AN$15</f>
        <v>147.76571682794159</v>
      </c>
      <c r="AQ15" s="32">
        <f>'Income Statement Forecast'!AQ6*'Balance Sheet Forecast'!$AN$15</f>
        <v>192.38030625588775</v>
      </c>
      <c r="AR15" s="32">
        <f>'Income Statement Forecast'!AR6*'Balance Sheet Forecast'!$AN$15</f>
        <v>250.53566309993232</v>
      </c>
      <c r="AS15" s="32">
        <f>'Income Statement Forecast'!AS6*'Balance Sheet Forecast'!$AN$15</f>
        <v>326.34611894664636</v>
      </c>
      <c r="AU15" s="34" t="s">
        <v>35</v>
      </c>
      <c r="AV15" s="32">
        <f>AZ59</f>
        <v>845.84199999999998</v>
      </c>
      <c r="AW15" s="236">
        <f>BB60</f>
        <v>2.9289195520133544E-2</v>
      </c>
      <c r="AX15" s="32">
        <f>'Income Statement Forecast'!AX6*'Balance Sheet Forecast'!$AW$15</f>
        <v>729.63515131566407</v>
      </c>
      <c r="AY15" s="32">
        <f>'Income Statement Forecast'!AY6*'Balance Sheet Forecast'!$AW$15</f>
        <v>882.23092402449515</v>
      </c>
      <c r="AZ15" s="32">
        <f>'Income Statement Forecast'!AZ6*'Balance Sheet Forecast'!$AW$15</f>
        <v>1066.7409693592829</v>
      </c>
      <c r="BA15" s="32">
        <f>'Income Statement Forecast'!BA6*'Balance Sheet Forecast'!$AW$15</f>
        <v>1289.8400120138335</v>
      </c>
      <c r="BB15" s="32">
        <f>'Income Statement Forecast'!BB6*'Balance Sheet Forecast'!$AW$15</f>
        <v>1559.5987849817068</v>
      </c>
      <c r="BC15" s="32">
        <f>'Income Statement Forecast'!BC6*'Balance Sheet Forecast'!$AW$15</f>
        <v>1885.7760069106275</v>
      </c>
    </row>
    <row r="16" spans="1:55" x14ac:dyDescent="0.3">
      <c r="A16" s="35" t="s">
        <v>76</v>
      </c>
      <c r="B16" s="33">
        <f>SUM(B5:B10,B12:B15)</f>
        <v>24320.29</v>
      </c>
      <c r="C16" s="97"/>
      <c r="D16" s="33">
        <f t="shared" ref="D16:H16" si="6">SUM(D5:D10,D12:D15)</f>
        <v>29975.91091434651</v>
      </c>
      <c r="E16" s="33">
        <f t="shared" si="6"/>
        <v>35266.666909368607</v>
      </c>
      <c r="F16" s="33">
        <f t="shared" si="6"/>
        <v>41355.865791458389</v>
      </c>
      <c r="G16" s="33">
        <f t="shared" si="6"/>
        <v>48380.245392871439</v>
      </c>
      <c r="H16" s="132">
        <f t="shared" si="6"/>
        <v>56501.080314965817</v>
      </c>
      <c r="J16" s="34" t="s">
        <v>579</v>
      </c>
      <c r="K16" s="32">
        <f>'Balance Sheet'!N23</f>
        <v>825</v>
      </c>
      <c r="L16" s="32"/>
      <c r="M16" s="32">
        <f>M34-(SUM(M5:M15))</f>
        <v>14454.71981901041</v>
      </c>
      <c r="N16" s="32">
        <f t="shared" ref="N16:R16" si="7">N34-(SUM(N5:N15))</f>
        <v>15323.115969217441</v>
      </c>
      <c r="O16" s="32">
        <f t="shared" si="7"/>
        <v>16331.453413030846</v>
      </c>
      <c r="P16" s="32">
        <f t="shared" si="7"/>
        <v>17552.103686818169</v>
      </c>
      <c r="Q16" s="32">
        <f t="shared" si="7"/>
        <v>19067.038447908402</v>
      </c>
      <c r="R16" s="32">
        <f t="shared" si="7"/>
        <v>20971.128547949658</v>
      </c>
      <c r="T16" s="185" t="s">
        <v>579</v>
      </c>
      <c r="U16" s="186">
        <f>'Balance Sheet'!V27</f>
        <v>620</v>
      </c>
      <c r="V16" s="187"/>
      <c r="W16" s="186">
        <v>7141.1433679054026</v>
      </c>
      <c r="X16" s="186">
        <v>8238.1239511693857</v>
      </c>
      <c r="Y16" s="186">
        <v>9435.5389034513792</v>
      </c>
      <c r="Z16" s="186">
        <v>10743.756057195787</v>
      </c>
      <c r="AA16" s="186">
        <v>12174.188784367449</v>
      </c>
      <c r="AC16" s="63" t="s">
        <v>550</v>
      </c>
      <c r="AD16" s="32">
        <f>'Balance Sheet'!AD24+'Balance Sheet'!AD25+'Balance Sheet'!AD26+'Balance Sheet'!AD27+'Balance Sheet'!AD28+4</f>
        <v>3442</v>
      </c>
      <c r="AE16" s="96">
        <f>AJ73</f>
        <v>7.2190690481349198E-2</v>
      </c>
      <c r="AF16" s="32">
        <f>'Income Statement Forecast'!AF6*'Balance Sheet Forecast'!$AE$16</f>
        <v>5245.8307634040748</v>
      </c>
      <c r="AG16" s="32">
        <f>'Income Statement Forecast'!AG6*'Balance Sheet Forecast'!$AE$16</f>
        <v>6255.0623002018074</v>
      </c>
      <c r="AH16" s="32">
        <f>'Income Statement Forecast'!AH6*'Balance Sheet Forecast'!$AE$16</f>
        <v>7458.4744602725668</v>
      </c>
      <c r="AI16" s="32">
        <f>'Income Statement Forecast'!AI6*'Balance Sheet Forecast'!$AE$16</f>
        <v>8893.4321140184766</v>
      </c>
      <c r="AJ16" s="32">
        <f>'Income Statement Forecast'!AJ6*'Balance Sheet Forecast'!$AE$16</f>
        <v>10604.490778579137</v>
      </c>
      <c r="AL16" s="63" t="s">
        <v>550</v>
      </c>
      <c r="AM16" s="32">
        <f>AR63</f>
        <v>592.29000000000008</v>
      </c>
      <c r="AN16" s="96">
        <f>AS64</f>
        <v>5.2151757161981109E-2</v>
      </c>
      <c r="AO16" s="32">
        <f>'Income Statement Forecast'!AO6*'Balance Sheet Forecast'!$AN$16</f>
        <v>1177.3465932663812</v>
      </c>
      <c r="AP16" s="32">
        <f>'Income Statement Forecast'!AP6*'Balance Sheet Forecast'!$AN$16</f>
        <v>1532.2950289454766</v>
      </c>
      <c r="AQ16" s="32">
        <f>'Income Statement Forecast'!AQ6*'Balance Sheet Forecast'!$AN$16</f>
        <v>1994.937616593103</v>
      </c>
      <c r="AR16" s="32">
        <f>'Income Statement Forecast'!AR6*'Balance Sheet Forecast'!$AN$16</f>
        <v>2597.9947134056256</v>
      </c>
      <c r="AS16" s="32">
        <f>'Income Statement Forecast'!AS6*'Balance Sheet Forecast'!$AN$16</f>
        <v>3384.1309507526948</v>
      </c>
      <c r="AU16" s="34" t="s">
        <v>550</v>
      </c>
      <c r="AV16" s="32">
        <f>AZ73</f>
        <v>1960.615</v>
      </c>
      <c r="AW16" s="236">
        <f>BB73</f>
        <v>8.5556610676585043E-2</v>
      </c>
      <c r="AX16" s="32">
        <f>'Income Statement Forecast'!AX6*'Balance Sheet Forecast'!$AW$16</f>
        <v>2131.335786746145</v>
      </c>
      <c r="AY16" s="32">
        <f>'Income Statement Forecast'!AY6*'Balance Sheet Forecast'!$AW$16</f>
        <v>2577.0829943663625</v>
      </c>
      <c r="AZ16" s="32">
        <f>'Income Statement Forecast'!AZ6*'Balance Sheet Forecast'!$AW$16</f>
        <v>3116.054920166649</v>
      </c>
      <c r="BA16" s="32">
        <f>'Income Statement Forecast'!BA6*'Balance Sheet Forecast'!$AW$16</f>
        <v>3767.7490891510215</v>
      </c>
      <c r="BB16" s="32">
        <f>'Income Statement Forecast'!BB6*'Balance Sheet Forecast'!$AW$16</f>
        <v>4555.7409033864296</v>
      </c>
      <c r="BC16" s="32">
        <f>'Income Statement Forecast'!BC6*'Balance Sheet Forecast'!$AW$16</f>
        <v>5508.5365364709778</v>
      </c>
    </row>
    <row r="17" spans="1:55" x14ac:dyDescent="0.3">
      <c r="A17" s="134" t="s">
        <v>539</v>
      </c>
      <c r="B17" s="137"/>
      <c r="C17" s="145"/>
      <c r="D17" s="137"/>
      <c r="E17" s="137"/>
      <c r="F17" s="137"/>
      <c r="G17" s="137"/>
      <c r="H17" s="138"/>
      <c r="J17" s="36" t="s">
        <v>76</v>
      </c>
      <c r="K17" s="133">
        <f>SUM(K5:K10,K12:K16)</f>
        <v>78499</v>
      </c>
      <c r="L17" s="133"/>
      <c r="M17" s="133">
        <f t="shared" ref="M17:R17" si="8">SUM(M5:M10,M12:M16)</f>
        <v>82590.70609976018</v>
      </c>
      <c r="N17" s="133">
        <f t="shared" si="8"/>
        <v>86949.948075796856</v>
      </c>
      <c r="O17" s="133">
        <f t="shared" si="8"/>
        <v>91886.711209119778</v>
      </c>
      <c r="P17" s="133">
        <f t="shared" si="8"/>
        <v>97492.373386509469</v>
      </c>
      <c r="Q17" s="133">
        <f t="shared" si="8"/>
        <v>103875.86908120589</v>
      </c>
      <c r="R17" s="133">
        <f t="shared" si="8"/>
        <v>111167.08862547603</v>
      </c>
      <c r="T17" s="192" t="s">
        <v>76</v>
      </c>
      <c r="U17" s="193">
        <f>SUM(U5:U10,U12:U16)</f>
        <v>87310.209999999992</v>
      </c>
      <c r="V17" s="194"/>
      <c r="W17" s="193">
        <f>SUM(W5:W10,W12:W16)</f>
        <v>94984.587216091619</v>
      </c>
      <c r="X17" s="193">
        <f>SUM(X5:X10,X12:X16)</f>
        <v>100694.34916830467</v>
      </c>
      <c r="Y17" s="193">
        <f>SUM(Y5:Y10,Y12:Y16)</f>
        <v>106852.71249007375</v>
      </c>
      <c r="Z17" s="193">
        <f>SUM(Z5:Z10,Z12:Z16)</f>
        <v>113496.62842857152</v>
      </c>
      <c r="AA17" s="193">
        <f>SUM(AA5:AA10,AA12:AA16)</f>
        <v>120666.03559022472</v>
      </c>
      <c r="AC17" s="63" t="s">
        <v>579</v>
      </c>
      <c r="AD17" s="32">
        <f>'Balance Sheet'!AD23</f>
        <v>407</v>
      </c>
      <c r="AE17" s="96"/>
      <c r="AF17" s="32">
        <f>AF34-SUM(AF5:AF16)</f>
        <v>-2995.3154065035924</v>
      </c>
      <c r="AG17" s="32">
        <f t="shared" ref="AG17:AJ17" si="9">AG34-SUM(AG5:AG16)</f>
        <v>-1860.8849321010493</v>
      </c>
      <c r="AH17" s="32">
        <f t="shared" si="9"/>
        <v>-526.6863925975631</v>
      </c>
      <c r="AI17" s="32">
        <f t="shared" si="9"/>
        <v>1051.6851222466357</v>
      </c>
      <c r="AJ17" s="32">
        <f t="shared" si="9"/>
        <v>2925.2390508864191</v>
      </c>
      <c r="AL17" s="63" t="s">
        <v>588</v>
      </c>
      <c r="AM17" s="32">
        <f>'Balance Sheet'!AL22</f>
        <v>338.47</v>
      </c>
      <c r="AN17" s="96"/>
      <c r="AO17" s="32">
        <f>AO34-SUM(AO5:AO16)</f>
        <v>-1381.0027056920408</v>
      </c>
      <c r="AP17" s="32">
        <f t="shared" ref="AP17:AS17" si="10">AP34-SUM(AP5:AP16)</f>
        <v>-1682.6015847276212</v>
      </c>
      <c r="AQ17" s="32">
        <f t="shared" si="10"/>
        <v>-2090.627401634174</v>
      </c>
      <c r="AR17" s="32">
        <f t="shared" si="10"/>
        <v>-2631.7586754187214</v>
      </c>
      <c r="AS17" s="32">
        <f t="shared" si="10"/>
        <v>-3343.5003351755804</v>
      </c>
      <c r="AU17" s="63" t="s">
        <v>579</v>
      </c>
      <c r="AV17" s="32">
        <f>'Balance Sheet'!AS21</f>
        <v>2266.2829999999999</v>
      </c>
      <c r="AW17" s="141"/>
      <c r="AX17" s="32">
        <f>AX35-(SUM(AX5:AX11,AX14:AX16))</f>
        <v>4273.5355446172362</v>
      </c>
      <c r="AY17" s="32">
        <f t="shared" ref="AY17:BC17" si="11">AY35-(SUM(AY5:AY11,AY14:AY16))</f>
        <v>4211.3385246454054</v>
      </c>
      <c r="AZ17" s="32">
        <f t="shared" si="11"/>
        <v>4136.0309362179614</v>
      </c>
      <c r="BA17" s="32">
        <f t="shared" si="11"/>
        <v>4043.5844518367376</v>
      </c>
      <c r="BB17" s="32">
        <f t="shared" si="11"/>
        <v>3929.078395213226</v>
      </c>
      <c r="BC17" s="32">
        <f t="shared" si="11"/>
        <v>3786.4937317034346</v>
      </c>
    </row>
    <row r="18" spans="1:55" x14ac:dyDescent="0.3">
      <c r="A18" s="18" t="s">
        <v>540</v>
      </c>
      <c r="B18" s="40"/>
      <c r="C18" s="99"/>
      <c r="D18" s="40"/>
      <c r="E18" s="40"/>
      <c r="F18" s="40"/>
      <c r="G18" s="40"/>
      <c r="H18" s="40"/>
      <c r="J18" s="161" t="s">
        <v>539</v>
      </c>
      <c r="K18" s="162"/>
      <c r="L18" s="162"/>
      <c r="M18" s="162"/>
      <c r="N18" s="162"/>
      <c r="O18" s="162"/>
      <c r="P18" s="162"/>
      <c r="Q18" s="162"/>
      <c r="R18" s="163"/>
      <c r="T18" s="134" t="s">
        <v>539</v>
      </c>
      <c r="U18" s="137"/>
      <c r="V18" s="145"/>
      <c r="W18" s="137"/>
      <c r="X18" s="137"/>
      <c r="Y18" s="137"/>
      <c r="Z18" s="137"/>
      <c r="AA18" s="138"/>
      <c r="AC18" s="77" t="s">
        <v>76</v>
      </c>
      <c r="AD18" s="33">
        <f>SUM(AD5:AD11,AD13:AD17)</f>
        <v>40651</v>
      </c>
      <c r="AE18" s="33"/>
      <c r="AF18" s="33">
        <f>SUM(AF5:AF11,AF13:AF17)</f>
        <v>43981.898367174923</v>
      </c>
      <c r="AG18" s="33">
        <f>SUM(AG5:AG11,AG13:AG17)</f>
        <v>54003.572597137027</v>
      </c>
      <c r="AH18" s="33">
        <f>SUM(AH5:AH11,AH13:AH17)</f>
        <v>65976.103056822569</v>
      </c>
      <c r="AI18" s="33">
        <f>SUM(AI5:AI11,AI13:AI17)</f>
        <v>80267.505300495992</v>
      </c>
      <c r="AJ18" s="33">
        <f>SUM(AJ5:AJ11,AJ13:AJ17)</f>
        <v>97319.000944420433</v>
      </c>
      <c r="AL18" s="77" t="s">
        <v>76</v>
      </c>
      <c r="AM18" s="33">
        <f>SUM(AM5:AM11,AM13:AM17)</f>
        <v>9419.6400000000012</v>
      </c>
      <c r="AN18" s="33"/>
      <c r="AO18" s="33">
        <f>SUM(AO5:AO11,AO13:AO17)</f>
        <v>18077.253502804524</v>
      </c>
      <c r="AP18" s="33">
        <f>SUM(AP5:AP11,AP13:AP17)</f>
        <v>23474.140767579884</v>
      </c>
      <c r="AQ18" s="33">
        <f>SUM(AQ5:AQ11,AQ13:AQ17)</f>
        <v>30567.614984280077</v>
      </c>
      <c r="AR18" s="33">
        <f>SUM(AR5:AR11,AR13:AR17)</f>
        <v>39844.282019188293</v>
      </c>
      <c r="AS18" s="33">
        <f>SUM(AS5:AS11,AS13:AS17)</f>
        <v>51951.986695482308</v>
      </c>
      <c r="AU18" s="240"/>
      <c r="AV18" s="159"/>
      <c r="AW18" s="159"/>
      <c r="AX18" s="159"/>
      <c r="AY18" s="159"/>
      <c r="AZ18" s="159"/>
      <c r="BA18" s="159"/>
      <c r="BB18" s="159"/>
      <c r="BC18" s="157"/>
    </row>
    <row r="19" spans="1:55" x14ac:dyDescent="0.3">
      <c r="A19" s="34" t="s">
        <v>541</v>
      </c>
      <c r="B19" s="32">
        <f>'Balance Sheet'!G31</f>
        <v>650.73</v>
      </c>
      <c r="C19" s="96"/>
      <c r="D19" s="32">
        <f>$B$19</f>
        <v>650.73</v>
      </c>
      <c r="E19" s="32">
        <f t="shared" ref="E19:H19" si="12">$B$19</f>
        <v>650.73</v>
      </c>
      <c r="F19" s="32">
        <f t="shared" si="12"/>
        <v>650.73</v>
      </c>
      <c r="G19" s="32">
        <f t="shared" si="12"/>
        <v>650.73</v>
      </c>
      <c r="H19" s="32">
        <f t="shared" si="12"/>
        <v>650.73</v>
      </c>
      <c r="J19" s="134" t="s">
        <v>540</v>
      </c>
      <c r="K19" s="159"/>
      <c r="L19" s="159"/>
      <c r="M19" s="159"/>
      <c r="N19" s="159"/>
      <c r="O19" s="159"/>
      <c r="P19" s="159"/>
      <c r="Q19" s="159"/>
      <c r="R19" s="157"/>
      <c r="T19" s="168" t="s">
        <v>540</v>
      </c>
      <c r="U19" s="40"/>
      <c r="V19" s="99"/>
      <c r="W19" s="40"/>
      <c r="X19" s="40"/>
      <c r="Y19" s="40"/>
      <c r="Z19" s="40"/>
      <c r="AA19" s="191"/>
      <c r="AC19" s="134" t="s">
        <v>539</v>
      </c>
      <c r="AD19" s="159"/>
      <c r="AE19" s="221"/>
      <c r="AF19" s="159"/>
      <c r="AG19" s="159"/>
      <c r="AH19" s="159"/>
      <c r="AI19" s="159"/>
      <c r="AJ19" s="157"/>
      <c r="AL19" s="134" t="s">
        <v>539</v>
      </c>
      <c r="AM19" s="159"/>
      <c r="AN19" s="221"/>
      <c r="AO19" s="159"/>
      <c r="AP19" s="159"/>
      <c r="AQ19" s="159"/>
      <c r="AR19" s="159"/>
      <c r="AS19" s="157"/>
      <c r="AU19" s="238" t="s">
        <v>76</v>
      </c>
      <c r="AV19" s="239">
        <f>SUM(AV5:AV11,AV13:AV17)</f>
        <v>23143.91</v>
      </c>
      <c r="AW19" s="239"/>
      <c r="AX19" s="239">
        <f t="shared" ref="AX19:BC19" si="13">SUM(AX5:AX11,AX13:AX17)</f>
        <v>29439.25231597001</v>
      </c>
      <c r="AY19" s="239">
        <f t="shared" si="13"/>
        <v>34738.966109788176</v>
      </c>
      <c r="AZ19" s="239">
        <f t="shared" si="13"/>
        <v>41130.785865238002</v>
      </c>
      <c r="BA19" s="239">
        <f t="shared" si="13"/>
        <v>48843.440333950864</v>
      </c>
      <c r="BB19" s="239">
        <f t="shared" si="13"/>
        <v>58153.286944697895</v>
      </c>
      <c r="BC19" s="239">
        <f t="shared" si="13"/>
        <v>69394.269846031806</v>
      </c>
    </row>
    <row r="20" spans="1:55" x14ac:dyDescent="0.3">
      <c r="A20" s="34" t="s">
        <v>542</v>
      </c>
      <c r="B20" s="32">
        <f>'Balance Sheet'!G32+'Balance Sheet'!G34</f>
        <v>20775.97</v>
      </c>
      <c r="C20" s="96"/>
      <c r="D20" s="32">
        <f>Table22[[#This Row],[2025 (Current)]]+'Income Statement'!G21</f>
        <v>23483.42</v>
      </c>
      <c r="E20" s="32">
        <f>Table22[[#This Row],[2026]]+'Income Statement Forecast'!D18</f>
        <v>26116.271407830405</v>
      </c>
      <c r="F20" s="32">
        <f>Table22[[#This Row],[2027]]+'Income Statement Forecast'!E18</f>
        <v>29081.327567063523</v>
      </c>
      <c r="G20" s="32">
        <f>Table22[[#This Row],[2028]]+'Income Statement Forecast'!F18</f>
        <v>32432.24925200428</v>
      </c>
      <c r="H20" s="32">
        <f>Table22[[#This Row],[2029]]+'Income Statement Forecast'!G18</f>
        <v>36230.384353099325</v>
      </c>
      <c r="J20" s="160" t="s">
        <v>541</v>
      </c>
      <c r="K20" s="158">
        <f>'Balance Sheet'!N32</f>
        <v>235</v>
      </c>
      <c r="L20" s="158"/>
      <c r="M20" s="158">
        <f>$K$20</f>
        <v>235</v>
      </c>
      <c r="N20" s="158">
        <f t="shared" ref="N20:R20" si="14">$K$20</f>
        <v>235</v>
      </c>
      <c r="O20" s="158">
        <f t="shared" si="14"/>
        <v>235</v>
      </c>
      <c r="P20" s="158">
        <f t="shared" si="14"/>
        <v>235</v>
      </c>
      <c r="Q20" s="158">
        <f t="shared" si="14"/>
        <v>235</v>
      </c>
      <c r="R20" s="158">
        <f t="shared" si="14"/>
        <v>235</v>
      </c>
      <c r="T20" s="185" t="s">
        <v>541</v>
      </c>
      <c r="U20" s="186">
        <f>'Balance Sheet'!V36</f>
        <v>1251.4100000000001</v>
      </c>
      <c r="V20" s="187">
        <f>('Balance Sheet'!V36/'Balance Sheet'!Q36)^(1/6)-1</f>
        <v>2.9862990858957605E-3</v>
      </c>
      <c r="W20" s="186">
        <f>Table32[[#This Row],[2025 (Current)]]*(1+$V$20)</f>
        <v>1255.1470845390809</v>
      </c>
      <c r="X20" s="186">
        <f>Table32[[#This Row],[2026]]*(1+$V$20)</f>
        <v>1258.8953291303046</v>
      </c>
      <c r="Y20" s="186">
        <f>Table32[[#This Row],[2027]]*(1+$V$20)</f>
        <v>1262.6547671009248</v>
      </c>
      <c r="Z20" s="186">
        <f>Table32[[#This Row],[2028]]*(1+$V$20)</f>
        <v>1266.4254318777203</v>
      </c>
      <c r="AA20" s="186">
        <f>Table32[[#This Row],[2029]]*(1+$V$20)</f>
        <v>1270.2073569872919</v>
      </c>
      <c r="AC20" s="168" t="s">
        <v>540</v>
      </c>
      <c r="AD20" s="154"/>
      <c r="AE20" s="220"/>
      <c r="AF20" s="154"/>
      <c r="AG20" s="154"/>
      <c r="AH20" s="154"/>
      <c r="AI20" s="154"/>
      <c r="AJ20" s="169"/>
      <c r="AL20" s="168" t="s">
        <v>540</v>
      </c>
      <c r="AM20" s="154"/>
      <c r="AN20" s="220"/>
      <c r="AO20" s="154"/>
      <c r="AP20" s="154"/>
      <c r="AQ20" s="154"/>
      <c r="AR20" s="154"/>
      <c r="AS20" s="169"/>
      <c r="AU20" s="161" t="s">
        <v>539</v>
      </c>
      <c r="AV20" s="162"/>
      <c r="AW20" s="162"/>
      <c r="AX20" s="162"/>
      <c r="AY20" s="162"/>
      <c r="AZ20" s="162"/>
      <c r="BA20" s="162"/>
      <c r="BB20" s="162"/>
      <c r="BC20" s="163"/>
    </row>
    <row r="21" spans="1:55" x14ac:dyDescent="0.3">
      <c r="A21" s="35" t="s">
        <v>47</v>
      </c>
      <c r="B21" s="33">
        <f>B19+B20</f>
        <v>21426.7</v>
      </c>
      <c r="C21" s="97"/>
      <c r="D21" s="33">
        <f t="shared" ref="D21:H21" si="15">D19+D20</f>
        <v>24134.149999999998</v>
      </c>
      <c r="E21" s="33">
        <f t="shared" si="15"/>
        <v>26767.001407830405</v>
      </c>
      <c r="F21" s="33">
        <f t="shared" si="15"/>
        <v>29732.057567063523</v>
      </c>
      <c r="G21" s="33">
        <f t="shared" si="15"/>
        <v>33082.979252004283</v>
      </c>
      <c r="H21" s="132">
        <f t="shared" si="15"/>
        <v>36881.114353099329</v>
      </c>
      <c r="J21" s="34" t="s">
        <v>542</v>
      </c>
      <c r="K21" s="32">
        <f>'Balance Sheet'!N33+'Balance Sheet'!N34</f>
        <v>51188</v>
      </c>
      <c r="L21" s="32"/>
      <c r="M21" s="32">
        <f>Table2231[[#This Row],[2024 (Actual)]]+'Income Statement Forecast'!M18-'Balance Sheet Forecast'!K53</f>
        <v>52741.117099743788</v>
      </c>
      <c r="N21" s="32">
        <f>Table2231[[#This Row],[2025]]+'Income Statement Forecast'!N18-'Balance Sheet Forecast'!L53</f>
        <v>54011.33902153252</v>
      </c>
      <c r="O21" s="32">
        <f>Table2231[[#This Row],[2026]]+'Income Statement Forecast'!O18-'Balance Sheet Forecast'!M53</f>
        <v>55396.310798557621</v>
      </c>
      <c r="P21" s="32">
        <f>Table2231[[#This Row],[2027]]+'Income Statement Forecast'!P18-'Balance Sheet Forecast'!N53</f>
        <v>56903.302626482749</v>
      </c>
      <c r="Q21" s="32">
        <f>Table2231[[#This Row],[2028]]+'Income Statement Forecast'!Q18-'Balance Sheet Forecast'!O53</f>
        <v>58540.515873774573</v>
      </c>
      <c r="R21" s="32">
        <f>Table2231[[#This Row],[2029]]+'Income Statement Forecast'!R18-'Balance Sheet Forecast'!P53</f>
        <v>60317.081117508278</v>
      </c>
      <c r="T21" s="188" t="s">
        <v>542</v>
      </c>
      <c r="U21" s="186">
        <f>'Balance Sheet'!V37</f>
        <v>68778.64</v>
      </c>
      <c r="V21" s="190"/>
      <c r="W21" s="189">
        <f>Table32[[#This Row],[2025 (Current)]]+'Income Statement Forecast'!W18-'Balance Sheet Forecast'!U55</f>
        <v>73800.835937282536</v>
      </c>
      <c r="X21" s="189">
        <f>Table32[[#This Row],[2026]]+'Income Statement Forecast'!X18-'Balance Sheet Forecast'!V55</f>
        <v>77883.542476601258</v>
      </c>
      <c r="Y21" s="189">
        <f>Table32[[#This Row],[2027]]+'Income Statement Forecast'!Y18-'Balance Sheet Forecast'!W55</f>
        <v>82279.948268964319</v>
      </c>
      <c r="Z21" s="189">
        <f>Table32[[#This Row],[2028]]+'Income Statement Forecast'!Z18-'Balance Sheet Forecast'!X55</f>
        <v>87015.656411293312</v>
      </c>
      <c r="AA21" s="189">
        <f>Table32[[#This Row],[2029]]+'Income Statement Forecast'!AA18-'Balance Sheet Forecast'!Y55</f>
        <v>92118.285382330432</v>
      </c>
      <c r="AC21" s="63" t="s">
        <v>541</v>
      </c>
      <c r="AD21" s="32">
        <f>'Balance Sheet'!$AD$33</f>
        <v>89</v>
      </c>
      <c r="AE21" s="32"/>
      <c r="AF21" s="32">
        <f>'Balance Sheet'!$AD$33</f>
        <v>89</v>
      </c>
      <c r="AG21" s="32">
        <f>'Balance Sheet'!$AD$33</f>
        <v>89</v>
      </c>
      <c r="AH21" s="32">
        <f>'Balance Sheet'!$AD$33</f>
        <v>89</v>
      </c>
      <c r="AI21" s="32">
        <f>'Balance Sheet'!$AD$33</f>
        <v>89</v>
      </c>
      <c r="AJ21" s="32">
        <f>'Balance Sheet'!$AD$33</f>
        <v>89</v>
      </c>
      <c r="AL21" s="63" t="s">
        <v>541</v>
      </c>
      <c r="AM21" s="32">
        <f>'Balance Sheet'!$AL$35</f>
        <v>35.549999999999997</v>
      </c>
      <c r="AN21" s="32"/>
      <c r="AO21" s="32">
        <f>'Balance Sheet'!$AL$35</f>
        <v>35.549999999999997</v>
      </c>
      <c r="AP21" s="32">
        <f>'Balance Sheet'!$AL$35</f>
        <v>35.549999999999997</v>
      </c>
      <c r="AQ21" s="32">
        <f>'Balance Sheet'!$AL$35</f>
        <v>35.549999999999997</v>
      </c>
      <c r="AR21" s="32">
        <f>'Balance Sheet'!$AL$35</f>
        <v>35.549999999999997</v>
      </c>
      <c r="AS21" s="32">
        <f>'Balance Sheet'!$AL$35</f>
        <v>35.549999999999997</v>
      </c>
      <c r="AU21" s="134" t="s">
        <v>540</v>
      </c>
      <c r="AV21" s="159"/>
      <c r="AW21" s="159"/>
      <c r="AX21" s="159"/>
      <c r="AY21" s="159"/>
      <c r="AZ21" s="159"/>
      <c r="BA21" s="159"/>
      <c r="BB21" s="159"/>
      <c r="BC21" s="157"/>
    </row>
    <row r="22" spans="1:55" x14ac:dyDescent="0.3">
      <c r="A22" s="18" t="s">
        <v>49</v>
      </c>
      <c r="B22" s="40"/>
      <c r="C22" s="99"/>
      <c r="D22" s="40"/>
      <c r="E22" s="40"/>
      <c r="F22" s="40"/>
      <c r="G22" s="40"/>
      <c r="H22" s="40"/>
      <c r="J22" s="36" t="s">
        <v>47</v>
      </c>
      <c r="K22" s="133">
        <f>K20+K21</f>
        <v>51423</v>
      </c>
      <c r="L22" s="133"/>
      <c r="M22" s="133">
        <f t="shared" ref="M22:R22" si="16">M20+M21</f>
        <v>52976.117099743788</v>
      </c>
      <c r="N22" s="133">
        <f t="shared" si="16"/>
        <v>54246.33902153252</v>
      </c>
      <c r="O22" s="133">
        <f t="shared" si="16"/>
        <v>55631.310798557621</v>
      </c>
      <c r="P22" s="133">
        <f t="shared" si="16"/>
        <v>57138.302626482749</v>
      </c>
      <c r="Q22" s="133">
        <f t="shared" si="16"/>
        <v>58775.515873774573</v>
      </c>
      <c r="R22" s="133">
        <f t="shared" si="16"/>
        <v>60552.081117508278</v>
      </c>
      <c r="T22" s="195" t="s">
        <v>47</v>
      </c>
      <c r="U22" s="196">
        <f>U20+U21</f>
        <v>70030.05</v>
      </c>
      <c r="V22" s="197"/>
      <c r="W22" s="196">
        <f>W20+W21</f>
        <v>75055.983021821623</v>
      </c>
      <c r="X22" s="196">
        <f>X20+X21</f>
        <v>79142.437805731563</v>
      </c>
      <c r="Y22" s="196">
        <f>Y20+Y21</f>
        <v>83542.603036065237</v>
      </c>
      <c r="Z22" s="196">
        <f>Z20+Z21</f>
        <v>88282.081843171036</v>
      </c>
      <c r="AA22" s="196">
        <f>AA20+AA21</f>
        <v>93388.49273931772</v>
      </c>
      <c r="AC22" s="63" t="s">
        <v>542</v>
      </c>
      <c r="AD22" s="32">
        <f>'Balance Sheet'!AD34</f>
        <v>11535</v>
      </c>
      <c r="AE22" s="96"/>
      <c r="AF22" s="32">
        <f>Table36[[#This Row],[2025 (Current)]]+'Income Statement Forecast'!AF18-'Balance Sheet Forecast'!AD55</f>
        <v>15298.980350447197</v>
      </c>
      <c r="AG22" s="32">
        <f>Table36[[#This Row],[2026]]+'Income Statement Forecast'!AG18-'Balance Sheet Forecast'!AE55</f>
        <v>19820.700476829443</v>
      </c>
      <c r="AH22" s="32">
        <f>Table36[[#This Row],[2027]]+'Income Statement Forecast'!AH18-'Balance Sheet Forecast'!AF55</f>
        <v>25235.06127301032</v>
      </c>
      <c r="AI22" s="32">
        <f>Table36[[#This Row],[2028]]+'Income Statement Forecast'!AI18-'Balance Sheet Forecast'!AG55</f>
        <v>31706.452995386622</v>
      </c>
      <c r="AJ22" s="32">
        <f>Table36[[#This Row],[2029]]+'Income Statement Forecast'!AJ18-'Balance Sheet Forecast'!AH55</f>
        <v>39433.285486714434</v>
      </c>
      <c r="AL22" s="63" t="s">
        <v>542</v>
      </c>
      <c r="AM22" s="32">
        <f>'Balance Sheet'!AL36</f>
        <v>5426.19</v>
      </c>
      <c r="AN22" s="96"/>
      <c r="AO22" s="32">
        <f>Table3645[[#This Row],[2025 (Current)]]+'Income Statement Forecast'!AO18</f>
        <v>6904.1283905970849</v>
      </c>
      <c r="AP22" s="32">
        <f>Table3645[[#This Row],[2026]]+'Income Statement Forecast'!AP18</f>
        <v>8943.2407351013626</v>
      </c>
      <c r="AQ22" s="32">
        <f>Table3645[[#This Row],[2027]]+'Income Statement Forecast'!AQ18</f>
        <v>11660.164665334112</v>
      </c>
      <c r="AR22" s="32">
        <f>Table3645[[#This Row],[2028]]+'Income Statement Forecast'!AR18</f>
        <v>15231.974905213952</v>
      </c>
      <c r="AS22" s="32">
        <f>Table3645[[#This Row],[2029]]+'Income Statement Forecast'!AS18</f>
        <v>19902.913346350484</v>
      </c>
      <c r="AU22" s="160" t="s">
        <v>541</v>
      </c>
      <c r="AV22" s="158">
        <f>'Balance Sheet'!AS31</f>
        <v>676.30200000000002</v>
      </c>
      <c r="AW22" s="158"/>
      <c r="AX22" s="158">
        <f t="shared" ref="AX22:BC22" si="17">$AV$22</f>
        <v>676.30200000000002</v>
      </c>
      <c r="AY22" s="158">
        <f t="shared" si="17"/>
        <v>676.30200000000002</v>
      </c>
      <c r="AZ22" s="158">
        <f t="shared" si="17"/>
        <v>676.30200000000002</v>
      </c>
      <c r="BA22" s="158">
        <f t="shared" si="17"/>
        <v>676.30200000000002</v>
      </c>
      <c r="BB22" s="158">
        <f t="shared" si="17"/>
        <v>676.30200000000002</v>
      </c>
      <c r="BC22" s="158">
        <f t="shared" si="17"/>
        <v>676.30200000000002</v>
      </c>
    </row>
    <row r="23" spans="1:55" x14ac:dyDescent="0.3">
      <c r="A23" s="34" t="s">
        <v>543</v>
      </c>
      <c r="B23" s="32">
        <f>'Balance Sheet'!G39</f>
        <v>0</v>
      </c>
      <c r="C23" s="96"/>
      <c r="D23" s="32">
        <v>0</v>
      </c>
      <c r="E23" s="32">
        <v>0</v>
      </c>
      <c r="F23" s="32">
        <v>0</v>
      </c>
      <c r="G23" s="32">
        <v>0</v>
      </c>
      <c r="H23" s="131">
        <v>0</v>
      </c>
      <c r="J23" s="134" t="s">
        <v>49</v>
      </c>
      <c r="K23" s="159"/>
      <c r="L23" s="159"/>
      <c r="M23" s="159"/>
      <c r="N23" s="159"/>
      <c r="O23" s="159"/>
      <c r="P23" s="159"/>
      <c r="Q23" s="159"/>
      <c r="R23" s="157"/>
      <c r="T23" s="168" t="s">
        <v>49</v>
      </c>
      <c r="U23" s="40"/>
      <c r="V23" s="99"/>
      <c r="W23" s="40"/>
      <c r="X23" s="40"/>
      <c r="Y23" s="40"/>
      <c r="Z23" s="40"/>
      <c r="AA23" s="191"/>
      <c r="AC23" s="77" t="s">
        <v>47</v>
      </c>
      <c r="AD23" s="33">
        <f>AD22+AD21</f>
        <v>11624</v>
      </c>
      <c r="AE23" s="33"/>
      <c r="AF23" s="33">
        <f t="shared" ref="AF23:AJ23" si="18">AF22+AF21</f>
        <v>15387.980350447197</v>
      </c>
      <c r="AG23" s="33">
        <f t="shared" si="18"/>
        <v>19909.700476829443</v>
      </c>
      <c r="AH23" s="33">
        <f t="shared" si="18"/>
        <v>25324.06127301032</v>
      </c>
      <c r="AI23" s="33">
        <f t="shared" si="18"/>
        <v>31795.452995386622</v>
      </c>
      <c r="AJ23" s="33">
        <f t="shared" si="18"/>
        <v>39522.285486714434</v>
      </c>
      <c r="AL23" s="77" t="s">
        <v>47</v>
      </c>
      <c r="AM23" s="33">
        <f>AM22+AM21</f>
        <v>5461.74</v>
      </c>
      <c r="AN23" s="33"/>
      <c r="AO23" s="33">
        <f t="shared" ref="AO23:AS23" si="19">AO22+AO21</f>
        <v>6939.6783905970851</v>
      </c>
      <c r="AP23" s="33">
        <f t="shared" si="19"/>
        <v>8978.7907351013619</v>
      </c>
      <c r="AQ23" s="33">
        <f t="shared" si="19"/>
        <v>11695.714665334111</v>
      </c>
      <c r="AR23" s="33">
        <f t="shared" si="19"/>
        <v>15267.524905213952</v>
      </c>
      <c r="AS23" s="33">
        <f t="shared" si="19"/>
        <v>19938.463346350483</v>
      </c>
      <c r="AU23" s="34" t="s">
        <v>542</v>
      </c>
      <c r="AV23" s="32">
        <f>'Balance Sheet'!AS32+'Balance Sheet'!AS34</f>
        <v>16063.334000000001</v>
      </c>
      <c r="AW23" s="32"/>
      <c r="AX23" s="32">
        <f>VBL_BSF[[#This Row],[2024 (Actual)]]+'Income Statement Forecast'!AX18-'Balance Sheet Forecast'!AV55</f>
        <v>19781.527340473509</v>
      </c>
      <c r="AY23" s="32">
        <f>VBL_BSF[[#This Row],[2025]]+'Income Statement Forecast'!AY18-'Balance Sheet Forecast'!AW55</f>
        <v>23242.93811342871</v>
      </c>
      <c r="AZ23" s="32">
        <f>VBL_BSF[[#This Row],[2026]]+'Income Statement Forecast'!AZ18-'Balance Sheet Forecast'!AX55</f>
        <v>27417.473361931116</v>
      </c>
      <c r="BA23" s="32">
        <f>VBL_BSF[[#This Row],[2027]]+'Income Statement Forecast'!BA18-'Balance Sheet Forecast'!AY55</f>
        <v>32455.350656753122</v>
      </c>
      <c r="BB23" s="32">
        <f>VBL_BSF[[#This Row],[2028]]+'Income Statement Forecast'!BB18-'Balance Sheet Forecast'!AZ55</f>
        <v>38538.098582144608</v>
      </c>
      <c r="BC23" s="32">
        <f>VBL_BSF[[#This Row],[2029]]+'Income Statement Forecast'!BC18-'Balance Sheet Forecast'!BA55</f>
        <v>45885.115991215898</v>
      </c>
    </row>
    <row r="24" spans="1:55" x14ac:dyDescent="0.3">
      <c r="A24" s="34" t="s">
        <v>84</v>
      </c>
      <c r="B24" s="32">
        <f>'Balance Sheet'!G40</f>
        <v>555.79</v>
      </c>
      <c r="C24" s="96">
        <f>('Balance Sheet'!G40/'Balance Sheet'!B40)^(1/6)-1</f>
        <v>0.16604968864246072</v>
      </c>
      <c r="D24" s="32">
        <f>Table22[[#This Row],[2025 (Current)]]*(1+C24)</f>
        <v>648.07875645059323</v>
      </c>
      <c r="E24" s="32">
        <f>Table22[[#This Row],[2026]]*(1+$C$24)</f>
        <v>755.6920321750074</v>
      </c>
      <c r="F24" s="32">
        <f>Table22[[#This Row],[2027]]*(1+$C$24)</f>
        <v>881.17445882725576</v>
      </c>
      <c r="G24" s="32">
        <f>Table22[[#This Row],[2028]]*(1+$C$24)</f>
        <v>1027.4932033552104</v>
      </c>
      <c r="H24" s="32">
        <f>Table22[[#This Row],[2029]]*(1+$C$24)</f>
        <v>1198.1081298545878</v>
      </c>
      <c r="J24" s="160" t="s">
        <v>543</v>
      </c>
      <c r="K24" s="158">
        <f>0</f>
        <v>0</v>
      </c>
      <c r="L24" s="158"/>
      <c r="M24" s="158">
        <f>0</f>
        <v>0</v>
      </c>
      <c r="N24" s="158">
        <f>0</f>
        <v>0</v>
      </c>
      <c r="O24" s="158">
        <f>0</f>
        <v>0</v>
      </c>
      <c r="P24" s="158">
        <f>0</f>
        <v>0</v>
      </c>
      <c r="Q24" s="158">
        <f>0</f>
        <v>0</v>
      </c>
      <c r="R24" s="158">
        <f>0</f>
        <v>0</v>
      </c>
      <c r="T24" s="185" t="s">
        <v>543</v>
      </c>
      <c r="U24" s="186">
        <f>'Balance Sheet'!$V$43</f>
        <v>0</v>
      </c>
      <c r="V24" s="186"/>
      <c r="W24" s="186">
        <f>'Balance Sheet'!$V$43</f>
        <v>0</v>
      </c>
      <c r="X24" s="186">
        <f>'Balance Sheet'!$V$43</f>
        <v>0</v>
      </c>
      <c r="Y24" s="186">
        <f>'Balance Sheet'!$V$43</f>
        <v>0</v>
      </c>
      <c r="Z24" s="186">
        <f>'Balance Sheet'!$V$43</f>
        <v>0</v>
      </c>
      <c r="AA24" s="186">
        <f>'Balance Sheet'!$V$43</f>
        <v>0</v>
      </c>
      <c r="AC24" s="168" t="s">
        <v>49</v>
      </c>
      <c r="AD24" s="154"/>
      <c r="AE24" s="220"/>
      <c r="AF24" s="154"/>
      <c r="AG24" s="154"/>
      <c r="AH24" s="154"/>
      <c r="AI24" s="154"/>
      <c r="AJ24" s="169"/>
      <c r="AL24" s="168" t="s">
        <v>49</v>
      </c>
      <c r="AM24" s="154"/>
      <c r="AN24" s="220"/>
      <c r="AO24" s="154"/>
      <c r="AP24" s="154"/>
      <c r="AQ24" s="154"/>
      <c r="AR24" s="154"/>
      <c r="AS24" s="169"/>
      <c r="AU24" s="36" t="s">
        <v>47</v>
      </c>
      <c r="AV24" s="133">
        <f>AV22+AV23</f>
        <v>16739.636000000002</v>
      </c>
      <c r="AW24" s="133"/>
      <c r="AX24" s="133">
        <f t="shared" ref="AX24:BC24" si="20">AX22+AX23</f>
        <v>20457.829340473509</v>
      </c>
      <c r="AY24" s="133">
        <f t="shared" si="20"/>
        <v>23919.24011342871</v>
      </c>
      <c r="AZ24" s="133">
        <f t="shared" si="20"/>
        <v>28093.775361931115</v>
      </c>
      <c r="BA24" s="133">
        <f t="shared" si="20"/>
        <v>33131.652656753125</v>
      </c>
      <c r="BB24" s="133">
        <f t="shared" si="20"/>
        <v>39214.400582144612</v>
      </c>
      <c r="BC24" s="133">
        <f t="shared" si="20"/>
        <v>46561.417991215902</v>
      </c>
    </row>
    <row r="25" spans="1:55" x14ac:dyDescent="0.3">
      <c r="A25" s="63" t="s">
        <v>94</v>
      </c>
      <c r="B25" s="32">
        <f>'Balance Sheet'!G41+'Balance Sheet'!G42</f>
        <v>13.16</v>
      </c>
      <c r="C25" s="96">
        <f>(('Balance Sheet'!G41+'Balance Sheet'!G42)/('Balance Sheet'!B41+'Balance Sheet'!B42))^(1/6)-1</f>
        <v>0.37468611568032739</v>
      </c>
      <c r="D25" s="32">
        <f>Table22[[#This Row],[2025 (Current)]]*(1+C25)</f>
        <v>18.090869282353108</v>
      </c>
      <c r="E25" s="32">
        <f>Table22[[#This Row],[2026]]*(1+$C$25)</f>
        <v>24.869266823038547</v>
      </c>
      <c r="F25" s="32">
        <f>Table22[[#This Row],[2027]]*(1+$C$25)</f>
        <v>34.187435808780499</v>
      </c>
      <c r="G25" s="32">
        <f>Table22[[#This Row],[2028]]*(1+$C$25)</f>
        <v>46.996993337042994</v>
      </c>
      <c r="H25" s="32">
        <f>Table22[[#This Row],[2029]]*(1+$C$25)</f>
        <v>64.606114219153866</v>
      </c>
      <c r="J25" s="34" t="s">
        <v>84</v>
      </c>
      <c r="K25" s="32">
        <f>'Balance Sheet'!N38</f>
        <v>1106</v>
      </c>
      <c r="L25" s="141">
        <f>('Balance Sheet'!N38/'Balance Sheet'!L38)^(1/3)-1</f>
        <v>0.14801064914244288</v>
      </c>
      <c r="M25" s="32">
        <f>Table2231[[#This Row],[2024 (Actual)]]*(1+L25)</f>
        <v>1269.6997779515418</v>
      </c>
      <c r="N25" s="32">
        <f>Table2231[[#This Row],[2025]]*(1+$L$25)</f>
        <v>1457.6288663021651</v>
      </c>
      <c r="O25" s="32">
        <f>Table2231[[#This Row],[2026]]*(1+$L$25)</f>
        <v>1673.3734610123117</v>
      </c>
      <c r="P25" s="32">
        <f>Table2231[[#This Row],[2027]]*(1+$L$25)</f>
        <v>1921.0505532344803</v>
      </c>
      <c r="Q25" s="32">
        <f>Table2231[[#This Row],[2028]]*(1+$L$25)</f>
        <v>2205.3864926541646</v>
      </c>
      <c r="R25" s="32">
        <f>Table2231[[#This Row],[2029]]*(1+$L$25)</f>
        <v>2531.807179041883</v>
      </c>
      <c r="T25" s="188" t="s">
        <v>84</v>
      </c>
      <c r="U25" s="189">
        <f>'Balance Sheet'!V44</f>
        <v>137.21</v>
      </c>
      <c r="V25" s="190">
        <f>AVERAGE('Balance Sheet'!Q44:V44)/AVERAGE('Income Statement'!Q6:V6)</f>
        <v>2.850212513673663E-3</v>
      </c>
      <c r="W25" s="189">
        <f>'Income Statement Forecast'!W6*$V$25</f>
        <v>258.43079158423342</v>
      </c>
      <c r="X25" s="189">
        <f>'Income Statement Forecast'!X6*$V$25</f>
        <v>278.53128195971198</v>
      </c>
      <c r="Y25" s="189">
        <f>'Income Statement Forecast'!Y6*$V$25</f>
        <v>300.24506019000228</v>
      </c>
      <c r="Z25" s="189">
        <f>'Income Statement Forecast'!Z6*$V$25</f>
        <v>323.70138317925347</v>
      </c>
      <c r="AA25" s="189">
        <f>'Income Statement Forecast'!AA6*$V$25</f>
        <v>349.03986492157946</v>
      </c>
      <c r="AC25" s="63" t="s">
        <v>543</v>
      </c>
      <c r="AD25" s="32">
        <f>AI67</f>
        <v>9691</v>
      </c>
      <c r="AE25" s="96"/>
      <c r="AF25" s="32">
        <f>'Income Statement Forecast'!AF6*'Balance Sheet Forecast'!$AJ$68*'Balance Sheet Forecast'!$AJ$69</f>
        <v>4762.706875220304</v>
      </c>
      <c r="AG25" s="32">
        <f>'Income Statement Forecast'!AG6*'Balance Sheet Forecast'!$AJ$68*'Balance Sheet Forecast'!$AJ$69</f>
        <v>5678.9914821367138</v>
      </c>
      <c r="AH25" s="32">
        <f>'Income Statement Forecast'!AH6*'Balance Sheet Forecast'!$AJ$68*'Balance Sheet Forecast'!$AJ$69</f>
        <v>6771.5733108294662</v>
      </c>
      <c r="AI25" s="32">
        <f>'Income Statement Forecast'!AI6*'Balance Sheet Forecast'!$AJ$68*'Balance Sheet Forecast'!$AJ$69</f>
        <v>8074.3760491150597</v>
      </c>
      <c r="AJ25" s="32">
        <f>'Income Statement Forecast'!AJ6*'Balance Sheet Forecast'!$AJ$68*'Balance Sheet Forecast'!$AJ$69</f>
        <v>9627.851796456971</v>
      </c>
      <c r="AL25" s="63" t="s">
        <v>543</v>
      </c>
      <c r="AM25" s="32">
        <f>'Balance Sheet'!AL42</f>
        <v>499.2</v>
      </c>
      <c r="AN25" s="96">
        <f>AVERAGE('Balance Sheet'!AG42:AL42)/AVERAGE('Balance Sheet Forecast'!AM40:AR40)</f>
        <v>4.6204352438190793E-2</v>
      </c>
      <c r="AO25" s="32">
        <f>'Income Statement Forecast'!AO6*'Balance Sheet Forecast'!$AN$25</f>
        <v>1043.0815738043809</v>
      </c>
      <c r="AP25" s="32">
        <f>'Income Statement Forecast'!AP6*'Balance Sheet Forecast'!$AN$25</f>
        <v>1357.5515650754942</v>
      </c>
      <c r="AQ25" s="32">
        <f>'Income Statement Forecast'!AQ6*'Balance Sheet Forecast'!$AN$25</f>
        <v>1767.4342293583918</v>
      </c>
      <c r="AR25" s="32">
        <f>'Income Statement Forecast'!AR6*'Balance Sheet Forecast'!$AN$25</f>
        <v>2301.7184828099867</v>
      </c>
      <c r="AS25" s="32">
        <f>'Income Statement Forecast'!AS6*'Balance Sheet Forecast'!$AN$25</f>
        <v>2998.203467237257</v>
      </c>
      <c r="AU25" s="134" t="s">
        <v>49</v>
      </c>
      <c r="AV25" s="159"/>
      <c r="AW25" s="159"/>
      <c r="AX25" s="159"/>
      <c r="AY25" s="159"/>
      <c r="AZ25" s="159"/>
      <c r="BA25" s="159"/>
      <c r="BB25" s="159"/>
      <c r="BC25" s="157"/>
    </row>
    <row r="26" spans="1:55" x14ac:dyDescent="0.3">
      <c r="A26" s="63" t="s">
        <v>552</v>
      </c>
      <c r="B26" s="32">
        <f>'Balance Sheet'!G43</f>
        <v>112.48</v>
      </c>
      <c r="C26" s="96">
        <f>('Balance Sheet'!G43/'Balance Sheet'!B43)^(1/6)-1</f>
        <v>0.15495421059393411</v>
      </c>
      <c r="D26" s="32">
        <f>Table22[[#This Row],[2025 (Current)]]*(1+C26)</f>
        <v>129.90924960760572</v>
      </c>
      <c r="E26" s="32">
        <f>Table22[[#This Row],[2026]]*(1+$C$26)</f>
        <v>150.0392348294026</v>
      </c>
      <c r="F26" s="32">
        <f>Table22[[#This Row],[2027]]*(1+$C$26)</f>
        <v>173.28844602051058</v>
      </c>
      <c r="G26" s="32">
        <f>Table22[[#This Row],[2028]]*(1+$C$26)</f>
        <v>200.14022037866835</v>
      </c>
      <c r="H26" s="32">
        <f>Table22[[#This Row],[2029]]*(1+$C$26)</f>
        <v>231.15279023554089</v>
      </c>
      <c r="J26" s="63" t="s">
        <v>94</v>
      </c>
      <c r="K26" s="32">
        <f>'Balance Sheet'!N39+'Balance Sheet'!N40+'Balance Sheet'!N42</f>
        <v>6537</v>
      </c>
      <c r="L26" s="141">
        <f>(('Balance Sheet'!N39+'Balance Sheet'!N40+'Balance Sheet'!N42)/('Balance Sheet'!J39+'Balance Sheet'!J40+'Balance Sheet'!J42))^(1/6)-1</f>
        <v>0.21057118259187235</v>
      </c>
      <c r="M26" s="32">
        <f>Table2231[[#This Row],[2024 (Actual)]]*(1+L26)</f>
        <v>7913.5038206030695</v>
      </c>
      <c r="N26" s="32">
        <f>Table2231[[#This Row],[2025]]*(1+$L$26)</f>
        <v>9579.859678552757</v>
      </c>
      <c r="O26" s="32">
        <f>Table2231[[#This Row],[2026]]*(1+$L$26)</f>
        <v>11597.102060129806</v>
      </c>
      <c r="P26" s="32">
        <f>Table2231[[#This Row],[2027]]*(1+$L$26)</f>
        <v>14039.117555569979</v>
      </c>
      <c r="Q26" s="32">
        <f>Table2231[[#This Row],[2028]]*(1+$L$26)</f>
        <v>16995.351141792667</v>
      </c>
      <c r="R26" s="32">
        <f>Table2231[[#This Row],[2029]]*(1+$L$26)</f>
        <v>20574.082330284076</v>
      </c>
      <c r="T26" s="185" t="s">
        <v>94</v>
      </c>
      <c r="U26" s="186">
        <f>'Balance Sheet'!V45+'Balance Sheet'!V46+'Balance Sheet'!V48</f>
        <v>638.96</v>
      </c>
      <c r="V26" s="187">
        <f>((Table32[[#This Row],[2025 (Current)]])/('Balance Sheet'!Q45+'Balance Sheet'!Q46+'Balance Sheet'!Q48))^(1/6)-1</f>
        <v>0.12248547270808618</v>
      </c>
      <c r="W26" s="186">
        <f>Table32[[#This Row],[2025 (Current)]]*(1+V26)</f>
        <v>717.22331764155876</v>
      </c>
      <c r="X26" s="186">
        <f>Table32[[#This Row],[2026]]*(1+$V$26)</f>
        <v>805.07275474014693</v>
      </c>
      <c r="Y26" s="186">
        <f>Table32[[#This Row],[2027]]*(1+$V$26)</f>
        <v>903.682471668895</v>
      </c>
      <c r="Z26" s="186">
        <f>Table32[[#This Row],[2028]]*(1+$V$26)</f>
        <v>1014.3704463892714</v>
      </c>
      <c r="AA26" s="186">
        <f>Table32[[#This Row],[2029]]*(1+$V$26)</f>
        <v>1138.6160900163736</v>
      </c>
      <c r="AC26" s="63" t="s">
        <v>84</v>
      </c>
      <c r="AD26" s="32">
        <f>'Balance Sheet'!AD41</f>
        <v>2318</v>
      </c>
      <c r="AE26" s="96">
        <f>AVERAGE('Balance Sheet'!Y41:AD41)/AVERAGE('Income Statement'!Y6:AD6)</f>
        <v>4.0840760941865104E-2</v>
      </c>
      <c r="AF26" s="32">
        <f>'Income Statement Forecast'!AF6*'Balance Sheet Forecast'!$AE$26</f>
        <v>2967.7472084162764</v>
      </c>
      <c r="AG26" s="32">
        <f>'Income Statement Forecast'!AG6*'Balance Sheet Forecast'!$AE$26</f>
        <v>3538.7042619437825</v>
      </c>
      <c r="AH26" s="32">
        <f>'Income Statement Forecast'!AH6*'Balance Sheet Forecast'!$AE$26</f>
        <v>4219.5159845672288</v>
      </c>
      <c r="AI26" s="32">
        <f>'Income Statement Forecast'!AI6*'Balance Sheet Forecast'!$AE$26</f>
        <v>5031.32097088298</v>
      </c>
      <c r="AJ26" s="32">
        <f>'Income Statement Forecast'!AJ6*'Balance Sheet Forecast'!$AE$26</f>
        <v>5999.3258121011559</v>
      </c>
      <c r="AL26" s="63" t="s">
        <v>84</v>
      </c>
      <c r="AM26" s="32">
        <f>'Balance Sheet'!AL43</f>
        <v>1101.8</v>
      </c>
      <c r="AN26" s="96">
        <f>AVERAGE('Balance Sheet'!AG43:AL43)/AVERAGE('Income Statement'!AG6:AL6)</f>
        <v>0.29507203012755195</v>
      </c>
      <c r="AO26" s="32">
        <f>'Income Statement Forecast'!AO6*'Balance Sheet Forecast'!$AN$26</f>
        <v>6661.3680601375045</v>
      </c>
      <c r="AP26" s="32">
        <f>'Income Statement Forecast'!AP6*'Balance Sheet Forecast'!$AN$26</f>
        <v>8669.648532473766</v>
      </c>
      <c r="AQ26" s="32">
        <f>'Income Statement Forecast'!AQ6*'Balance Sheet Forecast'!$AN$26</f>
        <v>11287.257123046196</v>
      </c>
      <c r="AR26" s="32">
        <f>'Income Statement Forecast'!AR6*'Balance Sheet Forecast'!$AN$26</f>
        <v>14699.323974151681</v>
      </c>
      <c r="AS26" s="32">
        <f>'Income Statement Forecast'!AS6*'Balance Sheet Forecast'!$AN$26</f>
        <v>19147.243433324566</v>
      </c>
      <c r="AU26" s="160" t="s">
        <v>543</v>
      </c>
      <c r="AV26" s="158">
        <f>AZ67</f>
        <v>840.68899999999996</v>
      </c>
      <c r="AW26" s="242">
        <f>BB69</f>
        <v>0.17300303327405123</v>
      </c>
      <c r="AX26" s="158">
        <f>'Income Statement Forecast'!AX6*'Balance Sheet Forecast'!$AW$26*'Balance Sheet Forecast'!$BB$68</f>
        <v>2339.7562511634956</v>
      </c>
      <c r="AY26" s="158">
        <f>'Income Statement Forecast'!AY6*'Balance Sheet Forecast'!$AW$26*'Balance Sheet Forecast'!$BB$68</f>
        <v>2829.0924796234449</v>
      </c>
      <c r="AZ26" s="158">
        <f>'Income Statement Forecast'!AZ6*'Balance Sheet Forecast'!$AW$26*'Balance Sheet Forecast'!$BB$68</f>
        <v>3420.7697462629162</v>
      </c>
      <c r="BA26" s="158">
        <f>'Income Statement Forecast'!BA6*'Balance Sheet Forecast'!$AW$26*'Balance Sheet Forecast'!$BB$68</f>
        <v>4136.1922128728665</v>
      </c>
      <c r="BB26" s="158">
        <f>'Income Statement Forecast'!BB6*'Balance Sheet Forecast'!$AW$26*'Balance Sheet Forecast'!$BB$68</f>
        <v>5001.2406884289876</v>
      </c>
      <c r="BC26" s="158">
        <f>'Income Statement Forecast'!BC6*'Balance Sheet Forecast'!$AW$26*'Balance Sheet Forecast'!$BB$68</f>
        <v>6047.208926964634</v>
      </c>
    </row>
    <row r="27" spans="1:55" x14ac:dyDescent="0.3">
      <c r="A27" s="18" t="s">
        <v>80</v>
      </c>
      <c r="B27" s="40"/>
      <c r="C27" s="99"/>
      <c r="D27" s="40"/>
      <c r="E27" s="40"/>
      <c r="F27" s="40"/>
      <c r="G27" s="40"/>
      <c r="H27" s="40"/>
      <c r="J27" s="164" t="s">
        <v>552</v>
      </c>
      <c r="K27" s="152">
        <f>'Balance Sheet'!N41</f>
        <v>6557</v>
      </c>
      <c r="L27" s="156">
        <f>('Balance Sheet'!N41/'Balance Sheet'!L41)^(1/3)-1</f>
        <v>3.0721014655700873E-2</v>
      </c>
      <c r="M27" s="152">
        <f>Table2231[[#This Row],[2024 (Actual)]]*(1+L27)</f>
        <v>6758.4376930974304</v>
      </c>
      <c r="N27" s="152">
        <f>Table2231[[#This Row],[2025]]*(1+$L$27)</f>
        <v>6966.0637565167181</v>
      </c>
      <c r="O27" s="152">
        <f>Table2231[[#This Row],[2026]]*(1+$L$27)</f>
        <v>7180.068303273215</v>
      </c>
      <c r="P27" s="152">
        <f>Table2231[[#This Row],[2027]]*(1+$L$27)</f>
        <v>7400.6472868470046</v>
      </c>
      <c r="Q27" s="152">
        <f>Table2231[[#This Row],[2028]]*(1+$L$27)</f>
        <v>7628.002680607904</v>
      </c>
      <c r="R27" s="152">
        <f>Table2231[[#This Row],[2029]]*(1+$L$27)</f>
        <v>7862.3426627525851</v>
      </c>
      <c r="T27" s="188" t="s">
        <v>552</v>
      </c>
      <c r="U27" s="189">
        <f>'Balance Sheet'!V47</f>
        <v>2582.46</v>
      </c>
      <c r="V27" s="190">
        <f>(Table32[[#This Row],[2025 (Current)]]/'Balance Sheet'!Q47)^(1/6)-1</f>
        <v>8.002077938106833E-2</v>
      </c>
      <c r="W27" s="189">
        <f>Table32[[#This Row],[2025 (Current)]]*(1+V27)</f>
        <v>2789.1104619204339</v>
      </c>
      <c r="X27" s="189">
        <f>Table32[[#This Row],[2026]]*(1+$V$27)</f>
        <v>3012.2972548631983</v>
      </c>
      <c r="Y27" s="189">
        <f>Table32[[#This Row],[2027]]*(1+$V$27)</f>
        <v>3253.3436289248039</v>
      </c>
      <c r="Z27" s="189">
        <f>Table32[[#This Row],[2028]]*(1+$V$27)</f>
        <v>3513.6787217057999</v>
      </c>
      <c r="AA27" s="189">
        <f>Table32[[#This Row],[2029]]*(1+$V$27)</f>
        <v>3794.8460315113739</v>
      </c>
      <c r="AC27" s="63" t="s">
        <v>94</v>
      </c>
      <c r="AD27" s="32">
        <f>'Balance Sheet'!AD42+'Balance Sheet'!AD43+'Balance Sheet'!AD45</f>
        <v>315</v>
      </c>
      <c r="AE27" s="96">
        <f>AJ75</f>
        <v>6.1372001241630078E-3</v>
      </c>
      <c r="AF27" s="32">
        <f>'Income Statement Forecast'!AF6*'Balance Sheet Forecast'!$AE$27</f>
        <v>445.96765868057832</v>
      </c>
      <c r="AG27" s="32">
        <f>'Income Statement Forecast'!AG6*'Balance Sheet Forecast'!$AE$27</f>
        <v>531.76619962325674</v>
      </c>
      <c r="AH27" s="32">
        <f>'Income Statement Forecast'!AH6*'Balance Sheet Forecast'!$AE$27</f>
        <v>634.07276033018945</v>
      </c>
      <c r="AI27" s="32">
        <f>'Income Statement Forecast'!AI6*'Balance Sheet Forecast'!$AE$27</f>
        <v>756.06386793724698</v>
      </c>
      <c r="AJ27" s="32">
        <f>'Income Statement Forecast'!AJ6*'Balance Sheet Forecast'!$AE$27</f>
        <v>901.5273533059717</v>
      </c>
      <c r="AL27" s="63" t="s">
        <v>94</v>
      </c>
      <c r="AM27" s="32">
        <f>AR66</f>
        <v>224.59</v>
      </c>
      <c r="AN27" s="96">
        <f>AS66</f>
        <v>1.1323626139778428E-2</v>
      </c>
      <c r="AO27" s="32">
        <f>'Income Statement Forecast'!AO6*'Balance Sheet Forecast'!$AN$27</f>
        <v>255.63534930725689</v>
      </c>
      <c r="AP27" s="32">
        <f>'Income Statement Forecast'!AP6*'Balance Sheet Forecast'!$AN$27</f>
        <v>332.70472536002308</v>
      </c>
      <c r="AQ27" s="32">
        <f>'Income Statement Forecast'!AQ6*'Balance Sheet Forecast'!$AN$27</f>
        <v>433.15755732482023</v>
      </c>
      <c r="AR27" s="32">
        <f>'Income Statement Forecast'!AR6*'Balance Sheet Forecast'!$AN$27</f>
        <v>564.09836309738967</v>
      </c>
      <c r="AS27" s="32">
        <f>'Income Statement Forecast'!AS6*'Balance Sheet Forecast'!$AN$27</f>
        <v>734.79084463739548</v>
      </c>
      <c r="AU27" s="34" t="s">
        <v>84</v>
      </c>
      <c r="AV27" s="32">
        <f>0</f>
        <v>0</v>
      </c>
      <c r="AW27" s="141"/>
      <c r="AX27" s="32">
        <f>0</f>
        <v>0</v>
      </c>
      <c r="AY27" s="32">
        <f>0</f>
        <v>0</v>
      </c>
      <c r="AZ27" s="32">
        <f>0</f>
        <v>0</v>
      </c>
      <c r="BA27" s="32">
        <f>0</f>
        <v>0</v>
      </c>
      <c r="BB27" s="32">
        <f>0</f>
        <v>0</v>
      </c>
      <c r="BC27" s="32">
        <f>0</f>
        <v>0</v>
      </c>
    </row>
    <row r="28" spans="1:55" x14ac:dyDescent="0.3">
      <c r="A28" s="34" t="s">
        <v>495</v>
      </c>
      <c r="B28" s="32">
        <f>'Balance Sheet'!G49+'Balance Sheet'!G50</f>
        <v>1070.81</v>
      </c>
      <c r="C28" s="96">
        <f>(('Balance Sheet'!G49+'Balance Sheet'!G50)/('Balance Sheet'!B49+'Balance Sheet'!B50))^(1/6)-1</f>
        <v>0.16268544327034462</v>
      </c>
      <c r="D28" s="32">
        <f>Table22[[#This Row],[2025 (Current)]]*(1+C28)</f>
        <v>1245.0151995083177</v>
      </c>
      <c r="E28" s="32">
        <f>Table22[[#This Row],[2026]]*(1+$C$28)</f>
        <v>1447.5610491186449</v>
      </c>
      <c r="F28" s="32">
        <f>Table22[[#This Row],[2027]]*(1+$C$28)</f>
        <v>1683.0581600553967</v>
      </c>
      <c r="G28" s="32">
        <f>Table22[[#This Row],[2028]]*(1+$C$28)</f>
        <v>1956.8672228737796</v>
      </c>
      <c r="H28" s="32">
        <f>Table22[[#This Row],[2029]]*(1+$C$28)</f>
        <v>2275.2210344482087</v>
      </c>
      <c r="J28" s="134" t="s">
        <v>80</v>
      </c>
      <c r="K28" s="159"/>
      <c r="L28" s="159"/>
      <c r="M28" s="159"/>
      <c r="N28" s="159"/>
      <c r="O28" s="159"/>
      <c r="P28" s="159"/>
      <c r="Q28" s="159"/>
      <c r="R28" s="157"/>
      <c r="T28" s="168" t="s">
        <v>80</v>
      </c>
      <c r="U28" s="40"/>
      <c r="V28" s="99"/>
      <c r="W28" s="40"/>
      <c r="X28" s="40"/>
      <c r="Y28" s="40"/>
      <c r="Z28" s="40"/>
      <c r="AA28" s="191"/>
      <c r="AC28" s="63" t="s">
        <v>552</v>
      </c>
      <c r="AD28" s="32">
        <f>'Balance Sheet'!AD42</f>
        <v>6</v>
      </c>
      <c r="AE28" s="96"/>
      <c r="AF28" s="32">
        <f>$AD$28</f>
        <v>6</v>
      </c>
      <c r="AG28" s="32">
        <f t="shared" ref="AG28:AJ28" si="21">$AD$28</f>
        <v>6</v>
      </c>
      <c r="AH28" s="32">
        <f t="shared" si="21"/>
        <v>6</v>
      </c>
      <c r="AI28" s="32">
        <f t="shared" si="21"/>
        <v>6</v>
      </c>
      <c r="AJ28" s="32">
        <f t="shared" si="21"/>
        <v>6</v>
      </c>
      <c r="AL28" s="63" t="s">
        <v>552</v>
      </c>
      <c r="AM28" s="32">
        <f>0</f>
        <v>0</v>
      </c>
      <c r="AN28" s="32"/>
      <c r="AO28" s="32">
        <f>0</f>
        <v>0</v>
      </c>
      <c r="AP28" s="32">
        <f>0</f>
        <v>0</v>
      </c>
      <c r="AQ28" s="32">
        <f>0</f>
        <v>0</v>
      </c>
      <c r="AR28" s="32">
        <f>0</f>
        <v>0</v>
      </c>
      <c r="AS28" s="32">
        <f>0</f>
        <v>0</v>
      </c>
      <c r="AU28" s="63" t="s">
        <v>94</v>
      </c>
      <c r="AV28" s="32">
        <f>AZ75</f>
        <v>551.25099999999998</v>
      </c>
      <c r="AW28" s="141">
        <f>BB75</f>
        <v>2.7377314827886846E-2</v>
      </c>
      <c r="AX28" s="32">
        <f>'Income Statement Forecast'!AX6*'Balance Sheet Forecast'!$AW$28</f>
        <v>682.00750796759041</v>
      </c>
      <c r="AY28" s="32">
        <f>'Income Statement Forecast'!AY6*'Balance Sheet Forecast'!$AW$28</f>
        <v>824.64244336493118</v>
      </c>
      <c r="AZ28" s="32">
        <f>'Income Statement Forecast'!AZ6*'Balance Sheet Forecast'!$AW$28</f>
        <v>997.10841623761758</v>
      </c>
      <c r="BA28" s="32">
        <f>'Income Statement Forecast'!BA6*'Balance Sheet Forecast'!$AW$28</f>
        <v>1205.6444521405233</v>
      </c>
      <c r="BB28" s="32">
        <f>'Income Statement Forecast'!BB6*'Balance Sheet Forecast'!$AW$28</f>
        <v>1457.7944591302762</v>
      </c>
      <c r="BC28" s="32">
        <f>'Income Statement Forecast'!BC6*'Balance Sheet Forecast'!$AW$28</f>
        <v>1762.6801460142042</v>
      </c>
    </row>
    <row r="29" spans="1:55" x14ac:dyDescent="0.3">
      <c r="A29" s="34" t="s">
        <v>84</v>
      </c>
      <c r="B29" s="32">
        <f>'Balance Sheet'!G48</f>
        <v>263.83</v>
      </c>
      <c r="C29" s="96">
        <f>'Income Statement'!B27</f>
        <v>2.2607336125937478E-2</v>
      </c>
      <c r="D29" s="32">
        <f>'Income Statement Forecast'!D8*'Balance Sheet Forecast'!$C$29</f>
        <v>1339.9213511657131</v>
      </c>
      <c r="E29" s="32">
        <f>'Income Statement Forecast'!E8*'Balance Sheet Forecast'!$C$29</f>
        <v>1548.9071881757216</v>
      </c>
      <c r="F29" s="32">
        <f>'Income Statement Forecast'!F8*'Balance Sheet Forecast'!$C$29</f>
        <v>1790.4902582111386</v>
      </c>
      <c r="G29" s="32">
        <f>'Income Statement Forecast'!G8*'Balance Sheet Forecast'!$C$29</f>
        <v>2069.7552740389842</v>
      </c>
      <c r="H29" s="32">
        <f>'Income Statement Forecast'!H8*'Balance Sheet Forecast'!$C$29</f>
        <v>2392.5801255246324</v>
      </c>
      <c r="J29" s="160" t="s">
        <v>495</v>
      </c>
      <c r="K29" s="158">
        <f>'Balance Sheet'!N47+'Balance Sheet'!N48</f>
        <v>10486</v>
      </c>
      <c r="L29" s="165">
        <f>R56</f>
        <v>0.34303102012313869</v>
      </c>
      <c r="M29" s="158">
        <f>'Income Statement Forecast'!M8*'Balance Sheet Forecast'!$L$29</f>
        <v>11113.08435808861</v>
      </c>
      <c r="N29" s="158">
        <f>'Income Statement Forecast'!N8*'Balance Sheet Forecast'!$L$29</f>
        <v>11957.95238553389</v>
      </c>
      <c r="O29" s="158">
        <f>'Income Statement Forecast'!O8*'Balance Sheet Forecast'!$L$29</f>
        <v>12867.210243341429</v>
      </c>
      <c r="P29" s="158">
        <f>'Income Statement Forecast'!P8*'Balance Sheet Forecast'!$L$29</f>
        <v>13845.772054412342</v>
      </c>
      <c r="Q29" s="158">
        <f>'Income Statement Forecast'!Q8*'Balance Sheet Forecast'!$L$29</f>
        <v>14898.927268172532</v>
      </c>
      <c r="R29" s="158">
        <f>'Income Statement Forecast'!R8*'Balance Sheet Forecast'!$L$29</f>
        <v>16032.369339214725</v>
      </c>
      <c r="T29" s="188" t="s">
        <v>495</v>
      </c>
      <c r="U29" s="189">
        <f>Z57</f>
        <v>4807.3</v>
      </c>
      <c r="V29" s="190">
        <f>AA58</f>
        <v>0.17999722140183372</v>
      </c>
      <c r="W29" s="189">
        <f>'Income Statement Forecast'!W8*'Balance Sheet Forecast'!$V$29</f>
        <v>5923.1019378202745</v>
      </c>
      <c r="X29" s="189">
        <f>'Income Statement Forecast'!X8*'Balance Sheet Forecast'!$V$29</f>
        <v>6383.794925541627</v>
      </c>
      <c r="Y29" s="189">
        <f>'Income Statement Forecast'!Y8*'Balance Sheet Forecast'!$V$29</f>
        <v>6881.4636480835843</v>
      </c>
      <c r="Z29" s="189">
        <f>'Income Statement Forecast'!Z8*'Balance Sheet Forecast'!$V$29</f>
        <v>7419.0706077654277</v>
      </c>
      <c r="AA29" s="189">
        <f>'Income Statement Forecast'!AA8*'Balance Sheet Forecast'!$V$29</f>
        <v>7999.815686126095</v>
      </c>
      <c r="AC29" s="168" t="s">
        <v>80</v>
      </c>
      <c r="AD29" s="154"/>
      <c r="AE29" s="220"/>
      <c r="AF29" s="154"/>
      <c r="AG29" s="154"/>
      <c r="AH29" s="154"/>
      <c r="AI29" s="154"/>
      <c r="AJ29" s="169"/>
      <c r="AL29" s="168" t="s">
        <v>80</v>
      </c>
      <c r="AM29" s="154"/>
      <c r="AN29" s="220"/>
      <c r="AO29" s="154"/>
      <c r="AP29" s="154"/>
      <c r="AQ29" s="154"/>
      <c r="AR29" s="154"/>
      <c r="AS29" s="169"/>
      <c r="AU29" s="164" t="s">
        <v>552</v>
      </c>
      <c r="AV29" s="152">
        <f>'Balance Sheet'!AS41</f>
        <v>487.90899999999999</v>
      </c>
      <c r="AW29" s="156">
        <f>('Balance Sheet'!AS41/'Balance Sheet'!AO41)^(1/6)-1</f>
        <v>0.13690276590390815</v>
      </c>
      <c r="AX29" s="152">
        <f>VBL_BSF[[#This Row],[2024 (Actual)]]*(1+AW29)</f>
        <v>554.70509160940992</v>
      </c>
      <c r="AY29" s="152">
        <f>VBL_BSF[[#This Row],[2025]]*(1+$AW$29)</f>
        <v>630.64575291171889</v>
      </c>
      <c r="AZ29" s="152">
        <f>VBL_BSF[[#This Row],[2026]]*(1+$AW$29)</f>
        <v>716.98290079088588</v>
      </c>
      <c r="BA29" s="152">
        <f>VBL_BSF[[#This Row],[2027]]*(1+$AW$29)</f>
        <v>815.13984301496555</v>
      </c>
      <c r="BB29" s="152">
        <f>VBL_BSF[[#This Row],[2028]]*(1+$AW$29)</f>
        <v>926.73474212219185</v>
      </c>
      <c r="BC29" s="152">
        <f>VBL_BSF[[#This Row],[2029]]*(1+$AW$29)</f>
        <v>1053.607291577965</v>
      </c>
    </row>
    <row r="30" spans="1:55" x14ac:dyDescent="0.3">
      <c r="A30" s="34" t="s">
        <v>494</v>
      </c>
      <c r="B30" s="32">
        <f>'Balance Sheet'!G47</f>
        <v>0</v>
      </c>
      <c r="C30" s="96"/>
      <c r="D30" s="32"/>
      <c r="E30" s="32"/>
      <c r="F30" s="32"/>
      <c r="G30" s="32"/>
      <c r="H30" s="131"/>
      <c r="J30" s="34" t="s">
        <v>84</v>
      </c>
      <c r="K30" s="32">
        <f>'Balance Sheet'!N46</f>
        <v>365</v>
      </c>
      <c r="L30" s="96">
        <f>('Balance Sheet'!N46/'Balance Sheet'!L46)^(1/3)-1</f>
        <v>9.5004799792078209E-2</v>
      </c>
      <c r="M30" s="32">
        <f>Table2231[[#This Row],[2024 (Actual)]]*(1+L30)</f>
        <v>399.67675192410854</v>
      </c>
      <c r="N30" s="32">
        <f>Table2231[[#This Row],[2025]]*(1+$L$30)</f>
        <v>437.64796172220656</v>
      </c>
      <c r="O30" s="32">
        <f>Table2231[[#This Row],[2026]]*(1+$L$30)</f>
        <v>479.22661870503589</v>
      </c>
      <c r="P30" s="32">
        <f>Table2231[[#This Row],[2027]]*(1+$L$30)</f>
        <v>524.75544767014242</v>
      </c>
      <c r="Q30" s="32">
        <f>Table2231[[#This Row],[2028]]*(1+$L$30)</f>
        <v>574.60973391584662</v>
      </c>
      <c r="R30" s="32">
        <f>Table2231[[#This Row],[2029]]*(1+$L$30)</f>
        <v>629.20041664510097</v>
      </c>
      <c r="T30" s="185" t="s">
        <v>84</v>
      </c>
      <c r="U30" s="186">
        <f>'Balance Sheet'!V55</f>
        <v>56.07</v>
      </c>
      <c r="V30" s="187">
        <f>AVERAGE('Balance Sheet'!Q55:V55)/AVERAGE('Income Statement'!Q6:V6)</f>
        <v>8.1620748966394763E-4</v>
      </c>
      <c r="W30" s="186">
        <f>'Income Statement Forecast'!W6*$V$30</f>
        <v>74.006112400005051</v>
      </c>
      <c r="X30" s="186">
        <f>'Income Statement Forecast'!X6*$V$30</f>
        <v>79.762234342378264</v>
      </c>
      <c r="Y30" s="186">
        <f>'Income Statement Forecast'!Y6*$V$30</f>
        <v>85.980349074329126</v>
      </c>
      <c r="Z30" s="186">
        <f>'Income Statement Forecast'!Z6*$V$30</f>
        <v>92.697471538691261</v>
      </c>
      <c r="AA30" s="186">
        <f>'Income Statement Forecast'!AA6*$V$30</f>
        <v>99.953582609561266</v>
      </c>
      <c r="AC30" s="63" t="s">
        <v>495</v>
      </c>
      <c r="AD30" s="32">
        <f>AI57</f>
        <v>1963</v>
      </c>
      <c r="AE30" s="96">
        <f>AJ58</f>
        <v>4.4050898387954417E-2</v>
      </c>
      <c r="AF30" s="32">
        <f>'Income Statement Forecast'!AF8*'Balance Sheet Forecast'!$AE$30</f>
        <v>2399.2206294365724</v>
      </c>
      <c r="AG30" s="32">
        <f>'Income Statement Forecast'!AG8*'Balance Sheet Forecast'!$AE$30</f>
        <v>2860.8003547786539</v>
      </c>
      <c r="AH30" s="32">
        <f>'Income Statement Forecast'!AH8*'Balance Sheet Forecast'!$AE$30</f>
        <v>3411.1900662231428</v>
      </c>
      <c r="AI30" s="32">
        <f>'Income Statement Forecast'!AI8*'Balance Sheet Forecast'!$AE$30</f>
        <v>4067.478871659373</v>
      </c>
      <c r="AJ30" s="32">
        <f>'Income Statement Forecast'!AJ8*'Balance Sheet Forecast'!$AE$30</f>
        <v>4850.0445759952518</v>
      </c>
      <c r="AL30" s="63" t="s">
        <v>495</v>
      </c>
      <c r="AM30" s="32">
        <f>AR51</f>
        <v>928.19</v>
      </c>
      <c r="AN30" s="96">
        <f>AS52</f>
        <v>0.13957608399172547</v>
      </c>
      <c r="AO30" s="32">
        <f>'Income Statement Forecast'!AO8*'Balance Sheet Forecast'!$AN$30</f>
        <v>1712.2772186252218</v>
      </c>
      <c r="AP30" s="32">
        <f>'Income Statement Forecast'!AP8*'Balance Sheet Forecast'!$AN$30</f>
        <v>2228.4974410100363</v>
      </c>
      <c r="AQ30" s="32">
        <f>'Income Statement Forecast'!AQ8*'Balance Sheet Forecast'!$AN$30</f>
        <v>2901.3429460852094</v>
      </c>
      <c r="AR30" s="32">
        <f>'Income Statement Forecast'!AR8*'Balance Sheet Forecast'!$AN$30</f>
        <v>3778.4006742921115</v>
      </c>
      <c r="AS30" s="32">
        <f>'Income Statement Forecast'!AS8*'Balance Sheet Forecast'!$AN$30</f>
        <v>4921.7200482503104</v>
      </c>
      <c r="AU30" s="134" t="s">
        <v>80</v>
      </c>
      <c r="AV30" s="159"/>
      <c r="AW30" s="243"/>
      <c r="AX30" s="159"/>
      <c r="AY30" s="159"/>
      <c r="AZ30" s="159"/>
      <c r="BA30" s="159"/>
      <c r="BB30" s="159"/>
      <c r="BC30" s="157"/>
    </row>
    <row r="31" spans="1:55" x14ac:dyDescent="0.3">
      <c r="A31" s="34" t="s">
        <v>544</v>
      </c>
      <c r="B31" s="32">
        <f>'Balance Sheet'!G54+'Balance Sheet'!G53+'Balance Sheet'!G52+'Balance Sheet'!G51</f>
        <v>877.52</v>
      </c>
      <c r="C31" s="96">
        <f>(('Balance Sheet'!G51+'Balance Sheet'!G52+'Balance Sheet'!G53+'Balance Sheet'!G54)/('Balance Sheet'!B51+'Balance Sheet'!B52+'Balance Sheet'!B53+'Balance Sheet'!B54))^(1/6)-1</f>
        <v>0.26487985432207717</v>
      </c>
      <c r="D31" s="32">
        <f>Table22[[#This Row],[2025 (Current)]]*(1+C31)</f>
        <v>1109.957369764709</v>
      </c>
      <c r="E31" s="32">
        <f>Table22[[#This Row],[2026]]*(1+$C$31)</f>
        <v>1403.962716171701</v>
      </c>
      <c r="F31" s="32">
        <f>Table22[[#This Row],[2027]]*(1+$C$31)</f>
        <v>1775.844155904889</v>
      </c>
      <c r="G31" s="32">
        <f>Table22[[#This Row],[2028]]*(1+$C$31)</f>
        <v>2246.2294972196883</v>
      </c>
      <c r="H31" s="32">
        <f>Table22[[#This Row],[2029]]*(1+$C$31)</f>
        <v>2841.2104392171918</v>
      </c>
      <c r="J31" s="34" t="s">
        <v>494</v>
      </c>
      <c r="K31" s="32">
        <f>'Balance Sheet'!N45</f>
        <v>13</v>
      </c>
      <c r="L31" s="32"/>
      <c r="M31" s="32">
        <f>$K$31</f>
        <v>13</v>
      </c>
      <c r="N31" s="32">
        <f t="shared" ref="N31:R31" si="22">$K$31</f>
        <v>13</v>
      </c>
      <c r="O31" s="32">
        <f t="shared" si="22"/>
        <v>13</v>
      </c>
      <c r="P31" s="32">
        <f t="shared" si="22"/>
        <v>13</v>
      </c>
      <c r="Q31" s="32">
        <f t="shared" si="22"/>
        <v>13</v>
      </c>
      <c r="R31" s="32">
        <f t="shared" si="22"/>
        <v>13</v>
      </c>
      <c r="T31" s="188" t="s">
        <v>494</v>
      </c>
      <c r="U31" s="215">
        <f>'Balance Sheet'!V52</f>
        <v>91.26</v>
      </c>
      <c r="V31" s="190"/>
      <c r="W31" s="189">
        <f>AVERAGE('Balance Sheet'!$Q$52:$V$52)</f>
        <v>23.689999999999998</v>
      </c>
      <c r="X31" s="189">
        <f>AVERAGE('Balance Sheet'!$Q$52:$V$52)</f>
        <v>23.689999999999998</v>
      </c>
      <c r="Y31" s="189">
        <f>AVERAGE('Balance Sheet'!$Q$52:$V$52)</f>
        <v>23.689999999999998</v>
      </c>
      <c r="Z31" s="189">
        <f>AVERAGE('Balance Sheet'!$Q$52:$V$52)</f>
        <v>23.689999999999998</v>
      </c>
      <c r="AA31" s="189">
        <f>AVERAGE('Balance Sheet'!$Q$52:$V$52)</f>
        <v>23.689999999999998</v>
      </c>
      <c r="AC31" s="63" t="s">
        <v>84</v>
      </c>
      <c r="AD31" s="32">
        <f>'Balance Sheet'!AD51</f>
        <v>363</v>
      </c>
      <c r="AE31" s="96">
        <f>AVERAGE('Balance Sheet'!Y51:AD51)/AVERAGE('Income Statement'!Y6:AD6)</f>
        <v>6.8777437807636026E-3</v>
      </c>
      <c r="AF31" s="32">
        <f>'Income Statement Forecast'!AF6*'Balance Sheet Forecast'!$AE$31</f>
        <v>499.78023021212215</v>
      </c>
      <c r="AG31" s="32">
        <f>'Income Statement Forecast'!AG6*'Balance Sheet Forecast'!$AE$31</f>
        <v>595.93162978010935</v>
      </c>
      <c r="AH31" s="32">
        <f>'Income Statement Forecast'!AH6*'Balance Sheet Forecast'!$AE$31</f>
        <v>710.58298502321099</v>
      </c>
      <c r="AI31" s="32">
        <f>'Income Statement Forecast'!AI6*'Balance Sheet Forecast'!$AE$31</f>
        <v>847.2941178978831</v>
      </c>
      <c r="AJ31" s="32">
        <f>'Income Statement Forecast'!AJ6*'Balance Sheet Forecast'!$AE$31</f>
        <v>1010.3099168913022</v>
      </c>
      <c r="AL31" s="63" t="s">
        <v>84</v>
      </c>
      <c r="AM31" s="32">
        <f>'Balance Sheet'!AL51</f>
        <v>636.19000000000005</v>
      </c>
      <c r="AN31" s="96">
        <f>AVERAGE('Balance Sheet'!AG51:AL51)/AVERAGE('Balance Sheet Forecast'!AM40:AR40)</f>
        <v>2.7473980164308652E-2</v>
      </c>
      <c r="AO31" s="32">
        <f>'Income Statement Forecast'!AO6*'Balance Sheet Forecast'!$AN$31</f>
        <v>620.23599414781768</v>
      </c>
      <c r="AP31" s="32">
        <f>'Income Statement Forecast'!AP6*'Balance Sheet Forecast'!$AN$31</f>
        <v>807.2257872416734</v>
      </c>
      <c r="AQ31" s="32">
        <f>'Income Statement Forecast'!AQ6*'Balance Sheet Forecast'!$AN$31</f>
        <v>1050.9497568236882</v>
      </c>
      <c r="AR31" s="32">
        <f>'Income Statement Forecast'!AR6*'Balance Sheet Forecast'!$AN$31</f>
        <v>1368.64525966767</v>
      </c>
      <c r="AS31" s="32">
        <f>'Income Statement Forecast'!AS6*'Balance Sheet Forecast'!$AN$31</f>
        <v>1782.7883790305373</v>
      </c>
      <c r="AU31" s="160" t="s">
        <v>495</v>
      </c>
      <c r="AV31" s="158">
        <f>AZ57</f>
        <v>1560.4270000000001</v>
      </c>
      <c r="AW31" s="242">
        <f>BB58</f>
        <v>0.15414222105651718</v>
      </c>
      <c r="AX31" s="158">
        <f>'Income Statement Forecast'!AX8*'Balance Sheet Forecast'!$AW$31</f>
        <v>1701.9808984838883</v>
      </c>
      <c r="AY31" s="158">
        <f>'Income Statement Forecast'!AY8*'Balance Sheet Forecast'!$AW$31</f>
        <v>2057.9328970567453</v>
      </c>
      <c r="AZ31" s="158">
        <f>'Income Statement Forecast'!AZ8*'Balance Sheet Forecast'!$AW$31</f>
        <v>2488.3296126918781</v>
      </c>
      <c r="BA31" s="158">
        <f>'Income Statement Forecast'!BA8*'Balance Sheet Forecast'!$AW$31</f>
        <v>3008.7408187356127</v>
      </c>
      <c r="BB31" s="158">
        <f>'Income Statement Forecast'!BB8*'Balance Sheet Forecast'!$AW$31</f>
        <v>3637.9926824402164</v>
      </c>
      <c r="BC31" s="158">
        <f>'Income Statement Forecast'!BC8*'Balance Sheet Forecast'!$AW$31</f>
        <v>4398.848844924345</v>
      </c>
    </row>
    <row r="32" spans="1:55" x14ac:dyDescent="0.3">
      <c r="A32" s="106" t="s">
        <v>572</v>
      </c>
      <c r="B32" s="152"/>
      <c r="C32" s="152"/>
      <c r="D32" s="152">
        <v>1350.7881185672195</v>
      </c>
      <c r="E32" s="152">
        <v>3168.6340142446861</v>
      </c>
      <c r="F32" s="152">
        <v>5285.7653095669011</v>
      </c>
      <c r="G32" s="152">
        <v>7749.7837296637736</v>
      </c>
      <c r="H32" s="152">
        <v>10617.087328367175</v>
      </c>
      <c r="J32" s="34" t="s">
        <v>544</v>
      </c>
      <c r="K32" s="32">
        <f>'Balance Sheet'!N51+'Balance Sheet'!N50+'Balance Sheet'!N49</f>
        <v>2012</v>
      </c>
      <c r="L32" s="96">
        <f>(Table2231[[#This Row],[2024 (Actual)]]/('Balance Sheet'!J49+'Balance Sheet'!J50+'Balance Sheet'!J51))^(1/6)-1</f>
        <v>6.7190158226457575E-2</v>
      </c>
      <c r="M32" s="32">
        <f>Table2231[[#This Row],[2024 (Actual)]]*(1+L32)</f>
        <v>2147.1865983516327</v>
      </c>
      <c r="N32" s="32">
        <f>Table2231[[#This Row],[2025]]*(1+$L$32)</f>
        <v>2291.456405636608</v>
      </c>
      <c r="O32" s="32">
        <f>Table2231[[#This Row],[2026]]*(1+$L$32)</f>
        <v>2445.4197241003612</v>
      </c>
      <c r="P32" s="32">
        <f>Table2231[[#This Row],[2027]]*(1+$L$32)</f>
        <v>2609.7278622927647</v>
      </c>
      <c r="Q32" s="32">
        <f>Table2231[[#This Row],[2028]]*(1+$L$32)</f>
        <v>2785.0758902882103</v>
      </c>
      <c r="R32" s="32">
        <f>Table2231[[#This Row],[2029]]*(1+$L$32)</f>
        <v>2972.2055800293674</v>
      </c>
      <c r="T32" s="185" t="s">
        <v>544</v>
      </c>
      <c r="U32" s="186">
        <f>'Balance Sheet'!V56+'Balance Sheet'!V57+'Balance Sheet'!V58+'Balance Sheet'!V59</f>
        <v>9379.4800000000014</v>
      </c>
      <c r="V32" s="187">
        <f>((Table32[[#This Row],[2025 (Current)]])/('Balance Sheet'!Q56+'Balance Sheet'!Q57+'Balance Sheet'!Q58+'Balance Sheet'!Q59))^(1/6)-1</f>
        <v>8.1407665766491055E-2</v>
      </c>
      <c r="W32" s="186">
        <f>Table32[[#This Row],[2025 (Current)]]*(1+V32)</f>
        <v>10143.041572903488</v>
      </c>
      <c r="X32" s="186">
        <f>Table32[[#This Row],[2026]]*(1+$V$32)</f>
        <v>10968.762911126039</v>
      </c>
      <c r="Y32" s="186">
        <f>Table32[[#This Row],[2027]]*(1+$V$32)</f>
        <v>11861.704296066871</v>
      </c>
      <c r="Z32" s="186">
        <f>Table32[[#This Row],[2028]]*(1+$V$32)</f>
        <v>12827.337954822035</v>
      </c>
      <c r="AA32" s="186">
        <f>Table32[[#This Row],[2029]]*(1+$V$32)</f>
        <v>13871.581595722011</v>
      </c>
      <c r="AC32" s="63" t="s">
        <v>494</v>
      </c>
      <c r="AD32" s="32">
        <f>AI70</f>
        <v>595</v>
      </c>
      <c r="AE32" s="96"/>
      <c r="AF32" s="32">
        <f>'Income Statement Forecast'!AF6*'Balance Sheet Forecast'!$AJ$71*'Balance Sheet Forecast'!$AJ$69</f>
        <v>491.28903146404286</v>
      </c>
      <c r="AG32" s="32">
        <f>'Income Statement Forecast'!AG6*'Balance Sheet Forecast'!$AJ$71*'Balance Sheet Forecast'!$AJ$69</f>
        <v>585.806831713203</v>
      </c>
      <c r="AH32" s="32">
        <f>'Income Statement Forecast'!AH6*'Balance Sheet Forecast'!$AJ$71*'Balance Sheet Forecast'!$AJ$69</f>
        <v>698.51027588408658</v>
      </c>
      <c r="AI32" s="32">
        <f>'Income Statement Forecast'!AI6*'Balance Sheet Forecast'!$AJ$71*'Balance Sheet Forecast'!$AJ$69</f>
        <v>832.89870503792292</v>
      </c>
      <c r="AJ32" s="32">
        <f>'Income Statement Forecast'!AJ6*'Balance Sheet Forecast'!$AJ$71*'Balance Sheet Forecast'!$AJ$69</f>
        <v>993.14488757864115</v>
      </c>
      <c r="AL32" s="63" t="s">
        <v>494</v>
      </c>
      <c r="AM32" s="32">
        <v>0</v>
      </c>
      <c r="AN32" s="32"/>
      <c r="AO32" s="32">
        <v>0</v>
      </c>
      <c r="AP32" s="32">
        <v>0</v>
      </c>
      <c r="AQ32" s="32">
        <v>0</v>
      </c>
      <c r="AR32" s="32">
        <v>0</v>
      </c>
      <c r="AS32" s="32">
        <v>0</v>
      </c>
      <c r="AU32" s="34" t="s">
        <v>84</v>
      </c>
      <c r="AV32" s="32">
        <f>'Balance Sheet'!AS46</f>
        <v>104.90300000000001</v>
      </c>
      <c r="AW32" s="96">
        <f>AVERAGE('Balance Sheet'!AR46:AS46)/AVERAGE('Balance Sheet Forecast'!AY40:AZ40)</f>
        <v>3.8899800010907225E-3</v>
      </c>
      <c r="AX32" s="32">
        <f>'Income Statement Forecast'!AX6*'Balance Sheet Forecast'!$AW$32</f>
        <v>96.904885788334397</v>
      </c>
      <c r="AY32" s="32">
        <f>'Income Statement Forecast'!AY6*'Balance Sheet Forecast'!$AW$32</f>
        <v>117.17155728773758</v>
      </c>
      <c r="AZ32" s="32">
        <f>'Income Statement Forecast'!AZ6*'Balance Sheet Forecast'!$AW$32</f>
        <v>141.67685262298463</v>
      </c>
      <c r="BA32" s="32">
        <f>'Income Statement Forecast'!BA6*'Balance Sheet Forecast'!$AW$32</f>
        <v>171.30726065491993</v>
      </c>
      <c r="BB32" s="32">
        <f>'Income Statement Forecast'!BB6*'Balance Sheet Forecast'!$AW$32</f>
        <v>207.13467801237061</v>
      </c>
      <c r="BC32" s="32">
        <f>'Income Statement Forecast'!BC6*'Balance Sheet Forecast'!$AW$32</f>
        <v>250.45518742146777</v>
      </c>
    </row>
    <row r="33" spans="1:55" x14ac:dyDescent="0.3">
      <c r="A33" s="36" t="s">
        <v>496</v>
      </c>
      <c r="B33" s="133">
        <f>SUM(B21,B23:B26,B28:B31)</f>
        <v>24320.290000000005</v>
      </c>
      <c r="C33" s="133"/>
      <c r="D33" s="133">
        <f>SUM(D21,D23:D26,D28:D32)</f>
        <v>29975.91091434651</v>
      </c>
      <c r="E33" s="133">
        <f t="shared" ref="E33:H33" si="23">SUM(E21,E23:E26,E28:E32)</f>
        <v>35266.666909368607</v>
      </c>
      <c r="F33" s="133">
        <f t="shared" si="23"/>
        <v>41355.865791458389</v>
      </c>
      <c r="G33" s="133">
        <f t="shared" si="23"/>
        <v>48380.245392871439</v>
      </c>
      <c r="H33" s="133">
        <f t="shared" si="23"/>
        <v>56501.080314965817</v>
      </c>
      <c r="J33" s="106"/>
      <c r="K33" s="32"/>
      <c r="L33" s="152"/>
      <c r="M33" s="32"/>
      <c r="N33" s="32"/>
      <c r="O33" s="32"/>
      <c r="P33" s="32"/>
      <c r="Q33" s="32"/>
      <c r="R33" s="32"/>
      <c r="T33" s="195" t="s">
        <v>496</v>
      </c>
      <c r="U33" s="196">
        <f>SUM(U22,U24:U27,U29:U32)</f>
        <v>87722.790000000023</v>
      </c>
      <c r="V33" s="196"/>
      <c r="W33" s="196">
        <f>SUM(W22,W24:W27,W29:W32)</f>
        <v>94984.587216091619</v>
      </c>
      <c r="X33" s="196">
        <f>SUM(X22,X24:X27,X29:X32)</f>
        <v>100694.34916830467</v>
      </c>
      <c r="Y33" s="196">
        <f>SUM(Y22,Y24:Y27,Y29:Y32)</f>
        <v>106852.71249007375</v>
      </c>
      <c r="Z33" s="196">
        <f>SUM(Z22,Z24:Z27,Z29:Z32)</f>
        <v>113496.62842857152</v>
      </c>
      <c r="AA33" s="196">
        <f>SUM(AA22,AA24:AA27,AA29:AA32)</f>
        <v>120666.03559022472</v>
      </c>
      <c r="AC33" s="63" t="s">
        <v>544</v>
      </c>
      <c r="AD33" s="32">
        <f>'Balance Sheet'!AD50+'Balance Sheet'!AD54+'Balance Sheet'!AD55+'Balance Sheet'!AD56+'Balance Sheet'!AD57</f>
        <v>13776</v>
      </c>
      <c r="AE33" s="96">
        <f>AJ74</f>
        <v>0.23423794953660593</v>
      </c>
      <c r="AF33" s="32">
        <f>'Income Statement Forecast'!AF6*'Balance Sheet Forecast'!$AE$33</f>
        <v>17021.206383297827</v>
      </c>
      <c r="AG33" s="32">
        <f>'Income Statement Forecast'!AG6*'Balance Sheet Forecast'!$AE$33</f>
        <v>20295.871360331861</v>
      </c>
      <c r="AH33" s="32">
        <f>'Income Statement Forecast'!AH6*'Balance Sheet Forecast'!$AE$33</f>
        <v>24200.596400954917</v>
      </c>
      <c r="AI33" s="32">
        <f>'Income Statement Forecast'!AI6*'Balance Sheet Forecast'!$AE$33</f>
        <v>28856.619722578904</v>
      </c>
      <c r="AJ33" s="32">
        <f>'Income Statement Forecast'!AJ6*'Balance Sheet Forecast'!$AE$33</f>
        <v>34408.511115376699</v>
      </c>
      <c r="AL33" s="63" t="s">
        <v>544</v>
      </c>
      <c r="AM33" s="32">
        <f>'Balance Sheet'!AL54+'Balance Sheet'!AL55+'Balance Sheet'!AL56+'Balance Sheet'!AL57</f>
        <v>446.31</v>
      </c>
      <c r="AN33" s="96">
        <f>AS65</f>
        <v>3.7429106426609224E-2</v>
      </c>
      <c r="AO33" s="32">
        <f>'Income Statement Forecast'!AO6*'Balance Sheet Forecast'!$AN$33</f>
        <v>844.97691618525698</v>
      </c>
      <c r="AP33" s="32">
        <f>'Income Statement Forecast'!AP6*'Balance Sheet Forecast'!$AN$33</f>
        <v>1099.7219813175291</v>
      </c>
      <c r="AQ33" s="32">
        <f>'Income Statement Forecast'!AQ6*'Balance Sheet Forecast'!$AN$33</f>
        <v>1431.7587063076617</v>
      </c>
      <c r="AR33" s="32">
        <f>'Income Statement Forecast'!AR6*'Balance Sheet Forecast'!$AN$33</f>
        <v>1864.5703599555068</v>
      </c>
      <c r="AS33" s="32">
        <f>'Income Statement Forecast'!AS6*'Balance Sheet Forecast'!$AN$33</f>
        <v>2428.7771766517635</v>
      </c>
      <c r="AU33" s="34" t="s">
        <v>494</v>
      </c>
      <c r="AV33" s="32">
        <f>AZ70</f>
        <v>1523.576</v>
      </c>
      <c r="AW33" s="141">
        <f>BB72</f>
        <v>0.12407722513072809</v>
      </c>
      <c r="AX33" s="32">
        <f>'Income Statement Forecast'!AX6*'Balance Sheet Forecast'!$AW$33*'Balance Sheet Forecast'!$BB$71</f>
        <v>1412.8728574234935</v>
      </c>
      <c r="AY33" s="32">
        <f>'Income Statement Forecast'!AY6*'Balance Sheet Forecast'!$AW$33*'Balance Sheet Forecast'!$BB$71</f>
        <v>1708.3608489616058</v>
      </c>
      <c r="AZ33" s="32">
        <f>'Income Statement Forecast'!AZ6*'Balance Sheet Forecast'!$AW$33*'Balance Sheet Forecast'!$BB$71</f>
        <v>2065.6479595201226</v>
      </c>
      <c r="BA33" s="32">
        <f>'Income Statement Forecast'!BA6*'Balance Sheet Forecast'!$AW$33*'Balance Sheet Forecast'!$BB$71</f>
        <v>2497.6591932379597</v>
      </c>
      <c r="BB33" s="32">
        <f>'Income Statement Forecast'!BB6*'Balance Sheet Forecast'!$AW$33*'Balance Sheet Forecast'!$BB$71</f>
        <v>3020.0227987891994</v>
      </c>
      <c r="BC33" s="32">
        <f>'Income Statement Forecast'!BC6*'Balance Sheet Forecast'!$AW$33*'Balance Sheet Forecast'!$BB$71</f>
        <v>3651.6356572735817</v>
      </c>
    </row>
    <row r="34" spans="1:55" x14ac:dyDescent="0.3">
      <c r="B34" s="129">
        <f>B16-B33</f>
        <v>0</v>
      </c>
      <c r="C34" s="129"/>
      <c r="D34" s="129"/>
      <c r="E34" s="129"/>
      <c r="F34" s="129"/>
      <c r="G34" s="129"/>
      <c r="H34" s="129"/>
      <c r="J34" s="36" t="s">
        <v>496</v>
      </c>
      <c r="K34" s="33">
        <f>SUM(K22,K24:K27,K29:K32)</f>
        <v>78499</v>
      </c>
      <c r="L34" s="33"/>
      <c r="M34" s="33">
        <f t="shared" ref="M34:R34" si="24">SUM(M22,M24:M27,M29:M33)</f>
        <v>82590.70609976018</v>
      </c>
      <c r="N34" s="33">
        <f t="shared" si="24"/>
        <v>86949.948075796856</v>
      </c>
      <c r="O34" s="33">
        <f t="shared" si="24"/>
        <v>91886.711209119778</v>
      </c>
      <c r="P34" s="33">
        <f t="shared" si="24"/>
        <v>97492.373386509469</v>
      </c>
      <c r="Q34" s="33">
        <f t="shared" si="24"/>
        <v>103875.86908120589</v>
      </c>
      <c r="R34" s="33">
        <f t="shared" si="24"/>
        <v>111167.08862547603</v>
      </c>
      <c r="AC34" s="77" t="s">
        <v>496</v>
      </c>
      <c r="AD34" s="33">
        <f>SUM(AD23,AD25:AD28,AD30:AD33)</f>
        <v>40651</v>
      </c>
      <c r="AE34" s="33"/>
      <c r="AF34" s="33">
        <f t="shared" ref="AF34:AI34" si="25">SUM(AF23,AF25:AF28,AF30:AF33)</f>
        <v>43981.898367174923</v>
      </c>
      <c r="AG34" s="33">
        <f t="shared" si="25"/>
        <v>54003.572597137027</v>
      </c>
      <c r="AH34" s="33">
        <f t="shared" si="25"/>
        <v>65976.103056822569</v>
      </c>
      <c r="AI34" s="33">
        <f t="shared" si="25"/>
        <v>80267.505300495992</v>
      </c>
      <c r="AJ34" s="33">
        <f>SUM(AJ23,AJ25:AJ28,AJ30:AJ33)</f>
        <v>97319.000944420433</v>
      </c>
      <c r="AL34" s="77" t="s">
        <v>496</v>
      </c>
      <c r="AM34" s="33">
        <f>SUM(AM23,AM25:AM28,AM30:AM33)</f>
        <v>9298.02</v>
      </c>
      <c r="AN34" s="33"/>
      <c r="AO34" s="33">
        <f t="shared" ref="AO34:AR34" si="26">SUM(AO23,AO25:AO28,AO30:AO33)</f>
        <v>18077.253502804524</v>
      </c>
      <c r="AP34" s="33">
        <f t="shared" si="26"/>
        <v>23474.140767579884</v>
      </c>
      <c r="AQ34" s="33">
        <f t="shared" si="26"/>
        <v>30567.614984280077</v>
      </c>
      <c r="AR34" s="33">
        <f t="shared" si="26"/>
        <v>39844.282019188293</v>
      </c>
      <c r="AS34" s="33">
        <f>SUM(AS23,AS25:AS28,AS30:AS33)</f>
        <v>51951.986695482308</v>
      </c>
      <c r="AU34" s="34" t="s">
        <v>544</v>
      </c>
      <c r="AV34" s="32">
        <f>AZ74</f>
        <v>1335.5190000000002</v>
      </c>
      <c r="AW34" s="141">
        <f>BB74</f>
        <v>8.8039797974913514E-2</v>
      </c>
      <c r="AX34" s="32">
        <f>'Income Statement Forecast'!AX6*'Balance Sheet Forecast'!$AW$34</f>
        <v>2193.1954830602881</v>
      </c>
      <c r="AY34" s="32">
        <f>'Income Statement Forecast'!AY6*'Balance Sheet Forecast'!$AW$34</f>
        <v>2651.8800171532907</v>
      </c>
      <c r="AZ34" s="32">
        <f>'Income Statement Forecast'!AZ6*'Balance Sheet Forecast'!$AW$34</f>
        <v>3206.4950151804806</v>
      </c>
      <c r="BA34" s="32">
        <f>'Income Statement Forecast'!BA6*'Balance Sheet Forecast'!$AW$34</f>
        <v>3877.1038965408966</v>
      </c>
      <c r="BB34" s="32">
        <f>'Income Statement Forecast'!BB6*'Balance Sheet Forecast'!$AW$34</f>
        <v>4687.9663136300442</v>
      </c>
      <c r="BC34" s="32">
        <f>'Income Statement Forecast'!BC6*'Balance Sheet Forecast'!$AW$34</f>
        <v>5668.4158006397092</v>
      </c>
    </row>
    <row r="35" spans="1:55" x14ac:dyDescent="0.3">
      <c r="B35" s="129"/>
      <c r="C35" s="129"/>
      <c r="D35" s="129"/>
      <c r="E35" s="129"/>
      <c r="F35" s="129"/>
      <c r="G35" s="129"/>
      <c r="H35" s="129"/>
      <c r="K35" s="1"/>
      <c r="L35" s="1"/>
      <c r="M35" s="1"/>
      <c r="N35" s="1"/>
      <c r="O35" s="1"/>
      <c r="P35" s="1"/>
      <c r="Q35" s="1"/>
      <c r="R35" s="1"/>
      <c r="W35" s="115"/>
      <c r="AF35" s="224"/>
      <c r="AG35" s="224"/>
      <c r="AH35" s="224"/>
      <c r="AI35" s="224"/>
      <c r="AJ35" s="224"/>
      <c r="AU35" s="36" t="s">
        <v>496</v>
      </c>
      <c r="AV35" s="133">
        <f>SUM(AV24,AV26:AV29,AV31:AV34)</f>
        <v>23143.91</v>
      </c>
      <c r="AW35" s="230"/>
      <c r="AX35" s="133">
        <f>SUM(AX24,AX26:AX29,AX31:AX34)</f>
        <v>29439.25231597001</v>
      </c>
      <c r="AY35" s="133">
        <f t="shared" ref="AY35:BC35" si="27">SUM(AY24,AY26:AY29,AY31:AY34)</f>
        <v>34738.966109788176</v>
      </c>
      <c r="AZ35" s="133">
        <f t="shared" si="27"/>
        <v>41130.785865238002</v>
      </c>
      <c r="BA35" s="133">
        <f t="shared" si="27"/>
        <v>48843.440333950864</v>
      </c>
      <c r="BB35" s="133">
        <f t="shared" si="27"/>
        <v>58153.286944697895</v>
      </c>
      <c r="BC35" s="133">
        <f t="shared" si="27"/>
        <v>69394.269846031806</v>
      </c>
    </row>
    <row r="36" spans="1:55" x14ac:dyDescent="0.3">
      <c r="A36" s="77" t="s">
        <v>554</v>
      </c>
      <c r="B36" s="199">
        <v>2020</v>
      </c>
      <c r="C36" s="199" t="s">
        <v>28</v>
      </c>
      <c r="D36" s="199" t="s">
        <v>29</v>
      </c>
      <c r="E36" s="199" t="s">
        <v>30</v>
      </c>
      <c r="F36" s="199" t="s">
        <v>31</v>
      </c>
      <c r="G36" s="199" t="s">
        <v>32</v>
      </c>
      <c r="J36" s="77" t="s">
        <v>575</v>
      </c>
      <c r="K36" s="198">
        <v>2020</v>
      </c>
      <c r="L36" s="198">
        <v>2021</v>
      </c>
      <c r="M36" s="198">
        <v>2022</v>
      </c>
      <c r="N36" s="198">
        <v>2023</v>
      </c>
      <c r="O36" s="198">
        <v>2024</v>
      </c>
      <c r="P36" s="198"/>
      <c r="Q36" s="198"/>
      <c r="R36" s="198" t="s">
        <v>557</v>
      </c>
      <c r="W36" s="115">
        <f>W33-W17</f>
        <v>0</v>
      </c>
      <c r="X36" s="115">
        <f>X33-X17</f>
        <v>0</v>
      </c>
      <c r="Y36" s="115">
        <f>Y33-Y17</f>
        <v>0</v>
      </c>
      <c r="Z36" s="115">
        <f>Z33-Z17</f>
        <v>0</v>
      </c>
      <c r="AA36" s="115">
        <f>AA33-AA17</f>
        <v>0</v>
      </c>
      <c r="AX36" s="224"/>
    </row>
    <row r="37" spans="1:55" x14ac:dyDescent="0.3">
      <c r="A37" s="63" t="s">
        <v>553</v>
      </c>
      <c r="B37" s="32">
        <f>ABS('Cash Flow Statement'!B39)</f>
        <v>1712.17</v>
      </c>
      <c r="C37" s="32">
        <f>ABS('Cash Flow Statement'!C39)</f>
        <v>2029.42</v>
      </c>
      <c r="D37" s="32">
        <f>ABS('Cash Flow Statement'!D39)</f>
        <v>2410.42</v>
      </c>
      <c r="E37" s="32">
        <f>ABS('Cash Flow Statement'!E39)</f>
        <v>2211.9499999999998</v>
      </c>
      <c r="F37" s="32">
        <f>ABS('Cash Flow Statement'!F39)</f>
        <v>2731.25</v>
      </c>
      <c r="G37" s="32">
        <f>ABS('Cash Flow Statement'!G39)</f>
        <v>3423.04</v>
      </c>
      <c r="J37" s="63" t="s">
        <v>563</v>
      </c>
      <c r="K37" s="32">
        <f>ABS('Cash Flow Statement'!J35)</f>
        <v>850</v>
      </c>
      <c r="L37" s="32">
        <f>ABS('Cash Flow Statement'!K35)</f>
        <v>741</v>
      </c>
      <c r="M37" s="32">
        <f>ABS('Cash Flow Statement'!L35)</f>
        <v>1225</v>
      </c>
      <c r="N37" s="32">
        <f>ABS('Cash Flow Statement'!M35)</f>
        <v>1174</v>
      </c>
      <c r="O37" s="32">
        <f>ABS('Cash Flow Statement'!N35)</f>
        <v>1468</v>
      </c>
      <c r="P37" s="6"/>
      <c r="Q37" s="6"/>
      <c r="R37" s="6"/>
    </row>
    <row r="38" spans="1:55" x14ac:dyDescent="0.3">
      <c r="A38" s="63" t="s">
        <v>555</v>
      </c>
      <c r="B38" s="32">
        <f>'Income Statement'!B6</f>
        <v>24930.190000000002</v>
      </c>
      <c r="C38" s="32">
        <f>'Income Statement'!C6</f>
        <v>24339.27</v>
      </c>
      <c r="D38" s="32">
        <f>'Income Statement'!D6</f>
        <v>31093.760000000002</v>
      </c>
      <c r="E38" s="32">
        <f>'Income Statement'!E6</f>
        <v>42968.899999999994</v>
      </c>
      <c r="F38" s="32">
        <f>'Income Statement'!F6</f>
        <v>50935.28</v>
      </c>
      <c r="G38" s="32">
        <f>'Income Statement'!G6</f>
        <v>59482.36</v>
      </c>
      <c r="J38" s="63" t="s">
        <v>555</v>
      </c>
      <c r="K38" s="128">
        <f>'Income Statement'!J6</f>
        <v>40415</v>
      </c>
      <c r="L38" s="128">
        <f>'Income Statement'!K6</f>
        <v>47438</v>
      </c>
      <c r="M38" s="128">
        <f>'Income Statement'!L6</f>
        <v>52704</v>
      </c>
      <c r="N38" s="128">
        <f>'Income Statement'!M6</f>
        <v>61092</v>
      </c>
      <c r="O38" s="128">
        <f>'Income Statement'!N6</f>
        <v>62707</v>
      </c>
      <c r="P38" s="6"/>
      <c r="Q38" s="6"/>
      <c r="R38" s="6"/>
      <c r="T38" s="209" t="s">
        <v>575</v>
      </c>
      <c r="U38" s="210" t="s">
        <v>27</v>
      </c>
      <c r="V38" s="210" t="s">
        <v>28</v>
      </c>
      <c r="W38" s="210" t="s">
        <v>29</v>
      </c>
      <c r="X38" s="210" t="s">
        <v>30</v>
      </c>
      <c r="Y38" s="210" t="s">
        <v>31</v>
      </c>
      <c r="Z38" s="210" t="s">
        <v>32</v>
      </c>
      <c r="AA38" s="211" t="s">
        <v>557</v>
      </c>
      <c r="AC38" s="209" t="s">
        <v>575</v>
      </c>
      <c r="AD38" s="210" t="s">
        <v>27</v>
      </c>
      <c r="AE38" s="210" t="s">
        <v>28</v>
      </c>
      <c r="AF38" s="210" t="s">
        <v>29</v>
      </c>
      <c r="AG38" s="210" t="s">
        <v>30</v>
      </c>
      <c r="AH38" s="210" t="s">
        <v>31</v>
      </c>
      <c r="AI38" s="210" t="s">
        <v>32</v>
      </c>
      <c r="AJ38" s="211" t="s">
        <v>557</v>
      </c>
      <c r="AL38" s="209" t="s">
        <v>575</v>
      </c>
      <c r="AM38" s="210" t="s">
        <v>27</v>
      </c>
      <c r="AN38" s="210" t="s">
        <v>28</v>
      </c>
      <c r="AO38" s="210" t="s">
        <v>29</v>
      </c>
      <c r="AP38" s="210" t="s">
        <v>30</v>
      </c>
      <c r="AQ38" s="210" t="s">
        <v>31</v>
      </c>
      <c r="AR38" s="210" t="s">
        <v>32</v>
      </c>
      <c r="AS38" s="211" t="s">
        <v>557</v>
      </c>
      <c r="AU38" s="1" t="s">
        <v>575</v>
      </c>
      <c r="AV38" s="3" t="s">
        <v>27</v>
      </c>
      <c r="AW38" s="3" t="s">
        <v>28</v>
      </c>
      <c r="AX38" s="3" t="s">
        <v>29</v>
      </c>
      <c r="AY38" s="3" t="s">
        <v>30</v>
      </c>
      <c r="AZ38" s="3" t="s">
        <v>31</v>
      </c>
      <c r="BA38" s="3" t="s">
        <v>587</v>
      </c>
      <c r="BB38" s="3" t="s">
        <v>557</v>
      </c>
    </row>
    <row r="39" spans="1:55" x14ac:dyDescent="0.3">
      <c r="A39" s="63" t="s">
        <v>556</v>
      </c>
      <c r="B39" s="91">
        <f>B37/B38</f>
        <v>6.8678578061378587E-2</v>
      </c>
      <c r="C39" s="91">
        <f t="shared" ref="C39:G39" si="28">C37/C38</f>
        <v>8.338047936523979E-2</v>
      </c>
      <c r="D39" s="91">
        <f t="shared" si="28"/>
        <v>7.7521020294747237E-2</v>
      </c>
      <c r="E39" s="91">
        <f t="shared" si="28"/>
        <v>5.1477929386137419E-2</v>
      </c>
      <c r="F39" s="91">
        <f t="shared" si="28"/>
        <v>5.362196889857089E-2</v>
      </c>
      <c r="G39" s="91">
        <f t="shared" si="28"/>
        <v>5.7547145069563481E-2</v>
      </c>
      <c r="J39" s="63" t="s">
        <v>567</v>
      </c>
      <c r="K39" s="96">
        <f>K37/K38</f>
        <v>2.1031795125572187E-2</v>
      </c>
      <c r="L39" s="96">
        <f t="shared" ref="L39:O39" si="29">L37/L38</f>
        <v>1.5620388717905477E-2</v>
      </c>
      <c r="M39" s="96">
        <f t="shared" si="29"/>
        <v>2.3243017607771706E-2</v>
      </c>
      <c r="N39" s="96">
        <f t="shared" si="29"/>
        <v>1.9216918745498593E-2</v>
      </c>
      <c r="O39" s="96">
        <f t="shared" si="29"/>
        <v>2.3410464541438754E-2</v>
      </c>
      <c r="P39" s="96"/>
      <c r="Q39" s="96"/>
      <c r="R39" s="96">
        <f>AVERAGE(K39:O39)</f>
        <v>2.0504516947637341E-2</v>
      </c>
      <c r="T39" s="34" t="s">
        <v>563</v>
      </c>
      <c r="U39" s="32">
        <f>ABS('Cash Flow Statement'!Q31)</f>
        <v>2441.15</v>
      </c>
      <c r="V39" s="32">
        <f>ABS('Cash Flow Statement'!R31)</f>
        <v>1836.64</v>
      </c>
      <c r="W39" s="32">
        <f>ABS('Cash Flow Statement'!S31)</f>
        <v>2141.64</v>
      </c>
      <c r="X39" s="32">
        <f>ABS('Cash Flow Statement'!T31)</f>
        <v>2742.99</v>
      </c>
      <c r="Y39" s="32">
        <f>ABS('Cash Flow Statement'!U31)</f>
        <v>3562.53</v>
      </c>
      <c r="Z39" s="32">
        <f>ABS('Cash Flow Statement'!V31)</f>
        <v>2278.6999999999998</v>
      </c>
      <c r="AA39" s="204"/>
      <c r="AC39" s="34" t="s">
        <v>563</v>
      </c>
      <c r="AD39" s="32">
        <f>ABS('Cash Flow Statement'!Y35)</f>
        <v>355</v>
      </c>
      <c r="AE39" s="32">
        <f>ABS('Cash Flow Statement'!Z35)</f>
        <v>146</v>
      </c>
      <c r="AF39" s="32">
        <f>ABS('Cash Flow Statement'!AA35)</f>
        <v>224</v>
      </c>
      <c r="AG39" s="32">
        <f>ABS('Cash Flow Statement'!AB35)</f>
        <v>432</v>
      </c>
      <c r="AH39" s="32">
        <f>ABS('Cash Flow Statement'!AC35)</f>
        <v>691</v>
      </c>
      <c r="AI39" s="32">
        <f>ABS('Cash Flow Statement'!AD35)</f>
        <v>494</v>
      </c>
      <c r="AJ39" s="204"/>
      <c r="AL39" s="34" t="s">
        <v>563</v>
      </c>
      <c r="AM39" s="32">
        <f>ABS('Cash Flow Statement'!AG35)</f>
        <v>155.91</v>
      </c>
      <c r="AN39" s="32">
        <f>ABS('Cash Flow Statement'!AH35)</f>
        <v>113.36</v>
      </c>
      <c r="AO39" s="32">
        <f>ABS('Cash Flow Statement'!AI35)</f>
        <v>270.92</v>
      </c>
      <c r="AP39" s="32">
        <f>ABS('Cash Flow Statement'!AJ35)</f>
        <v>503.4</v>
      </c>
      <c r="AQ39" s="32">
        <f>ABS('Cash Flow Statement'!AK35)</f>
        <v>736.95</v>
      </c>
      <c r="AR39" s="32">
        <f>ABS('Cash Flow Statement'!AL35)</f>
        <v>1268.19</v>
      </c>
      <c r="AS39" s="204"/>
      <c r="AU39" s="1" t="s">
        <v>563</v>
      </c>
      <c r="AV39" s="231">
        <f>ABS('Cash Flow Statement'!AO28)</f>
        <v>559.67399999999998</v>
      </c>
      <c r="AW39" s="231">
        <f>ABS('Cash Flow Statement'!AP28)</f>
        <v>834.8</v>
      </c>
      <c r="AX39" s="231">
        <f>ABS('Cash Flow Statement'!AQ28)</f>
        <v>1800.992</v>
      </c>
      <c r="AY39" s="231">
        <f>ABS('Cash Flow Statement'!AR28)</f>
        <v>3264.049</v>
      </c>
      <c r="AZ39" s="231">
        <f>ABS('Cash Flow Statement'!AS28)</f>
        <v>3779.01</v>
      </c>
      <c r="BA39" s="231"/>
      <c r="BB39" s="233"/>
    </row>
    <row r="40" spans="1:55" x14ac:dyDescent="0.3">
      <c r="A40" s="63" t="s">
        <v>557</v>
      </c>
      <c r="B40" s="151">
        <f>AVERAGE(B39:G39)</f>
        <v>6.537118684593958E-2</v>
      </c>
      <c r="C40" s="32"/>
      <c r="D40" s="32"/>
      <c r="E40" s="32"/>
      <c r="F40" s="32"/>
      <c r="G40" s="32"/>
      <c r="J40" s="63" t="s">
        <v>396</v>
      </c>
      <c r="K40" s="128">
        <f>'Income Statement'!J13</f>
        <v>1002</v>
      </c>
      <c r="L40" s="128">
        <f>'Income Statement'!K13</f>
        <v>1074</v>
      </c>
      <c r="M40" s="128">
        <f>'Income Statement'!L13</f>
        <v>1091</v>
      </c>
      <c r="N40" s="128">
        <f>'Income Statement'!M13</f>
        <v>1137</v>
      </c>
      <c r="O40" s="128">
        <f>'Income Statement'!N13</f>
        <v>1216</v>
      </c>
      <c r="P40" s="6"/>
      <c r="Q40" s="6"/>
      <c r="R40" s="6"/>
      <c r="T40" s="34" t="s">
        <v>555</v>
      </c>
      <c r="U40" s="128">
        <f>'Income Statement'!Q6</f>
        <v>53991.360000000001</v>
      </c>
      <c r="V40" s="128">
        <f>'Income Statement'!R6</f>
        <v>55787.68</v>
      </c>
      <c r="W40" s="128">
        <f>'Income Statement'!S6</f>
        <v>67041.31</v>
      </c>
      <c r="X40" s="128">
        <f>'Income Statement'!T6</f>
        <v>78498.700000000012</v>
      </c>
      <c r="Y40" s="128">
        <f>'Income Statement'!U6</f>
        <v>76584.649999999994</v>
      </c>
      <c r="Z40" s="128">
        <f>'Income Statement'!V6</f>
        <v>84142.47</v>
      </c>
      <c r="AA40" s="204"/>
      <c r="AC40" s="34" t="s">
        <v>555</v>
      </c>
      <c r="AD40" s="128">
        <f>'Income Statement'!Y6</f>
        <v>21205</v>
      </c>
      <c r="AE40" s="128">
        <f>'Income Statement'!Z6</f>
        <v>21830</v>
      </c>
      <c r="AF40" s="128">
        <f>'Income Statement'!AA6</f>
        <v>29033</v>
      </c>
      <c r="AG40" s="128">
        <f>'Income Statement'!AB6</f>
        <v>40883</v>
      </c>
      <c r="AH40" s="128">
        <f>'Income Statement'!AC6</f>
        <v>51617</v>
      </c>
      <c r="AI40" s="128">
        <f>'Income Statement'!AD6</f>
        <v>60942</v>
      </c>
      <c r="AJ40" s="204"/>
      <c r="AL40" s="34" t="s">
        <v>555</v>
      </c>
      <c r="AM40" s="128">
        <f>'Income Statement'!AG6</f>
        <v>3635.4</v>
      </c>
      <c r="AN40" s="128">
        <f>'Income Statement'!AH6</f>
        <v>2794.56</v>
      </c>
      <c r="AO40" s="128">
        <f>'Income Statement'!AI6</f>
        <v>4673.2300000000005</v>
      </c>
      <c r="AP40" s="128">
        <f>'Income Statement'!AJ6</f>
        <v>8502.94</v>
      </c>
      <c r="AQ40" s="128">
        <f>'Income Statement'!AK6</f>
        <v>12664.380000000001</v>
      </c>
      <c r="AR40" s="128">
        <f>'Income Statement'!AL6</f>
        <v>17353.170000000002</v>
      </c>
      <c r="AS40" s="204"/>
      <c r="AU40" s="1" t="s">
        <v>555</v>
      </c>
      <c r="AV40" s="231">
        <f>'Income Statement'!AO6</f>
        <v>6592.76</v>
      </c>
      <c r="AW40" s="231">
        <f>'Income Statement'!AP6</f>
        <v>9026.2159999999985</v>
      </c>
      <c r="AX40" s="231">
        <f>'Income Statement'!AQ6</f>
        <v>13429.407000000001</v>
      </c>
      <c r="AY40" s="231">
        <f>'Income Statement'!AR6</f>
        <v>16400.421999999999</v>
      </c>
      <c r="AZ40" s="231">
        <f>'Income Statement'!AS6</f>
        <v>20602.596000000001</v>
      </c>
      <c r="BA40" s="231"/>
      <c r="BB40" s="233"/>
    </row>
    <row r="41" spans="1:55" x14ac:dyDescent="0.3">
      <c r="A41" s="63" t="s">
        <v>396</v>
      </c>
      <c r="B41" s="32">
        <f>'Income Statement'!B12</f>
        <v>374.41</v>
      </c>
      <c r="C41" s="32">
        <f>'Income Statement'!C12</f>
        <v>414.16</v>
      </c>
      <c r="D41" s="32">
        <f>'Income Statement'!D12</f>
        <v>498.08</v>
      </c>
      <c r="E41" s="32">
        <f>'Income Statement'!E12</f>
        <v>638.87</v>
      </c>
      <c r="F41" s="32">
        <f>'Income Statement'!F12</f>
        <v>730.76</v>
      </c>
      <c r="G41" s="32">
        <f>'Income Statement'!G12</f>
        <v>869.52</v>
      </c>
      <c r="J41" s="63" t="s">
        <v>558</v>
      </c>
      <c r="K41" s="128">
        <f>'Balance Sheet'!J5</f>
        <v>4192</v>
      </c>
      <c r="L41" s="128">
        <f>'Balance Sheet'!K5</f>
        <v>4960</v>
      </c>
      <c r="M41" s="128">
        <f>'Balance Sheet'!L5</f>
        <v>6116</v>
      </c>
      <c r="N41" s="128">
        <f>'Balance Sheet'!M5</f>
        <v>6169</v>
      </c>
      <c r="O41" s="128">
        <f>'Balance Sheet'!N5</f>
        <v>8031</v>
      </c>
      <c r="P41" s="6"/>
      <c r="Q41" s="6"/>
      <c r="R41" s="6"/>
      <c r="T41" s="35" t="s">
        <v>567</v>
      </c>
      <c r="U41" s="97">
        <f>U39/U40</f>
        <v>4.5213715675989641E-2</v>
      </c>
      <c r="V41" s="97">
        <f t="shared" ref="V41:Z41" si="30">V39/V40</f>
        <v>3.2921964132582679E-2</v>
      </c>
      <c r="W41" s="97">
        <f t="shared" si="30"/>
        <v>3.1945079832121415E-2</v>
      </c>
      <c r="X41" s="97">
        <f t="shared" si="30"/>
        <v>3.4943126446680003E-2</v>
      </c>
      <c r="Y41" s="97">
        <f t="shared" si="30"/>
        <v>4.6517546270695244E-2</v>
      </c>
      <c r="Z41" s="97">
        <f t="shared" si="30"/>
        <v>2.7081448880690095E-2</v>
      </c>
      <c r="AA41" s="205">
        <f>AVERAGE(U41:Z41)</f>
        <v>3.6437146873126512E-2</v>
      </c>
      <c r="AC41" s="35" t="s">
        <v>567</v>
      </c>
      <c r="AD41" s="97">
        <f>AD39/AD40</f>
        <v>1.6741334590898372E-2</v>
      </c>
      <c r="AE41" s="97">
        <f t="shared" ref="AE41:AI41" si="31">AE39/AE40</f>
        <v>6.6880439761795698E-3</v>
      </c>
      <c r="AF41" s="97">
        <f t="shared" si="31"/>
        <v>7.715358385285709E-3</v>
      </c>
      <c r="AG41" s="97">
        <f t="shared" si="31"/>
        <v>1.0566739231465401E-2</v>
      </c>
      <c r="AH41" s="97">
        <f t="shared" si="31"/>
        <v>1.3387062401921848E-2</v>
      </c>
      <c r="AI41" s="97">
        <f t="shared" si="31"/>
        <v>8.1060680647172725E-3</v>
      </c>
      <c r="AJ41" s="205">
        <f>AVERAGE(Table3442[[#This Row],[2020]:[2025]])</f>
        <v>1.053410110841136E-2</v>
      </c>
      <c r="AL41" s="35" t="s">
        <v>567</v>
      </c>
      <c r="AM41" s="97">
        <f>AM39/AM40</f>
        <v>4.2886614952962532E-2</v>
      </c>
      <c r="AN41" s="97">
        <f t="shared" ref="AN41:AR41" si="32">AN39/AN40</f>
        <v>4.0564525363563496E-2</v>
      </c>
      <c r="AO41" s="97">
        <f t="shared" si="32"/>
        <v>5.7972751180660913E-2</v>
      </c>
      <c r="AP41" s="97">
        <f t="shared" si="32"/>
        <v>5.9203052120795858E-2</v>
      </c>
      <c r="AQ41" s="97">
        <f t="shared" si="32"/>
        <v>5.8190768122876921E-2</v>
      </c>
      <c r="AR41" s="97">
        <f t="shared" si="32"/>
        <v>7.3081171912682236E-2</v>
      </c>
      <c r="AS41" s="205">
        <f>AVERAGE(Table344246[[#This Row],[2020]:[2025]])</f>
        <v>5.5316480608923656E-2</v>
      </c>
      <c r="AU41" s="23" t="s">
        <v>567</v>
      </c>
      <c r="AV41" s="85">
        <f>AV39/AV40</f>
        <v>8.4892215096560461E-2</v>
      </c>
      <c r="AW41" s="85">
        <f t="shared" ref="AW41:AZ41" si="33">AW39/AW40</f>
        <v>9.2486153666165319E-2</v>
      </c>
      <c r="AX41" s="85">
        <f t="shared" si="33"/>
        <v>0.13410808087058496</v>
      </c>
      <c r="AY41" s="85">
        <f t="shared" si="33"/>
        <v>0.19902225686631725</v>
      </c>
      <c r="AZ41" s="85">
        <f t="shared" si="33"/>
        <v>0.18342397239648828</v>
      </c>
      <c r="BA41" s="232"/>
      <c r="BB41" s="85">
        <f>AVERAGE(Table55[[#This Row],[2020]:[2024]])</f>
        <v>0.13878653577922323</v>
      </c>
    </row>
    <row r="42" spans="1:55" x14ac:dyDescent="0.3">
      <c r="A42" s="63" t="s">
        <v>558</v>
      </c>
      <c r="B42" s="32">
        <f>'Balance Sheet'!B5</f>
        <v>5107.3599999999997</v>
      </c>
      <c r="C42" s="32">
        <f>'Balance Sheet'!C5</f>
        <v>5938.5</v>
      </c>
      <c r="D42" s="32">
        <f>'Balance Sheet'!D5</f>
        <v>7770.46</v>
      </c>
      <c r="E42" s="32">
        <f>'Balance Sheet'!E5</f>
        <v>9725.61</v>
      </c>
      <c r="F42" s="32">
        <f>'Balance Sheet'!F5</f>
        <v>11759.19</v>
      </c>
      <c r="G42" s="32">
        <f>'Balance Sheet'!G5</f>
        <v>14349.83</v>
      </c>
      <c r="J42" s="63" t="s">
        <v>567</v>
      </c>
      <c r="K42" s="96">
        <f>K40/K41</f>
        <v>0.23902671755725191</v>
      </c>
      <c r="L42" s="96">
        <f t="shared" ref="L42:O42" si="34">L40/L41</f>
        <v>0.21653225806451612</v>
      </c>
      <c r="M42" s="96">
        <f t="shared" si="34"/>
        <v>0.17838456507521255</v>
      </c>
      <c r="N42" s="96">
        <f t="shared" si="34"/>
        <v>0.18430863997406388</v>
      </c>
      <c r="O42" s="96">
        <f t="shared" si="34"/>
        <v>0.15141327356493586</v>
      </c>
      <c r="P42" s="6"/>
      <c r="Q42" s="6"/>
      <c r="R42" s="167">
        <f>AVERAGE(K42:O42)</f>
        <v>0.19393309084719607</v>
      </c>
      <c r="T42" s="34" t="s">
        <v>396</v>
      </c>
      <c r="U42" s="128">
        <f>'Income Statement'!Q14</f>
        <v>1644.91</v>
      </c>
      <c r="V42" s="128">
        <f>'Income Statement'!R14</f>
        <v>1645.59</v>
      </c>
      <c r="W42" s="128">
        <f>'Income Statement'!S14</f>
        <v>1732.41</v>
      </c>
      <c r="X42" s="128">
        <f>'Income Statement'!T14</f>
        <v>1809.01</v>
      </c>
      <c r="Y42" s="128">
        <f>'Income Statement'!U14</f>
        <v>1518.05</v>
      </c>
      <c r="Z42" s="128">
        <f>'Income Statement'!V14</f>
        <v>1646.32</v>
      </c>
      <c r="AA42" s="204"/>
      <c r="AC42" s="34" t="s">
        <v>396</v>
      </c>
      <c r="AD42" s="128">
        <f>'Income Statement'!Y13</f>
        <v>348</v>
      </c>
      <c r="AE42" s="128">
        <f>'Income Statement'!Z13</f>
        <v>375</v>
      </c>
      <c r="AF42" s="128">
        <f>'Income Statement'!AA13</f>
        <v>399</v>
      </c>
      <c r="AG42" s="128">
        <f>'Income Statement'!AB13</f>
        <v>441</v>
      </c>
      <c r="AH42" s="128">
        <f>'Income Statement'!AC13</f>
        <v>584</v>
      </c>
      <c r="AI42" s="128">
        <f>'Income Statement'!AD13</f>
        <v>693</v>
      </c>
      <c r="AJ42" s="204"/>
      <c r="AL42" s="34" t="s">
        <v>396</v>
      </c>
      <c r="AM42" s="128">
        <f>'Income Statement'!AG12</f>
        <v>247.24</v>
      </c>
      <c r="AN42" s="128">
        <f>'Income Statement'!AH12</f>
        <v>257.3</v>
      </c>
      <c r="AO42" s="128">
        <f>'Income Statement'!AI12</f>
        <v>310.82</v>
      </c>
      <c r="AP42" s="128">
        <f>'Income Statement'!AJ12</f>
        <v>493.69</v>
      </c>
      <c r="AQ42" s="128">
        <f>'Income Statement'!AK12</f>
        <v>671.11</v>
      </c>
      <c r="AR42" s="128">
        <f>'Income Statement'!AL12</f>
        <v>895.18</v>
      </c>
      <c r="AS42" s="204"/>
      <c r="AU42" s="1" t="s">
        <v>396</v>
      </c>
      <c r="AV42" s="231">
        <f>'Income Statement'!AO14</f>
        <v>528.702</v>
      </c>
      <c r="AW42" s="231">
        <f>'Income Statement'!AP14</f>
        <v>531.26199999999994</v>
      </c>
      <c r="AX42" s="231">
        <f>'Income Statement'!AQ14</f>
        <v>617.18899999999996</v>
      </c>
      <c r="AY42" s="231">
        <f>'Income Statement'!AR14</f>
        <v>680.90599999999995</v>
      </c>
      <c r="AZ42" s="231">
        <f>'Income Statement'!AS14</f>
        <v>947.38599999999997</v>
      </c>
      <c r="BA42" s="231"/>
      <c r="BB42" s="233"/>
    </row>
    <row r="43" spans="1:55" x14ac:dyDescent="0.3">
      <c r="A43" s="63" t="s">
        <v>559</v>
      </c>
      <c r="B43" s="91">
        <f>B41/B42</f>
        <v>7.3307932082328262E-2</v>
      </c>
      <c r="C43" s="91">
        <f t="shared" ref="C43:G43" si="35">C41/C42</f>
        <v>6.9741517218152735E-2</v>
      </c>
      <c r="D43" s="91">
        <f t="shared" si="35"/>
        <v>6.4099165300381192E-2</v>
      </c>
      <c r="E43" s="91">
        <f t="shared" si="35"/>
        <v>6.5689452898070141E-2</v>
      </c>
      <c r="F43" s="91">
        <f t="shared" si="35"/>
        <v>6.2143736090666105E-2</v>
      </c>
      <c r="G43" s="91">
        <f t="shared" si="35"/>
        <v>6.0594446066608451E-2</v>
      </c>
      <c r="J43" s="63" t="s">
        <v>523</v>
      </c>
      <c r="K43" s="128">
        <f>'Income Statement'!J8+'Income Statement'!J9+'Income Statement'!J10</f>
        <v>18259</v>
      </c>
      <c r="L43" s="128">
        <f>'Income Statement'!K8+'Income Statement'!K9+'Income Statement'!K10</f>
        <v>22148</v>
      </c>
      <c r="M43" s="128">
        <f>'Income Statement'!L8+'Income Statement'!L9+'Income Statement'!L10</f>
        <v>25735</v>
      </c>
      <c r="N43" s="128">
        <f>'Income Statement'!M8+'Income Statement'!M9+'Income Statement'!M10</f>
        <v>31716</v>
      </c>
      <c r="O43" s="128">
        <f>'Income Statement'!N8+'Income Statement'!N9+'Income Statement'!N10</f>
        <v>29760</v>
      </c>
      <c r="P43" s="6"/>
      <c r="Q43" s="6"/>
      <c r="R43" s="6"/>
      <c r="T43" s="34" t="s">
        <v>558</v>
      </c>
      <c r="U43" s="128">
        <f>'Balance Sheet'!Q5</f>
        <v>19632.919999999998</v>
      </c>
      <c r="V43" s="128">
        <f>'Balance Sheet'!R5</f>
        <v>19153.939999999999</v>
      </c>
      <c r="W43" s="128">
        <f>'Balance Sheet'!S5</f>
        <v>20207.43</v>
      </c>
      <c r="X43" s="128">
        <f>'Balance Sheet'!T5</f>
        <v>21117.06</v>
      </c>
      <c r="Y43" s="128">
        <f>'Balance Sheet'!U5</f>
        <v>23082.33</v>
      </c>
      <c r="Z43" s="128">
        <f>'Balance Sheet'!V5</f>
        <v>17428.89</v>
      </c>
      <c r="AA43" s="204"/>
      <c r="AC43" s="34" t="s">
        <v>558</v>
      </c>
      <c r="AD43" s="128">
        <f>'Balance Sheet'!Y5</f>
        <v>1285</v>
      </c>
      <c r="AE43" s="128">
        <f>'Balance Sheet'!Z5</f>
        <v>1216</v>
      </c>
      <c r="AF43" s="128">
        <f>'Balance Sheet'!AA5</f>
        <v>1218</v>
      </c>
      <c r="AG43" s="128">
        <f>'Balance Sheet'!AB5</f>
        <v>1343</v>
      </c>
      <c r="AH43" s="128">
        <f>'Balance Sheet'!AC5</f>
        <v>1737</v>
      </c>
      <c r="AI43" s="128">
        <f>'Balance Sheet'!AD5</f>
        <v>1854</v>
      </c>
      <c r="AJ43" s="204"/>
      <c r="AL43" s="34" t="s">
        <v>558</v>
      </c>
      <c r="AM43" s="128">
        <f>'Balance Sheet'!AG5</f>
        <v>654.64</v>
      </c>
      <c r="AN43" s="128">
        <f>'Balance Sheet'!AH5</f>
        <v>640.45000000000005</v>
      </c>
      <c r="AO43" s="128">
        <f>'Balance Sheet'!AI5</f>
        <v>724.94</v>
      </c>
      <c r="AP43" s="128">
        <f>'Balance Sheet'!AJ5</f>
        <v>871.18</v>
      </c>
      <c r="AQ43" s="128">
        <f>'Balance Sheet'!AK5</f>
        <v>1146.32</v>
      </c>
      <c r="AR43" s="128">
        <f>'Balance Sheet'!AL5</f>
        <v>2068.2399999999998</v>
      </c>
      <c r="AS43" s="204"/>
      <c r="AU43" s="1" t="s">
        <v>558</v>
      </c>
      <c r="AV43" s="231">
        <f>'Balance Sheet'!AO5</f>
        <v>5827.1880000000001</v>
      </c>
      <c r="AW43" s="231">
        <f>'Balance Sheet'!AP5</f>
        <v>5155.1719999999996</v>
      </c>
      <c r="AX43" s="231">
        <f>'Balance Sheet'!AQ5</f>
        <v>5441.5780000000004</v>
      </c>
      <c r="AY43" s="231">
        <f>'Balance Sheet'!AR5</f>
        <v>6803.1319999999996</v>
      </c>
      <c r="AZ43" s="231">
        <f>'Balance Sheet'!AS5</f>
        <v>10622.550999999999</v>
      </c>
      <c r="BA43" s="231"/>
      <c r="BB43" s="233"/>
    </row>
    <row r="44" spans="1:55" x14ac:dyDescent="0.3">
      <c r="A44" s="63" t="s">
        <v>557</v>
      </c>
      <c r="B44" s="151">
        <f>AVERAGE(B43:G43)</f>
        <v>6.5929374942701152E-2</v>
      </c>
      <c r="C44" s="32"/>
      <c r="D44" s="32"/>
      <c r="E44" s="32"/>
      <c r="F44" s="32"/>
      <c r="G44" s="32"/>
      <c r="J44" s="63" t="s">
        <v>555</v>
      </c>
      <c r="K44" s="128">
        <f>K38</f>
        <v>40415</v>
      </c>
      <c r="L44" s="128">
        <f t="shared" ref="L44:O44" si="36">L38</f>
        <v>47438</v>
      </c>
      <c r="M44" s="128">
        <f t="shared" si="36"/>
        <v>52704</v>
      </c>
      <c r="N44" s="128">
        <f t="shared" si="36"/>
        <v>61092</v>
      </c>
      <c r="O44" s="128">
        <f t="shared" si="36"/>
        <v>62707</v>
      </c>
      <c r="P44" s="6"/>
      <c r="Q44" s="6"/>
      <c r="R44" s="6"/>
      <c r="T44" s="35" t="s">
        <v>567</v>
      </c>
      <c r="U44" s="97">
        <f>U42/U43</f>
        <v>8.3783257915786349E-2</v>
      </c>
      <c r="V44" s="97">
        <f t="shared" ref="V44:Z44" si="37">V42/V43</f>
        <v>8.5913916405710791E-2</v>
      </c>
      <c r="W44" s="97">
        <f t="shared" si="37"/>
        <v>8.5731337433805288E-2</v>
      </c>
      <c r="X44" s="97">
        <f t="shared" si="37"/>
        <v>8.566580764557187E-2</v>
      </c>
      <c r="Y44" s="97">
        <f t="shared" si="37"/>
        <v>6.5766757515380803E-2</v>
      </c>
      <c r="Z44" s="97">
        <f t="shared" si="37"/>
        <v>9.4459257015220136E-2</v>
      </c>
      <c r="AA44" s="206">
        <f>AVERAGE(Table34[[#This Row],[2020]:[2025]])</f>
        <v>8.3553388988579211E-2</v>
      </c>
      <c r="AC44" s="35" t="s">
        <v>567</v>
      </c>
      <c r="AD44" s="97">
        <f>AD42/AD43</f>
        <v>0.27081712062256807</v>
      </c>
      <c r="AE44" s="97">
        <f t="shared" ref="AE44:AI44" si="38">AE42/AE43</f>
        <v>0.30838815789473684</v>
      </c>
      <c r="AF44" s="97">
        <f t="shared" si="38"/>
        <v>0.32758620689655171</v>
      </c>
      <c r="AG44" s="97">
        <f t="shared" si="38"/>
        <v>0.32836932241250932</v>
      </c>
      <c r="AH44" s="97">
        <f t="shared" si="38"/>
        <v>0.33621185952792171</v>
      </c>
      <c r="AI44" s="97">
        <f t="shared" si="38"/>
        <v>0.37378640776699029</v>
      </c>
      <c r="AJ44" s="206">
        <f>AVERAGE(Table3442[[#This Row],[2020]:[2025]])</f>
        <v>0.32419317918687968</v>
      </c>
      <c r="AL44" s="35" t="s">
        <v>567</v>
      </c>
      <c r="AM44" s="97">
        <f>AM42/AM43</f>
        <v>0.37767322497861422</v>
      </c>
      <c r="AN44" s="97">
        <f t="shared" ref="AN44:AR44" si="39">AN42/AN43</f>
        <v>0.40174877039581541</v>
      </c>
      <c r="AO44" s="97">
        <f t="shared" si="39"/>
        <v>0.42875272436339557</v>
      </c>
      <c r="AP44" s="97">
        <f t="shared" si="39"/>
        <v>0.56669115452604513</v>
      </c>
      <c r="AQ44" s="97">
        <f t="shared" si="39"/>
        <v>0.58544734454602554</v>
      </c>
      <c r="AR44" s="97">
        <f t="shared" si="39"/>
        <v>0.43282210961977335</v>
      </c>
      <c r="AS44" s="206">
        <f>AVERAGE(Table344246[[#This Row],[2020]:[2025]])</f>
        <v>0.46552255473827825</v>
      </c>
      <c r="AU44" s="23" t="s">
        <v>567</v>
      </c>
      <c r="AV44" s="85">
        <f>AV42/AV43</f>
        <v>9.0730211553153944E-2</v>
      </c>
      <c r="AW44" s="85">
        <f t="shared" ref="AW44:AZ44" si="40">AW42/AW43</f>
        <v>0.10305417549598733</v>
      </c>
      <c r="AX44" s="85">
        <f t="shared" si="40"/>
        <v>0.11342095987597714</v>
      </c>
      <c r="AY44" s="85">
        <f t="shared" si="40"/>
        <v>0.10008713633661673</v>
      </c>
      <c r="AZ44" s="85">
        <f t="shared" si="40"/>
        <v>8.9186298093555869E-2</v>
      </c>
      <c r="BA44" s="232"/>
      <c r="BB44" s="85">
        <f>AVERAGE(Table55[[#This Row],[2020]:[2024]])</f>
        <v>9.9295756271058216E-2</v>
      </c>
    </row>
    <row r="45" spans="1:55" x14ac:dyDescent="0.3">
      <c r="A45" s="63" t="s">
        <v>565</v>
      </c>
      <c r="B45" s="32">
        <f>'Income Statement'!B8</f>
        <v>21441.68</v>
      </c>
      <c r="C45" s="32">
        <f>'Income Statement'!C8</f>
        <v>20855.560000000001</v>
      </c>
      <c r="D45" s="32">
        <f>'Income Statement'!D8</f>
        <v>26891.77</v>
      </c>
      <c r="E45" s="32">
        <f>'Income Statement'!E8</f>
        <v>36884.769999999997</v>
      </c>
      <c r="F45" s="32">
        <f>'Income Statement'!F8</f>
        <v>43958.31</v>
      </c>
      <c r="G45" s="32">
        <f>'Income Statement'!G8</f>
        <v>51668.76</v>
      </c>
      <c r="J45" s="63" t="s">
        <v>567</v>
      </c>
      <c r="K45" s="96">
        <f>K43/K44</f>
        <v>0.45178770258567363</v>
      </c>
      <c r="L45" s="96">
        <f t="shared" ref="L45:O45" si="41">L43/L44</f>
        <v>0.46688308950630297</v>
      </c>
      <c r="M45" s="96">
        <f t="shared" si="41"/>
        <v>0.48829310868245296</v>
      </c>
      <c r="N45" s="96">
        <f t="shared" si="41"/>
        <v>0.51915144372421917</v>
      </c>
      <c r="O45" s="96">
        <f t="shared" si="41"/>
        <v>0.47458816400082926</v>
      </c>
      <c r="P45" s="6"/>
      <c r="Q45" s="6"/>
      <c r="R45" s="167">
        <f>AVERAGE(K45:O45)</f>
        <v>0.48014070169989553</v>
      </c>
      <c r="T45" s="34" t="s">
        <v>523</v>
      </c>
      <c r="U45" s="128">
        <f>'Income Statement'!Q8+'Income Statement'!Q9+'Income Statement'!Q10</f>
        <v>17345.469999999998</v>
      </c>
      <c r="V45" s="128">
        <f>'Income Statement'!R8+'Income Statement'!R9+'Income Statement'!R10</f>
        <v>20131.439999999999</v>
      </c>
      <c r="W45" s="128">
        <f>'Income Statement'!S8+'Income Statement'!S9+'Income Statement'!S10</f>
        <v>26385.07</v>
      </c>
      <c r="X45" s="128">
        <f>'Income Statement'!T8+'Income Statement'!T9+'Income Statement'!T10</f>
        <v>29005.77</v>
      </c>
      <c r="Y45" s="128">
        <f>'Income Statement'!U8+'Income Statement'!U9+'Income Statement'!U10</f>
        <v>26980.799999999999</v>
      </c>
      <c r="Z45" s="128">
        <f>'Income Statement'!V8+'Income Statement'!V9+'Income Statement'!V10</f>
        <v>31978.720000000001</v>
      </c>
      <c r="AA45" s="204"/>
      <c r="AC45" s="34" t="s">
        <v>523</v>
      </c>
      <c r="AD45" s="128">
        <f>'Income Statement'!Y8+'Income Statement'!Y9+'Income Statement'!Y10</f>
        <v>15155</v>
      </c>
      <c r="AE45" s="128">
        <f>'Income Statement'!Z8+'Income Statement'!Z9+'Income Statement'!Z10</f>
        <v>16414</v>
      </c>
      <c r="AF45" s="128">
        <f>'Income Statement'!AA8+'Income Statement'!AA9+'Income Statement'!AA10</f>
        <v>21641</v>
      </c>
      <c r="AG45" s="128">
        <f>'Income Statement'!AB8+'Income Statement'!AB9+'Income Statement'!AB10</f>
        <v>30355</v>
      </c>
      <c r="AH45" s="128">
        <f>'Income Statement'!AC8+'Income Statement'!AC9+'Income Statement'!AC10</f>
        <v>39432</v>
      </c>
      <c r="AI45" s="128">
        <f>'Income Statement'!AD8+'Income Statement'!AD9+'Income Statement'!AD10</f>
        <v>47456</v>
      </c>
      <c r="AJ45" s="204"/>
      <c r="AL45" s="34" t="s">
        <v>523</v>
      </c>
      <c r="AM45" s="128">
        <f>'Income Statement'!AG8+'Income Statement'!AG9</f>
        <v>1881.75</v>
      </c>
      <c r="AN45" s="128">
        <f>'Income Statement'!AH8+'Income Statement'!AH9</f>
        <v>1534</v>
      </c>
      <c r="AO45" s="128">
        <f>'Income Statement'!AI8+'Income Statement'!AI9</f>
        <v>2481.54</v>
      </c>
      <c r="AP45" s="128">
        <f>'Income Statement'!AJ8+'Income Statement'!AJ9</f>
        <v>4719.74</v>
      </c>
      <c r="AQ45" s="128">
        <f>'Income Statement'!AK8+'Income Statement'!AK9</f>
        <v>6958.89</v>
      </c>
      <c r="AR45" s="128">
        <f>'Income Statement'!AL8+'Income Statement'!AL9</f>
        <v>9689.14</v>
      </c>
      <c r="AS45" s="204"/>
      <c r="AU45" s="1" t="s">
        <v>523</v>
      </c>
      <c r="AV45" s="231">
        <f>'Income Statement'!AO8+'Income Statement'!AO10+'Income Statement'!AO11</f>
        <v>2763.9369999999999</v>
      </c>
      <c r="AW45" s="231">
        <f>'Income Statement'!AP8+'Income Statement'!AP10+'Income Statement'!AP11</f>
        <v>4034.6599999999994</v>
      </c>
      <c r="AX45" s="231">
        <f>'Income Statement'!AQ8+'Income Statement'!AQ10+'Income Statement'!AQ11</f>
        <v>6261.1559999999999</v>
      </c>
      <c r="AY45" s="231">
        <f>'Income Statement'!AR8+'Income Statement'!AR10+'Income Statement'!AR11</f>
        <v>7404.8879999999999</v>
      </c>
      <c r="AZ45" s="231">
        <f>'Income Statement'!AS8+'Income Statement'!AS10+'Income Statement'!AS11</f>
        <v>8904.7240000000002</v>
      </c>
      <c r="BA45" s="231"/>
      <c r="BB45" s="233"/>
    </row>
    <row r="46" spans="1:55" x14ac:dyDescent="0.3">
      <c r="A46" s="63" t="s">
        <v>566</v>
      </c>
      <c r="B46" s="96">
        <f>B45/B38</f>
        <v>0.86006885627426022</v>
      </c>
      <c r="C46" s="96">
        <f t="shared" ref="C46:G46" si="42">C45/C38</f>
        <v>0.85686875571863907</v>
      </c>
      <c r="D46" s="96">
        <f t="shared" si="42"/>
        <v>0.86486066657747407</v>
      </c>
      <c r="E46" s="96">
        <f t="shared" si="42"/>
        <v>0.85840619610927904</v>
      </c>
      <c r="F46" s="96">
        <f t="shared" si="42"/>
        <v>0.86302283996475526</v>
      </c>
      <c r="G46" s="96">
        <f t="shared" si="42"/>
        <v>0.86864004723417165</v>
      </c>
      <c r="J46" s="77" t="s">
        <v>564</v>
      </c>
      <c r="K46" s="198">
        <v>2025</v>
      </c>
      <c r="L46" s="198">
        <v>2026</v>
      </c>
      <c r="M46" s="198">
        <v>2027</v>
      </c>
      <c r="N46" s="198">
        <v>2028</v>
      </c>
      <c r="O46" s="198">
        <v>2029</v>
      </c>
      <c r="P46" s="198">
        <v>2030</v>
      </c>
      <c r="Q46" s="6"/>
      <c r="R46" s="6"/>
      <c r="T46" s="34" t="s">
        <v>555</v>
      </c>
      <c r="U46" s="128">
        <f>'Income Statement'!Q6</f>
        <v>53991.360000000001</v>
      </c>
      <c r="V46" s="128">
        <f>'Income Statement'!R6</f>
        <v>55787.68</v>
      </c>
      <c r="W46" s="128">
        <f>'Income Statement'!S6</f>
        <v>67041.31</v>
      </c>
      <c r="X46" s="128">
        <f>'Income Statement'!T6</f>
        <v>78498.700000000012</v>
      </c>
      <c r="Y46" s="128">
        <f>'Income Statement'!U6</f>
        <v>76584.649999999994</v>
      </c>
      <c r="Z46" s="128">
        <f>'Income Statement'!V6</f>
        <v>84142.47</v>
      </c>
      <c r="AA46" s="204"/>
      <c r="AC46" s="34" t="s">
        <v>555</v>
      </c>
      <c r="AD46" s="128">
        <f>AD40</f>
        <v>21205</v>
      </c>
      <c r="AE46" s="128">
        <f t="shared" ref="AE46:AI46" si="43">AE40</f>
        <v>21830</v>
      </c>
      <c r="AF46" s="128">
        <f t="shared" si="43"/>
        <v>29033</v>
      </c>
      <c r="AG46" s="128">
        <f t="shared" si="43"/>
        <v>40883</v>
      </c>
      <c r="AH46" s="128">
        <f t="shared" si="43"/>
        <v>51617</v>
      </c>
      <c r="AI46" s="128">
        <f t="shared" si="43"/>
        <v>60942</v>
      </c>
      <c r="AJ46" s="204"/>
      <c r="AL46" s="34" t="s">
        <v>555</v>
      </c>
      <c r="AM46" s="128">
        <f>AM40</f>
        <v>3635.4</v>
      </c>
      <c r="AN46" s="128">
        <f t="shared" ref="AN46:AR46" si="44">AN40</f>
        <v>2794.56</v>
      </c>
      <c r="AO46" s="128">
        <f t="shared" si="44"/>
        <v>4673.2300000000005</v>
      </c>
      <c r="AP46" s="128">
        <f t="shared" si="44"/>
        <v>8502.94</v>
      </c>
      <c r="AQ46" s="128">
        <f t="shared" si="44"/>
        <v>12664.380000000001</v>
      </c>
      <c r="AR46" s="128">
        <f t="shared" si="44"/>
        <v>17353.170000000002</v>
      </c>
      <c r="AS46" s="204"/>
      <c r="AU46" s="1" t="s">
        <v>555</v>
      </c>
      <c r="AV46" s="231">
        <f>AV40</f>
        <v>6592.76</v>
      </c>
      <c r="AW46" s="231">
        <f t="shared" ref="AW46:AZ46" si="45">AW40</f>
        <v>9026.2159999999985</v>
      </c>
      <c r="AX46" s="231">
        <f t="shared" si="45"/>
        <v>13429.407000000001</v>
      </c>
      <c r="AY46" s="231">
        <f t="shared" si="45"/>
        <v>16400.421999999999</v>
      </c>
      <c r="AZ46" s="231">
        <f t="shared" si="45"/>
        <v>20602.596000000001</v>
      </c>
      <c r="BA46" s="231"/>
      <c r="BB46" s="233"/>
    </row>
    <row r="47" spans="1:55" x14ac:dyDescent="0.3">
      <c r="A47" s="63" t="s">
        <v>557</v>
      </c>
      <c r="B47" s="96">
        <f>AVERAGE(B46:G46)</f>
        <v>0.86197789364642974</v>
      </c>
      <c r="C47" s="96"/>
      <c r="D47" s="96"/>
      <c r="E47" s="96"/>
      <c r="F47" s="96"/>
      <c r="G47" s="96"/>
      <c r="J47" s="63" t="s">
        <v>563</v>
      </c>
      <c r="K47" s="128">
        <f>'Income Statement Forecast'!M6*'Balance Sheet Forecast'!$R$39</f>
        <v>1383.5097874516064</v>
      </c>
      <c r="L47" s="128">
        <f>'Income Statement Forecast'!N6*'Balance Sheet Forecast'!$R$39</f>
        <v>1488.6905948144795</v>
      </c>
      <c r="M47" s="128">
        <f>'Income Statement Forecast'!O6*'Balance Sheet Forecast'!$R$39</f>
        <v>1601.8875350211292</v>
      </c>
      <c r="N47" s="128">
        <f>'Income Statement Forecast'!P6*'Balance Sheet Forecast'!$R$39</f>
        <v>1723.7123857663307</v>
      </c>
      <c r="O47" s="128">
        <f>'Income Statement Forecast'!Q6*'Balance Sheet Forecast'!$R$39</f>
        <v>1854.8236505595653</v>
      </c>
      <c r="P47" s="128">
        <f>'Income Statement Forecast'!R6*'Balance Sheet Forecast'!$R$39</f>
        <v>1995.9301290373371</v>
      </c>
      <c r="Q47" s="6"/>
      <c r="R47" s="6"/>
      <c r="T47" s="36" t="s">
        <v>567</v>
      </c>
      <c r="U47" s="100">
        <f>U45/U46</f>
        <v>0.32126380961694606</v>
      </c>
      <c r="V47" s="100">
        <f t="shared" ref="V47:Z47" si="46">V45/V46</f>
        <v>0.36085816796826825</v>
      </c>
      <c r="W47" s="100">
        <f t="shared" si="46"/>
        <v>0.39356435606643131</v>
      </c>
      <c r="X47" s="100">
        <f t="shared" si="46"/>
        <v>0.3695063739909068</v>
      </c>
      <c r="Y47" s="100">
        <f t="shared" si="46"/>
        <v>0.35230036306231083</v>
      </c>
      <c r="Z47" s="100">
        <f t="shared" si="46"/>
        <v>0.38005444812827577</v>
      </c>
      <c r="AA47" s="212">
        <f>AVERAGE(Table34[[#This Row],[2020]:[2025]])</f>
        <v>0.36292458647218978</v>
      </c>
      <c r="AC47" s="36" t="s">
        <v>567</v>
      </c>
      <c r="AD47" s="100">
        <f>AD45/AD46</f>
        <v>0.71468993161990102</v>
      </c>
      <c r="AE47" s="100">
        <f t="shared" ref="AE47:AI47" si="47">AE45/AE46</f>
        <v>0.75190105359596882</v>
      </c>
      <c r="AF47" s="100">
        <f t="shared" si="47"/>
        <v>0.74539317328557164</v>
      </c>
      <c r="AG47" s="100">
        <f t="shared" si="47"/>
        <v>0.74248465132206543</v>
      </c>
      <c r="AH47" s="100">
        <f t="shared" si="47"/>
        <v>0.76393436270995985</v>
      </c>
      <c r="AI47" s="100">
        <f t="shared" si="47"/>
        <v>0.77870762364215151</v>
      </c>
      <c r="AJ47" s="212">
        <f>AVERAGE(Table3442[[#This Row],[2020]:[2025]])</f>
        <v>0.74951846602926964</v>
      </c>
      <c r="AL47" s="36" t="s">
        <v>567</v>
      </c>
      <c r="AM47" s="100">
        <f>AM45/AM46</f>
        <v>0.51761841888100346</v>
      </c>
      <c r="AN47" s="100">
        <f t="shared" ref="AN47:AR47" si="48">AN45/AN46</f>
        <v>0.54892362303904729</v>
      </c>
      <c r="AO47" s="100">
        <f t="shared" si="48"/>
        <v>0.53101174134378148</v>
      </c>
      <c r="AP47" s="100">
        <f t="shared" si="48"/>
        <v>0.55507153996147207</v>
      </c>
      <c r="AQ47" s="100">
        <f t="shared" si="48"/>
        <v>0.54948524917919395</v>
      </c>
      <c r="AR47" s="100">
        <f t="shared" si="48"/>
        <v>0.55834985769170697</v>
      </c>
      <c r="AS47" s="212">
        <f>AVERAGE(Table344246[[#This Row],[2020]:[2025]])</f>
        <v>0.54341007168270083</v>
      </c>
      <c r="AU47" s="23" t="s">
        <v>567</v>
      </c>
      <c r="AV47" s="85">
        <f>AV45/AV46</f>
        <v>0.41923822496192792</v>
      </c>
      <c r="AW47" s="85">
        <f t="shared" ref="AW47:AZ47" si="49">AW45/AW46</f>
        <v>0.44699351311778934</v>
      </c>
      <c r="AX47" s="85">
        <f t="shared" si="49"/>
        <v>0.46622728762334775</v>
      </c>
      <c r="AY47" s="85">
        <f t="shared" si="49"/>
        <v>0.45150594295683372</v>
      </c>
      <c r="AZ47" s="85">
        <f t="shared" si="49"/>
        <v>0.43221368802261617</v>
      </c>
      <c r="BA47" s="85"/>
      <c r="BB47" s="85">
        <f>AVERAGE(Table55[[#This Row],[2020]:[2024]])</f>
        <v>0.44323573133650296</v>
      </c>
    </row>
    <row r="48" spans="1:55" x14ac:dyDescent="0.3">
      <c r="A48" s="77" t="s">
        <v>564</v>
      </c>
      <c r="B48" s="199">
        <v>2025</v>
      </c>
      <c r="C48" s="199" t="s">
        <v>545</v>
      </c>
      <c r="D48" s="199" t="s">
        <v>546</v>
      </c>
      <c r="E48" s="199" t="s">
        <v>547</v>
      </c>
      <c r="F48" s="199" t="s">
        <v>548</v>
      </c>
      <c r="G48" s="199" t="s">
        <v>549</v>
      </c>
      <c r="J48" s="63"/>
      <c r="K48" s="6"/>
      <c r="L48" s="6"/>
      <c r="M48" s="6"/>
      <c r="N48" s="6"/>
      <c r="O48" s="6"/>
      <c r="P48" s="6"/>
      <c r="Q48" s="6"/>
      <c r="R48" s="6"/>
      <c r="T48" s="202" t="s">
        <v>578</v>
      </c>
      <c r="U48" s="135">
        <v>2026</v>
      </c>
      <c r="V48" s="135">
        <v>2027</v>
      </c>
      <c r="W48" s="135">
        <v>2028</v>
      </c>
      <c r="X48" s="135">
        <v>2029</v>
      </c>
      <c r="Y48" s="135">
        <v>2030</v>
      </c>
      <c r="Z48" s="135"/>
      <c r="AA48" s="135"/>
      <c r="AC48" s="202" t="s">
        <v>578</v>
      </c>
      <c r="AD48" s="135">
        <v>2026</v>
      </c>
      <c r="AE48" s="135">
        <v>2027</v>
      </c>
      <c r="AF48" s="135">
        <v>2028</v>
      </c>
      <c r="AG48" s="135">
        <v>2029</v>
      </c>
      <c r="AH48" s="135">
        <v>2030</v>
      </c>
      <c r="AI48" s="135"/>
      <c r="AJ48" s="135"/>
      <c r="AL48" s="202" t="s">
        <v>578</v>
      </c>
      <c r="AM48" s="135">
        <v>2026</v>
      </c>
      <c r="AN48" s="135">
        <v>2027</v>
      </c>
      <c r="AO48" s="135">
        <v>2028</v>
      </c>
      <c r="AP48" s="135">
        <v>2029</v>
      </c>
      <c r="AQ48" s="135">
        <v>2030</v>
      </c>
      <c r="AR48" s="135"/>
      <c r="AS48" s="135"/>
      <c r="AU48" s="18" t="s">
        <v>578</v>
      </c>
      <c r="AV48" s="64">
        <v>2025</v>
      </c>
      <c r="AW48" s="64">
        <v>2026</v>
      </c>
      <c r="AX48" s="64">
        <v>2027</v>
      </c>
      <c r="AY48" s="64">
        <v>2028</v>
      </c>
      <c r="AZ48" s="64">
        <v>2029</v>
      </c>
      <c r="BA48" s="64">
        <v>2030</v>
      </c>
      <c r="BB48" s="234"/>
    </row>
    <row r="49" spans="1:54" x14ac:dyDescent="0.3">
      <c r="A49" s="63" t="s">
        <v>563</v>
      </c>
      <c r="B49" s="32">
        <f>G37</f>
        <v>3423.04</v>
      </c>
      <c r="C49" s="32">
        <f>'Income Statement Forecast'!D6*'Balance Sheet Forecast'!$B$40</f>
        <v>4494.9012799092989</v>
      </c>
      <c r="D49" s="32">
        <f>'Income Statement Forecast'!E6*'Balance Sheet Forecast'!$B$40</f>
        <v>5195.9653426932555</v>
      </c>
      <c r="E49" s="32">
        <f>'Income Statement Forecast'!F6*'Balance Sheet Forecast'!$B$40</f>
        <v>6006.3801105166813</v>
      </c>
      <c r="F49" s="32">
        <f>'Income Statement Forecast'!G6*'Balance Sheet Forecast'!$B$40</f>
        <v>6943.2027650601049</v>
      </c>
      <c r="G49" s="32">
        <f>'Income Statement Forecast'!H6*'Balance Sheet Forecast'!$B$40</f>
        <v>8026.1512805583943</v>
      </c>
      <c r="J49" s="63" t="s">
        <v>336</v>
      </c>
      <c r="K49" s="32">
        <f>ABS('Cash Flow Statement'!J53)</f>
        <v>5196</v>
      </c>
      <c r="L49" s="32">
        <f>ABS('Cash Flow Statement'!K53)</f>
        <v>8811</v>
      </c>
      <c r="M49" s="32">
        <f>ABS('Cash Flow Statement'!L53)</f>
        <v>7526</v>
      </c>
      <c r="N49" s="32">
        <f>ABS('Cash Flow Statement'!M53)</f>
        <v>8474</v>
      </c>
      <c r="O49" s="32">
        <f>ABS('Cash Flow Statement'!N53)</f>
        <v>9416</v>
      </c>
      <c r="P49" s="6"/>
      <c r="Q49" s="6"/>
      <c r="R49" s="6"/>
      <c r="T49" s="203" t="s">
        <v>563</v>
      </c>
      <c r="U49" s="201">
        <f>'Income Statement Forecast'!W6*$AA$41</f>
        <v>3303.7819686490952</v>
      </c>
      <c r="V49" s="201">
        <f>'Income Statement Forecast'!X6*$AA$41</f>
        <v>3560.7468498709436</v>
      </c>
      <c r="W49" s="201">
        <f>'Income Statement Forecast'!Y6*$AA$41</f>
        <v>3838.3360200650686</v>
      </c>
      <c r="X49" s="201">
        <f>'Income Statement Forecast'!Z6*$AA$41</f>
        <v>4138.2019008590705</v>
      </c>
      <c r="Y49" s="201">
        <f>'Income Statement Forecast'!AA6*$AA$41</f>
        <v>4462.1293190280294</v>
      </c>
      <c r="Z49" s="201"/>
      <c r="AA49" s="207"/>
      <c r="AC49" s="203" t="s">
        <v>563</v>
      </c>
      <c r="AD49" s="201">
        <f>'Income Statement Forecast'!AF6*'Balance Sheet Forecast'!$AJ$41</f>
        <v>765.47420852817561</v>
      </c>
      <c r="AE49" s="201">
        <f>'Income Statement Forecast'!AG6*'Balance Sheet Forecast'!$AJ$41</f>
        <v>912.74177141665291</v>
      </c>
      <c r="AF49" s="201">
        <f>'Income Statement Forecast'!AH6*'Balance Sheet Forecast'!$AJ$41</f>
        <v>1088.3442664856291</v>
      </c>
      <c r="AG49" s="201">
        <f>'Income Statement Forecast'!AI6*'Balance Sheet Forecast'!$AJ$41</f>
        <v>1297.7339940260995</v>
      </c>
      <c r="AH49" s="201">
        <f>'Income Statement Forecast'!AJ6*'Balance Sheet Forecast'!$AJ$41</f>
        <v>1547.4125170423326</v>
      </c>
      <c r="AI49" s="201"/>
      <c r="AJ49" s="207"/>
      <c r="AL49" s="203" t="s">
        <v>563</v>
      </c>
      <c r="AM49" s="201">
        <f>'Income Statement Forecast'!AO6*'Balance Sheet Forecast'!$AS$41</f>
        <v>1248.791479721795</v>
      </c>
      <c r="AN49" s="201">
        <f>'Income Statement Forecast'!AP6*'Balance Sheet Forecast'!$AS$41</f>
        <v>1625.2792402094533</v>
      </c>
      <c r="AO49" s="201">
        <f>'Income Statement Forecast'!AQ6*'Balance Sheet Forecast'!$AS$41</f>
        <v>2115.9963535175493</v>
      </c>
      <c r="AP49" s="201">
        <f>'Income Statement Forecast'!AR6*'Balance Sheet Forecast'!$AS$41</f>
        <v>2755.6487452536917</v>
      </c>
      <c r="AQ49" s="201">
        <f>'Income Statement Forecast'!AS6*'Balance Sheet Forecast'!$AS$41</f>
        <v>3589.4900632770673</v>
      </c>
      <c r="AR49" s="201"/>
      <c r="AS49" s="207"/>
      <c r="AU49" s="1" t="s">
        <v>563</v>
      </c>
      <c r="AV49" s="224">
        <f>'Income Statement Forecast'!AX6*'Balance Sheet Forecast'!$BB$41</f>
        <v>3457.3682627862308</v>
      </c>
      <c r="AW49" s="224">
        <f>'Income Statement Forecast'!AY6*'Balance Sheet Forecast'!$BB$41</f>
        <v>4180.4416792020002</v>
      </c>
      <c r="AX49" s="224">
        <f>'Income Statement Forecast'!AZ6*'Balance Sheet Forecast'!$BB$41</f>
        <v>5054.7405308341622</v>
      </c>
      <c r="AY49" s="224">
        <f>'Income Statement Forecast'!BA6*'Balance Sheet Forecast'!$BB$41</f>
        <v>6111.8929283591133</v>
      </c>
      <c r="AZ49" s="224">
        <f>'Income Statement Forecast'!BB6*'Balance Sheet Forecast'!$BB$41</f>
        <v>7390.1419526632944</v>
      </c>
      <c r="BA49" s="224">
        <f>'Income Statement Forecast'!BC6*'Balance Sheet Forecast'!$BB$41</f>
        <v>8935.7291863750452</v>
      </c>
      <c r="BB49" s="233"/>
    </row>
    <row r="50" spans="1:54" x14ac:dyDescent="0.3">
      <c r="B50" s="129"/>
      <c r="C50" s="129"/>
      <c r="D50" s="129"/>
      <c r="E50" s="129"/>
      <c r="F50" s="129"/>
      <c r="G50" s="129"/>
      <c r="H50" s="129"/>
      <c r="J50" s="63" t="s">
        <v>569</v>
      </c>
      <c r="K50" s="128">
        <f>'Income Statement'!J27</f>
        <v>6756</v>
      </c>
      <c r="L50" s="128">
        <f>'Income Statement'!K27</f>
        <v>7999</v>
      </c>
      <c r="M50" s="128">
        <f>'Income Statement'!L27</f>
        <v>8892</v>
      </c>
      <c r="N50" s="128">
        <f>'Income Statement'!M27</f>
        <v>10143</v>
      </c>
      <c r="O50" s="128">
        <f>'Income Statement'!N27</f>
        <v>10282</v>
      </c>
      <c r="P50" s="6"/>
      <c r="Q50" s="6"/>
      <c r="R50" s="6"/>
      <c r="T50" s="202" t="s">
        <v>564</v>
      </c>
      <c r="U50" s="135">
        <v>2020</v>
      </c>
      <c r="V50" s="135">
        <v>2021</v>
      </c>
      <c r="W50" s="135">
        <v>2022</v>
      </c>
      <c r="X50" s="135">
        <v>2023</v>
      </c>
      <c r="Y50" s="135">
        <v>2024</v>
      </c>
      <c r="Z50" s="135">
        <v>2025</v>
      </c>
      <c r="AA50" s="135" t="s">
        <v>557</v>
      </c>
      <c r="AC50" s="202" t="s">
        <v>564</v>
      </c>
      <c r="AD50" s="135">
        <v>2020</v>
      </c>
      <c r="AE50" s="135">
        <v>2021</v>
      </c>
      <c r="AF50" s="135">
        <v>2022</v>
      </c>
      <c r="AG50" s="135">
        <v>2023</v>
      </c>
      <c r="AH50" s="135">
        <v>2024</v>
      </c>
      <c r="AI50" s="135">
        <v>2025</v>
      </c>
      <c r="AJ50" s="135"/>
      <c r="AL50" s="202" t="s">
        <v>564</v>
      </c>
      <c r="AM50" s="135">
        <v>2020</v>
      </c>
      <c r="AN50" s="135">
        <v>2021</v>
      </c>
      <c r="AO50" s="135">
        <v>2022</v>
      </c>
      <c r="AP50" s="135">
        <v>2023</v>
      </c>
      <c r="AQ50" s="135">
        <v>2024</v>
      </c>
      <c r="AR50" s="135">
        <v>2025</v>
      </c>
      <c r="AS50" s="135"/>
      <c r="AU50" s="18" t="s">
        <v>564</v>
      </c>
      <c r="AV50" s="64">
        <v>2020</v>
      </c>
      <c r="AW50" s="64">
        <v>2021</v>
      </c>
      <c r="AX50" s="64">
        <v>2022</v>
      </c>
      <c r="AY50" s="64">
        <v>2023</v>
      </c>
      <c r="AZ50" s="64">
        <v>2024</v>
      </c>
      <c r="BA50" s="64"/>
      <c r="BB50" s="234"/>
    </row>
    <row r="51" spans="1:54" x14ac:dyDescent="0.3">
      <c r="A51" s="63" t="s">
        <v>35</v>
      </c>
      <c r="B51" s="32">
        <f>'Balance Sheet'!B22</f>
        <v>19.55</v>
      </c>
      <c r="C51" s="32">
        <f>'Balance Sheet'!C22</f>
        <v>43.58</v>
      </c>
      <c r="D51" s="32">
        <f>'Balance Sheet'!D22</f>
        <v>66.89</v>
      </c>
      <c r="E51" s="32">
        <f>'Balance Sheet'!E22</f>
        <v>62.16</v>
      </c>
      <c r="F51" s="32">
        <f>'Balance Sheet'!F22</f>
        <v>166.37</v>
      </c>
      <c r="G51" s="32">
        <f>'Balance Sheet'!G22</f>
        <v>153.79</v>
      </c>
      <c r="H51" s="32"/>
      <c r="J51" s="63" t="s">
        <v>577</v>
      </c>
      <c r="K51" s="96">
        <f>K49/K50</f>
        <v>0.76909413854351683</v>
      </c>
      <c r="L51" s="96">
        <f t="shared" ref="L51:O51" si="50">L49/L50</f>
        <v>1.1015126890861358</v>
      </c>
      <c r="M51" s="96">
        <f t="shared" si="50"/>
        <v>0.84637876743139906</v>
      </c>
      <c r="N51" s="96">
        <f t="shared" si="50"/>
        <v>0.83545302178842551</v>
      </c>
      <c r="O51" s="96">
        <f t="shared" si="50"/>
        <v>0.91577514102314728</v>
      </c>
      <c r="P51" s="6"/>
      <c r="Q51" s="6"/>
      <c r="R51" s="96">
        <f>AVERAGE(K51:O51)</f>
        <v>0.89364275157452489</v>
      </c>
      <c r="T51" s="160" t="s">
        <v>336</v>
      </c>
      <c r="U51" s="158">
        <f>ABS('Cash Flow Statement'!Q57)</f>
        <v>7301.62</v>
      </c>
      <c r="V51" s="158">
        <f>ABS('Cash Flow Statement'!R57)</f>
        <v>18881.39</v>
      </c>
      <c r="W51" s="158">
        <f>ABS('Cash Flow Statement'!S57)</f>
        <v>13788.32</v>
      </c>
      <c r="X51" s="158">
        <f>ABS('Cash Flow Statement'!T57)</f>
        <v>15417.53</v>
      </c>
      <c r="Y51" s="158">
        <f>ABS('Cash Flow Statement'!U57)</f>
        <v>19899.2</v>
      </c>
      <c r="Z51" s="158">
        <f>ABS('Cash Flow Statement'!V57)</f>
        <v>17782.22</v>
      </c>
      <c r="AA51" s="208"/>
      <c r="AC51" s="160" t="s">
        <v>336</v>
      </c>
      <c r="AD51" s="158">
        <f>ABS('Cash Flow Statement'!Y52)</f>
        <v>536</v>
      </c>
      <c r="AE51" s="158">
        <f>ABS('Cash Flow Statement'!Z52)</f>
        <v>355</v>
      </c>
      <c r="AF51" s="158">
        <f>ABS('Cash Flow Statement'!AA52)</f>
        <v>355</v>
      </c>
      <c r="AG51" s="158">
        <f>ABS('Cash Flow Statement'!AB52)</f>
        <v>666</v>
      </c>
      <c r="AH51" s="158">
        <f>ABS('Cash Flow Statement'!AC52)</f>
        <v>888</v>
      </c>
      <c r="AI51" s="158">
        <f>ABS('Cash Flow Statement'!AD52)</f>
        <v>976</v>
      </c>
      <c r="AJ51" s="208"/>
      <c r="AL51" s="160" t="s">
        <v>495</v>
      </c>
      <c r="AM51" s="200">
        <f>'Balance Sheet'!AG52+'Balance Sheet'!AG53</f>
        <v>297.64999999999998</v>
      </c>
      <c r="AN51" s="200">
        <f>'Balance Sheet'!AH52+'Balance Sheet'!AH53</f>
        <v>274.57</v>
      </c>
      <c r="AO51" s="200">
        <f>'Balance Sheet'!AI52+'Balance Sheet'!AI53</f>
        <v>378.03</v>
      </c>
      <c r="AP51" s="200">
        <f>'Balance Sheet'!AJ52+'Balance Sheet'!AJ53</f>
        <v>665.22</v>
      </c>
      <c r="AQ51" s="200">
        <f>'Balance Sheet'!AK52+'Balance Sheet'!AK53</f>
        <v>773.91000000000008</v>
      </c>
      <c r="AR51" s="200">
        <f>'Balance Sheet'!AL52+'Balance Sheet'!AL53</f>
        <v>928.19</v>
      </c>
      <c r="AS51" s="208"/>
      <c r="AU51" s="1" t="s">
        <v>336</v>
      </c>
      <c r="AV51" s="231">
        <f>ABS('Cash Flow Statement'!AO49)</f>
        <v>72.171999999999997</v>
      </c>
      <c r="AW51" s="231">
        <f>ABS('Cash Flow Statement'!AP49)</f>
        <v>108.258</v>
      </c>
      <c r="AX51" s="231">
        <f>ABS('Cash Flow Statement'!AQ49)</f>
        <v>162.387</v>
      </c>
      <c r="AY51" s="231">
        <f>ABS('Cash Flow Statement'!AR49)</f>
        <v>227.34800000000001</v>
      </c>
      <c r="AZ51" s="231">
        <f>ABS('Cash Flow Statement'!AS49)</f>
        <v>324.82</v>
      </c>
      <c r="BA51" s="231"/>
      <c r="BB51" s="233"/>
    </row>
    <row r="52" spans="1:54" x14ac:dyDescent="0.3">
      <c r="A52" s="63" t="s">
        <v>567</v>
      </c>
      <c r="B52" s="91">
        <f>B51/B38</f>
        <v>7.8418977151798678E-4</v>
      </c>
      <c r="C52" s="91">
        <f t="shared" ref="C52:G52" si="51">C51/C38</f>
        <v>1.7905220657809375E-3</v>
      </c>
      <c r="D52" s="91">
        <f t="shared" si="51"/>
        <v>2.1512354890498926E-3</v>
      </c>
      <c r="E52" s="91">
        <f t="shared" si="51"/>
        <v>1.4466276772270178E-3</v>
      </c>
      <c r="F52" s="91">
        <f t="shared" si="51"/>
        <v>3.2663018638554656E-3</v>
      </c>
      <c r="G52" s="91">
        <f t="shared" si="51"/>
        <v>2.585472398875902E-3</v>
      </c>
      <c r="H52" s="151">
        <f>AVERAGE(B52:G52)</f>
        <v>2.0040582110512004E-3</v>
      </c>
      <c r="J52" s="77" t="s">
        <v>578</v>
      </c>
      <c r="K52" s="198">
        <v>2025</v>
      </c>
      <c r="L52" s="198">
        <v>2026</v>
      </c>
      <c r="M52" s="198">
        <v>2027</v>
      </c>
      <c r="N52" s="198">
        <v>2028</v>
      </c>
      <c r="O52" s="198">
        <v>2029</v>
      </c>
      <c r="P52" s="198">
        <v>2030</v>
      </c>
      <c r="Q52" s="6"/>
      <c r="R52" s="6"/>
      <c r="T52" s="34" t="s">
        <v>569</v>
      </c>
      <c r="U52" s="128">
        <f>'Income Statement'!Q30</f>
        <v>15592.779999999999</v>
      </c>
      <c r="V52" s="128">
        <f>'Income Statement'!R30</f>
        <v>13382.879999999997</v>
      </c>
      <c r="W52" s="128">
        <f>'Income Statement'!S30</f>
        <v>15503.129999999997</v>
      </c>
      <c r="X52" s="128">
        <f>'Income Statement'!T30</f>
        <v>19476.720000000016</v>
      </c>
      <c r="Y52" s="128">
        <f>'Income Statement'!U30</f>
        <v>20751.359999999993</v>
      </c>
      <c r="Z52" s="128">
        <f>'Income Statement'!V30</f>
        <v>35052.480000000003</v>
      </c>
      <c r="AA52" s="204"/>
      <c r="AC52" s="34" t="s">
        <v>569</v>
      </c>
      <c r="AD52" s="128">
        <f>'Income Statement'!Y28</f>
        <v>1493</v>
      </c>
      <c r="AE52" s="128">
        <f>'Income Statement'!Z28</f>
        <v>974</v>
      </c>
      <c r="AF52" s="128">
        <f>'Income Statement'!AA28</f>
        <v>2198</v>
      </c>
      <c r="AG52" s="128">
        <f>'Income Statement'!AB28</f>
        <v>3274</v>
      </c>
      <c r="AH52" s="128">
        <f>'Income Statement'!AC28</f>
        <v>3496</v>
      </c>
      <c r="AI52" s="128">
        <f>'Income Statement'!AD28</f>
        <v>3337</v>
      </c>
      <c r="AJ52" s="204"/>
      <c r="AL52" s="35" t="s">
        <v>567</v>
      </c>
      <c r="AM52" s="97">
        <f>AM51/AM45</f>
        <v>0.15817722864354988</v>
      </c>
      <c r="AN52" s="97">
        <f t="shared" ref="AN52:AR52" si="52">AN51/AN45</f>
        <v>0.17898956975228161</v>
      </c>
      <c r="AO52" s="97">
        <f t="shared" si="52"/>
        <v>0.1523368553398293</v>
      </c>
      <c r="AP52" s="97">
        <f t="shared" si="52"/>
        <v>0.14094420455364068</v>
      </c>
      <c r="AQ52" s="97">
        <f t="shared" si="52"/>
        <v>0.11121170186624592</v>
      </c>
      <c r="AR52" s="97">
        <f t="shared" si="52"/>
        <v>9.5796943794805328E-2</v>
      </c>
      <c r="AS52" s="205">
        <f>AVERAGE(Table344246[[#This Row],[2020]:[2025]])</f>
        <v>0.13957608399172547</v>
      </c>
      <c r="AU52" s="1" t="s">
        <v>569</v>
      </c>
      <c r="AV52" s="231">
        <f>'Income Statement'!AO27</f>
        <v>357.26800000000088</v>
      </c>
      <c r="AW52" s="231">
        <f>'Income Statement'!AP27</f>
        <v>746.05199999999832</v>
      </c>
      <c r="AX52" s="231">
        <f>'Income Statement'!AQ27</f>
        <v>1550.1140000000019</v>
      </c>
      <c r="AY52" s="231">
        <f>'Income Statement'!AR27</f>
        <v>2101.8130000000001</v>
      </c>
      <c r="AZ52" s="231">
        <f>'Income Statement'!AS27</f>
        <v>2634.2839999999992</v>
      </c>
      <c r="BA52" s="231"/>
      <c r="BB52" s="233"/>
    </row>
    <row r="53" spans="1:54" x14ac:dyDescent="0.3">
      <c r="B53" s="129"/>
      <c r="C53" s="129"/>
      <c r="D53" s="129"/>
      <c r="E53" s="129"/>
      <c r="F53" s="129"/>
      <c r="G53" s="129"/>
      <c r="H53" s="129"/>
      <c r="J53" s="63" t="s">
        <v>336</v>
      </c>
      <c r="K53" s="128">
        <f>'Income Statement Forecast'!M18*'Balance Sheet Forecast'!$R$51</f>
        <v>13049.715549053626</v>
      </c>
      <c r="L53" s="128">
        <f>'Income Statement Forecast'!N18*'Balance Sheet Forecast'!$R$51</f>
        <v>10672.752728206862</v>
      </c>
      <c r="M53" s="128">
        <f>'Income Statement Forecast'!O18*'Balance Sheet Forecast'!$R$51</f>
        <v>11636.912462445032</v>
      </c>
      <c r="N53" s="128">
        <f>'Income Statement Forecast'!P18*'Balance Sheet Forecast'!$R$51</f>
        <v>12662.158373258197</v>
      </c>
      <c r="O53" s="128">
        <f>'Income Statement Forecast'!Q18*'Balance Sheet Forecast'!$R$51</f>
        <v>13756.31442975249</v>
      </c>
      <c r="P53" s="128">
        <f>'Income Statement Forecast'!R18*'Balance Sheet Forecast'!$R$51</f>
        <v>14927.188097333174</v>
      </c>
      <c r="Q53" s="6"/>
      <c r="R53" s="6"/>
      <c r="T53" s="36" t="s">
        <v>577</v>
      </c>
      <c r="U53" s="100">
        <f>U51/U52</f>
        <v>0.46826928873491452</v>
      </c>
      <c r="V53" s="100">
        <f t="shared" ref="V53:Z53" si="53">V51/V52</f>
        <v>1.4108614887079614</v>
      </c>
      <c r="W53" s="100">
        <f t="shared" si="53"/>
        <v>0.88938943297256756</v>
      </c>
      <c r="X53" s="100">
        <f t="shared" si="53"/>
        <v>0.79158759791176281</v>
      </c>
      <c r="Y53" s="100">
        <f t="shared" si="53"/>
        <v>0.95893473969898879</v>
      </c>
      <c r="Z53" s="100">
        <f t="shared" si="53"/>
        <v>0.50730276431225407</v>
      </c>
      <c r="AA53" s="213">
        <f>AVERAGE(Table34[[#This Row],[2020]:[2025]])</f>
        <v>0.8377242187230749</v>
      </c>
      <c r="AC53" s="36" t="s">
        <v>577</v>
      </c>
      <c r="AD53" s="100">
        <f>AD51/AD52</f>
        <v>0.35900870730073675</v>
      </c>
      <c r="AE53" s="100">
        <f t="shared" ref="AE53:AI53" si="54">AE51/AE52</f>
        <v>0.36447638603696098</v>
      </c>
      <c r="AF53" s="100">
        <f t="shared" si="54"/>
        <v>0.16151046405823477</v>
      </c>
      <c r="AG53" s="100">
        <f t="shared" si="54"/>
        <v>0.20342089187538179</v>
      </c>
      <c r="AH53" s="100">
        <f t="shared" si="54"/>
        <v>0.25400457665903892</v>
      </c>
      <c r="AI53" s="100">
        <f t="shared" si="54"/>
        <v>0.29247827389871139</v>
      </c>
      <c r="AJ53" s="213">
        <f>AVERAGE(Table3442[[#This Row],[2020]:[2025]])</f>
        <v>0.27248321663817743</v>
      </c>
      <c r="AL53" s="34" t="s">
        <v>35</v>
      </c>
      <c r="AM53" s="128">
        <f>'Balance Sheet'!AG20</f>
        <v>17.12</v>
      </c>
      <c r="AN53" s="128">
        <f>'Balance Sheet'!AH20</f>
        <v>20.77</v>
      </c>
      <c r="AO53" s="128">
        <f>'Balance Sheet'!AI20</f>
        <v>18.260000000000002</v>
      </c>
      <c r="AP53" s="128">
        <f>'Balance Sheet'!AJ20</f>
        <v>34.39</v>
      </c>
      <c r="AQ53" s="128">
        <f>'Balance Sheet'!AK20</f>
        <v>81.739999999999995</v>
      </c>
      <c r="AR53" s="128">
        <f>'Balance Sheet'!AL20</f>
        <v>62.95</v>
      </c>
      <c r="AS53" s="204"/>
      <c r="AU53" s="23" t="s">
        <v>577</v>
      </c>
      <c r="AV53" s="85">
        <f>AV51/AV52</f>
        <v>0.20201081541027974</v>
      </c>
      <c r="AW53" s="85">
        <f t="shared" ref="AW53:AZ53" si="55">AW51/AW52</f>
        <v>0.1451078477103476</v>
      </c>
      <c r="AX53" s="85">
        <f t="shared" si="55"/>
        <v>0.1047581016622002</v>
      </c>
      <c r="AY53" s="85">
        <f t="shared" si="55"/>
        <v>0.10816756771415915</v>
      </c>
      <c r="AZ53" s="85">
        <f t="shared" si="55"/>
        <v>0.12330485247604286</v>
      </c>
      <c r="BA53" s="232"/>
      <c r="BB53" s="85">
        <f>AVERAGE(Table55[[#This Row],[2020]:[2024]])</f>
        <v>0.13666983699460591</v>
      </c>
    </row>
    <row r="54" spans="1:54" x14ac:dyDescent="0.3">
      <c r="A54" s="1" t="s">
        <v>614</v>
      </c>
      <c r="B54" s="129">
        <f>(B13+B14+B12)-(B28+B31)</f>
        <v>4088.3900000000003</v>
      </c>
      <c r="C54" s="129">
        <f>(D13+D12+D14)-(D28+D31)</f>
        <v>5843.6783557685703</v>
      </c>
      <c r="D54" s="129">
        <f t="shared" ref="D54:G54" si="56">(E13+E12+E14)-(E28+E31)</f>
        <v>6720.1863854243156</v>
      </c>
      <c r="E54" s="129">
        <f t="shared" si="56"/>
        <v>7716.2343755418133</v>
      </c>
      <c r="F54" s="129">
        <f t="shared" si="56"/>
        <v>8844.5506918126521</v>
      </c>
      <c r="G54" s="129">
        <f t="shared" si="56"/>
        <v>10118.045330195684</v>
      </c>
      <c r="H54" s="129"/>
      <c r="J54" s="63"/>
      <c r="K54" s="6"/>
      <c r="L54" s="6"/>
      <c r="M54" s="6"/>
      <c r="N54" s="6"/>
      <c r="O54" s="6"/>
      <c r="P54" s="6"/>
      <c r="Q54" s="6"/>
      <c r="R54" s="6"/>
      <c r="T54" s="134" t="s">
        <v>578</v>
      </c>
      <c r="U54" s="135">
        <v>2026</v>
      </c>
      <c r="V54" s="135">
        <v>2027</v>
      </c>
      <c r="W54" s="135">
        <v>2028</v>
      </c>
      <c r="X54" s="135">
        <v>2029</v>
      </c>
      <c r="Y54" s="135">
        <v>2030</v>
      </c>
      <c r="Z54" s="135"/>
      <c r="AA54" s="136"/>
      <c r="AC54" s="134" t="s">
        <v>578</v>
      </c>
      <c r="AD54" s="135">
        <v>2026</v>
      </c>
      <c r="AE54" s="135">
        <v>2027</v>
      </c>
      <c r="AF54" s="135">
        <v>2028</v>
      </c>
      <c r="AG54" s="135">
        <v>2029</v>
      </c>
      <c r="AH54" s="135">
        <v>2030</v>
      </c>
      <c r="AI54" s="135"/>
      <c r="AJ54" s="136"/>
      <c r="AL54" s="35" t="s">
        <v>567</v>
      </c>
      <c r="AM54" s="100">
        <f>AM53/AM40</f>
        <v>4.7092479507069374E-3</v>
      </c>
      <c r="AN54" s="100">
        <f t="shared" ref="AN54:AR54" si="57">AN53/AN40</f>
        <v>7.4322970342379476E-3</v>
      </c>
      <c r="AO54" s="100">
        <f t="shared" si="57"/>
        <v>3.9073617176984656E-3</v>
      </c>
      <c r="AP54" s="100">
        <f t="shared" si="57"/>
        <v>4.0444834374933842E-3</v>
      </c>
      <c r="AQ54" s="100">
        <f t="shared" si="57"/>
        <v>6.4543230699015651E-3</v>
      </c>
      <c r="AR54" s="100">
        <f t="shared" si="57"/>
        <v>3.6275792837850373E-3</v>
      </c>
      <c r="AS54" s="206">
        <f>AVERAGE(Table344246[[#This Row],[2020]:[2025]])</f>
        <v>5.0292154156372226E-3</v>
      </c>
      <c r="AU54" s="18" t="s">
        <v>578</v>
      </c>
      <c r="AV54" s="64">
        <v>2025</v>
      </c>
      <c r="AW54" s="64">
        <v>2026</v>
      </c>
      <c r="AX54" s="64">
        <v>2027</v>
      </c>
      <c r="AY54" s="64">
        <v>2028</v>
      </c>
      <c r="AZ54" s="64">
        <v>2029</v>
      </c>
      <c r="BA54" s="64">
        <v>2030</v>
      </c>
      <c r="BB54" s="234"/>
    </row>
    <row r="55" spans="1:54" x14ac:dyDescent="0.3">
      <c r="A55" s="1" t="s">
        <v>57</v>
      </c>
      <c r="B55" s="129"/>
      <c r="C55" s="129"/>
      <c r="D55" s="129">
        <f>SUM(D28:D32)</f>
        <v>5045.6820390059593</v>
      </c>
      <c r="E55" s="129">
        <f t="shared" ref="E55:H55" si="58">SUM(E28:E32)</f>
        <v>7569.0649677107531</v>
      </c>
      <c r="F55" s="129">
        <f t="shared" si="58"/>
        <v>10535.157883738324</v>
      </c>
      <c r="G55" s="129">
        <f t="shared" si="58"/>
        <v>14022.635723796226</v>
      </c>
      <c r="H55" s="129">
        <f t="shared" si="58"/>
        <v>18126.098927557206</v>
      </c>
      <c r="J55" s="63" t="s">
        <v>495</v>
      </c>
      <c r="K55" s="128">
        <f>'Balance Sheet'!J47+'Balance Sheet'!J48</f>
        <v>7206</v>
      </c>
      <c r="L55" s="128">
        <f>'Balance Sheet'!K47+'Balance Sheet'!K48</f>
        <v>7535</v>
      </c>
      <c r="M55" s="128">
        <f>'Balance Sheet'!L47+'Balance Sheet'!L48</f>
        <v>8802</v>
      </c>
      <c r="N55" s="128">
        <f>'Balance Sheet'!M47+'Balance Sheet'!M48</f>
        <v>9068</v>
      </c>
      <c r="O55" s="128">
        <f>'Balance Sheet'!N47+'Balance Sheet'!N48</f>
        <v>10486</v>
      </c>
      <c r="P55" s="6"/>
      <c r="Q55" s="6"/>
      <c r="R55" s="6"/>
      <c r="T55" s="160" t="s">
        <v>336</v>
      </c>
      <c r="U55" s="200">
        <f>'Income Statement Forecast'!W18*'Balance Sheet Forecast'!$AA$53</f>
        <v>25926.328221797674</v>
      </c>
      <c r="V55" s="200">
        <f>'Income Statement Forecast'!X18*'Balance Sheet Forecast'!$AA$53</f>
        <v>21076.356058885918</v>
      </c>
      <c r="W55" s="200">
        <f>'Income Statement Forecast'!Y18*'Balance Sheet Forecast'!$AA$53</f>
        <v>22695.781087085998</v>
      </c>
      <c r="X55" s="200">
        <f>'Income Statement Forecast'!Z18*'Balance Sheet Forecast'!$AA$53</f>
        <v>24447.378237316676</v>
      </c>
      <c r="Y55" s="200">
        <f>'Income Statement Forecast'!AA18*'Balance Sheet Forecast'!$AA$53</f>
        <v>26341.551613922973</v>
      </c>
      <c r="Z55" s="200"/>
      <c r="AA55" s="208"/>
      <c r="AC55" s="203" t="s">
        <v>336</v>
      </c>
      <c r="AD55" s="201">
        <f>'Income Statement Forecast'!AF18*'Balance Sheet Forecast'!$AJ$53</f>
        <v>1409.7564437117114</v>
      </c>
      <c r="AE55" s="201">
        <f>'Income Statement Forecast'!AG18*'Balance Sheet Forecast'!$AJ$53</f>
        <v>1693.5593417938408</v>
      </c>
      <c r="AF55" s="201">
        <f>'Income Statement Forecast'!AH18*'Balance Sheet Forecast'!$AJ$53</f>
        <v>2027.8878501821071</v>
      </c>
      <c r="AG55" s="201">
        <f>'Income Statement Forecast'!AI18*'Balance Sheet Forecast'!$AJ$53</f>
        <v>2423.7868774524045</v>
      </c>
      <c r="AH55" s="201">
        <f>'Income Statement Forecast'!AJ18*'Balance Sheet Forecast'!$AJ$53</f>
        <v>2893.9980764873594</v>
      </c>
      <c r="AI55" s="201"/>
      <c r="AJ55" s="207"/>
      <c r="AL55" s="34" t="s">
        <v>580</v>
      </c>
      <c r="AM55" s="128">
        <f>'Income Statement'!AG10</f>
        <v>358.52</v>
      </c>
      <c r="AN55" s="128">
        <f>'Income Statement'!AH10</f>
        <v>301.86</v>
      </c>
      <c r="AO55" s="128">
        <f>'Income Statement'!AI10</f>
        <v>398.95</v>
      </c>
      <c r="AP55" s="128">
        <f>'Income Statement'!AJ10</f>
        <v>655.23</v>
      </c>
      <c r="AQ55" s="128">
        <f>'Income Statement'!AK10</f>
        <v>1036.6400000000001</v>
      </c>
      <c r="AR55" s="128">
        <f>'Income Statement'!AL10</f>
        <v>1308.45</v>
      </c>
      <c r="AS55" s="204"/>
      <c r="AU55" s="1" t="s">
        <v>336</v>
      </c>
      <c r="AV55" s="224">
        <f>'Income Statement Forecast'!AX18*'Balance Sheet Forecast'!$BB$53</f>
        <v>588.61012800472315</v>
      </c>
      <c r="AW55" s="224">
        <f>'Income Statement Forecast'!AY18*'Balance Sheet Forecast'!$BB$53</f>
        <v>547.96005790452659</v>
      </c>
      <c r="AX55" s="224">
        <f>'Income Statement Forecast'!AZ18*'Balance Sheet Forecast'!$BB$53</f>
        <v>660.85152168776438</v>
      </c>
      <c r="AY55" s="224">
        <f>'Income Statement Forecast'!BA18*'Balance Sheet Forecast'!$BB$53</f>
        <v>797.52323987532054</v>
      </c>
      <c r="AZ55" s="224">
        <f>'Income Statement Forecast'!BB18*'Balance Sheet Forecast'!$BB$53</f>
        <v>962.93191535037147</v>
      </c>
      <c r="BA55" s="224">
        <f>'Income Statement Forecast'!BC18*'Balance Sheet Forecast'!$BB$53</f>
        <v>1163.0726166207533</v>
      </c>
      <c r="BB55" s="233"/>
    </row>
    <row r="56" spans="1:54" x14ac:dyDescent="0.3">
      <c r="B56" s="129"/>
      <c r="C56" s="129"/>
      <c r="D56" s="129"/>
      <c r="E56" s="129"/>
      <c r="F56" s="129"/>
      <c r="G56" s="129"/>
      <c r="H56" s="129"/>
      <c r="J56" s="63" t="s">
        <v>567</v>
      </c>
      <c r="K56" s="141">
        <f>K55/K43</f>
        <v>0.39465469083739524</v>
      </c>
      <c r="L56" s="141">
        <f t="shared" ref="L56:O56" si="59">L55/L43</f>
        <v>0.34021130576124253</v>
      </c>
      <c r="M56" s="141">
        <f t="shared" si="59"/>
        <v>0.34202448027977461</v>
      </c>
      <c r="N56" s="141">
        <f t="shared" si="59"/>
        <v>0.28591247319964685</v>
      </c>
      <c r="O56" s="141">
        <f t="shared" si="59"/>
        <v>0.35235215053763441</v>
      </c>
      <c r="P56" s="6"/>
      <c r="Q56" s="6"/>
      <c r="R56" s="167">
        <f>AVERAGE(K56:O56)</f>
        <v>0.34303102012313869</v>
      </c>
      <c r="T56" s="35" t="s">
        <v>564</v>
      </c>
      <c r="U56" s="135">
        <v>2020</v>
      </c>
      <c r="V56" s="135">
        <v>2021</v>
      </c>
      <c r="W56" s="135">
        <v>2022</v>
      </c>
      <c r="X56" s="135">
        <v>2023</v>
      </c>
      <c r="Y56" s="135">
        <v>2024</v>
      </c>
      <c r="Z56" s="135">
        <v>2025</v>
      </c>
      <c r="AA56" s="135" t="s">
        <v>557</v>
      </c>
      <c r="AC56" s="92" t="s">
        <v>564</v>
      </c>
      <c r="AD56" s="135">
        <v>2020</v>
      </c>
      <c r="AE56" s="135">
        <v>2021</v>
      </c>
      <c r="AF56" s="135">
        <v>2022</v>
      </c>
      <c r="AG56" s="135">
        <v>2023</v>
      </c>
      <c r="AH56" s="135">
        <v>2024</v>
      </c>
      <c r="AI56" s="135">
        <v>2025</v>
      </c>
      <c r="AJ56" s="136"/>
      <c r="AL56" s="35" t="s">
        <v>567</v>
      </c>
      <c r="AM56" s="97">
        <f>AM55/AM40</f>
        <v>9.8619134070528677E-2</v>
      </c>
      <c r="AN56" s="97">
        <f t="shared" ref="AN56:AR56" si="60">AN55/AN40</f>
        <v>0.10801700446581931</v>
      </c>
      <c r="AO56" s="97">
        <f t="shared" si="60"/>
        <v>8.53692200041513E-2</v>
      </c>
      <c r="AP56" s="97">
        <f t="shared" si="60"/>
        <v>7.7059228925524581E-2</v>
      </c>
      <c r="AQ56" s="97">
        <f t="shared" si="60"/>
        <v>8.1854776941310992E-2</v>
      </c>
      <c r="AR56" s="97">
        <f t="shared" si="60"/>
        <v>7.5401209116259443E-2</v>
      </c>
      <c r="AS56" s="205">
        <f>AVERAGE(Table344246[[#This Row],[2020]:[2025]])</f>
        <v>8.772009558726572E-2</v>
      </c>
      <c r="AU56" s="18" t="s">
        <v>564</v>
      </c>
      <c r="AV56" s="64">
        <v>2020</v>
      </c>
      <c r="AW56" s="64">
        <v>2021</v>
      </c>
      <c r="AX56" s="64">
        <v>2022</v>
      </c>
      <c r="AY56" s="64">
        <v>2023</v>
      </c>
      <c r="AZ56" s="64">
        <v>2024</v>
      </c>
      <c r="BA56" s="64"/>
      <c r="BB56" s="234"/>
    </row>
    <row r="57" spans="1:54" x14ac:dyDescent="0.3">
      <c r="B57" s="129"/>
      <c r="C57" s="129"/>
      <c r="D57" s="129"/>
      <c r="E57" s="129"/>
      <c r="F57" s="129"/>
      <c r="G57" s="129"/>
      <c r="H57" s="129"/>
      <c r="J57" s="63" t="s">
        <v>35</v>
      </c>
      <c r="K57" s="128">
        <f>'Balance Sheet'!J22</f>
        <v>1816</v>
      </c>
      <c r="L57" s="128">
        <f>'Balance Sheet'!K22</f>
        <v>1149</v>
      </c>
      <c r="M57" s="128">
        <f>'Balance Sheet'!L22</f>
        <v>1758</v>
      </c>
      <c r="N57" s="128">
        <f>'Balance Sheet'!M22</f>
        <v>2236</v>
      </c>
      <c r="O57" s="128">
        <f>'Balance Sheet'!N22</f>
        <v>2997</v>
      </c>
      <c r="P57" s="6"/>
      <c r="Q57" s="6"/>
      <c r="R57" s="6"/>
      <c r="T57" s="34" t="s">
        <v>495</v>
      </c>
      <c r="U57" s="128">
        <f>'Balance Sheet'!Q53+'Balance Sheet'!Q54</f>
        <v>3629.83</v>
      </c>
      <c r="V57" s="128">
        <f>'Balance Sheet'!R53+'Balance Sheet'!R54</f>
        <v>4318.7299999999996</v>
      </c>
      <c r="W57" s="128">
        <f>'Balance Sheet'!S53+'Balance Sheet'!S54</f>
        <v>4417.26</v>
      </c>
      <c r="X57" s="128">
        <f>'Balance Sheet'!T53+'Balance Sheet'!T54</f>
        <v>4658.99</v>
      </c>
      <c r="Y57" s="128">
        <f>'Balance Sheet'!U53+'Balance Sheet'!U54</f>
        <v>4797.83</v>
      </c>
      <c r="Z57" s="128">
        <f>'Balance Sheet'!V53+'Balance Sheet'!V54</f>
        <v>4807.3</v>
      </c>
      <c r="AA57" s="204"/>
      <c r="AC57" s="160" t="s">
        <v>495</v>
      </c>
      <c r="AD57" s="200">
        <f>'Balance Sheet'!Y52+'Balance Sheet'!Y53</f>
        <v>596</v>
      </c>
      <c r="AE57" s="200">
        <f>'Balance Sheet'!Z52+'Balance Sheet'!Z53</f>
        <v>789</v>
      </c>
      <c r="AF57" s="200">
        <f>'Balance Sheet'!AA52+'Balance Sheet'!AA53</f>
        <v>1294</v>
      </c>
      <c r="AG57" s="200">
        <f>'Balance Sheet'!AB52+'Balance Sheet'!AB53</f>
        <v>1214</v>
      </c>
      <c r="AH57" s="200">
        <f>'Balance Sheet'!AC52+'Balance Sheet'!AC53</f>
        <v>1410</v>
      </c>
      <c r="AI57" s="200">
        <f>'Balance Sheet'!AD52+'Balance Sheet'!AD53</f>
        <v>1963</v>
      </c>
      <c r="AJ57" s="208"/>
      <c r="AL57" s="34" t="s">
        <v>133</v>
      </c>
      <c r="AM57" s="128">
        <f>'Income Statement'!AG13</f>
        <v>706.67</v>
      </c>
      <c r="AN57" s="128">
        <f>'Income Statement'!AH13</f>
        <v>585.20000000000005</v>
      </c>
      <c r="AO57" s="128">
        <f>'Income Statement'!AI13</f>
        <v>1043.6600000000001</v>
      </c>
      <c r="AP57" s="128">
        <f>'Income Statement'!AJ13</f>
        <v>1793.4</v>
      </c>
      <c r="AQ57" s="128">
        <f>'Income Statement'!AK13</f>
        <v>2457.4499999999998</v>
      </c>
      <c r="AR57" s="128">
        <f>'Income Statement'!AL13</f>
        <v>3378.57</v>
      </c>
      <c r="AS57" s="204"/>
      <c r="AU57" s="1" t="s">
        <v>495</v>
      </c>
      <c r="AV57" s="231">
        <f>'Balance Sheet'!AO47+'Balance Sheet'!AO48</f>
        <v>511.38499999999999</v>
      </c>
      <c r="AW57" s="231">
        <f>'Balance Sheet'!AP47+'Balance Sheet'!AP48</f>
        <v>711.75299999999993</v>
      </c>
      <c r="AX57" s="231">
        <f>'Balance Sheet'!AQ47+'Balance Sheet'!AQ48</f>
        <v>824.26099999999997</v>
      </c>
      <c r="AY57" s="231">
        <f>'Balance Sheet'!AR47+'Balance Sheet'!AR48</f>
        <v>758.24800000000005</v>
      </c>
      <c r="AZ57" s="231">
        <f>'Balance Sheet'!AS47+'Balance Sheet'!AS48</f>
        <v>1560.4270000000001</v>
      </c>
      <c r="BA57" s="231"/>
      <c r="BB57" s="233"/>
    </row>
    <row r="58" spans="1:54" x14ac:dyDescent="0.3">
      <c r="B58" s="129"/>
      <c r="C58" s="129"/>
      <c r="D58" s="129"/>
      <c r="E58" s="129"/>
      <c r="F58" s="129"/>
      <c r="G58" s="129"/>
      <c r="H58" s="129"/>
      <c r="J58" s="63" t="s">
        <v>567</v>
      </c>
      <c r="K58" s="96">
        <f>K57/K44</f>
        <v>4.4933811703575403E-2</v>
      </c>
      <c r="L58" s="96">
        <f t="shared" ref="L58:O58" si="61">L57/L44</f>
        <v>2.4221088578776508E-2</v>
      </c>
      <c r="M58" s="96">
        <f t="shared" si="61"/>
        <v>3.3356102003642987E-2</v>
      </c>
      <c r="N58" s="96">
        <f t="shared" si="61"/>
        <v>3.6600536895174493E-2</v>
      </c>
      <c r="O58" s="96">
        <f t="shared" si="61"/>
        <v>4.7793707241615767E-2</v>
      </c>
      <c r="P58" s="6"/>
      <c r="Q58" s="6"/>
      <c r="R58" s="167">
        <f>AVERAGE(K58:O58)</f>
        <v>3.738104928455703E-2</v>
      </c>
      <c r="T58" s="35" t="s">
        <v>567</v>
      </c>
      <c r="U58" s="97">
        <f>U57/U45</f>
        <v>0.20926674226757766</v>
      </c>
      <c r="V58" s="97">
        <f t="shared" ref="V58:Z58" si="62">V57/V45</f>
        <v>0.2145266309811916</v>
      </c>
      <c r="W58" s="97">
        <f t="shared" si="62"/>
        <v>0.16741513287628193</v>
      </c>
      <c r="X58" s="97">
        <f t="shared" si="62"/>
        <v>0.1606228691739609</v>
      </c>
      <c r="Y58" s="97">
        <f t="shared" si="62"/>
        <v>0.17782385993002431</v>
      </c>
      <c r="Z58" s="97">
        <f t="shared" si="62"/>
        <v>0.15032809318196599</v>
      </c>
      <c r="AA58" s="97">
        <f>AVERAGE(Table34[[#This Row],[2020]:[2025]])</f>
        <v>0.17999722140183372</v>
      </c>
      <c r="AC58" s="35" t="s">
        <v>567</v>
      </c>
      <c r="AD58" s="97">
        <f>AD57/AD45</f>
        <v>3.9326954800395907E-2</v>
      </c>
      <c r="AE58" s="97">
        <f t="shared" ref="AE58:AI58" si="63">AE57/AE45</f>
        <v>4.8068721822834164E-2</v>
      </c>
      <c r="AF58" s="97">
        <f t="shared" si="63"/>
        <v>5.9793909708423826E-2</v>
      </c>
      <c r="AG58" s="97">
        <f t="shared" si="63"/>
        <v>3.9993411299621147E-2</v>
      </c>
      <c r="AH58" s="97">
        <f t="shared" si="63"/>
        <v>3.5757760194765675E-2</v>
      </c>
      <c r="AI58" s="97">
        <f t="shared" si="63"/>
        <v>4.1364632501685775E-2</v>
      </c>
      <c r="AJ58" s="97">
        <f>AVERAGE(Table3442[[#This Row],[2020]:[2025]])</f>
        <v>4.4050898387954417E-2</v>
      </c>
      <c r="AL58" s="35" t="s">
        <v>567</v>
      </c>
      <c r="AM58" s="97">
        <f>AM57/AM40</f>
        <v>0.19438576222699014</v>
      </c>
      <c r="AN58" s="97">
        <f t="shared" ref="AN58:AR58" si="64">AN57/AN40</f>
        <v>0.20940684758960268</v>
      </c>
      <c r="AO58" s="97">
        <f t="shared" si="64"/>
        <v>0.22332733462722784</v>
      </c>
      <c r="AP58" s="97">
        <f t="shared" si="64"/>
        <v>0.21091528341961721</v>
      </c>
      <c r="AQ58" s="97">
        <f t="shared" si="64"/>
        <v>0.19404424061817471</v>
      </c>
      <c r="AR58" s="97">
        <f t="shared" si="64"/>
        <v>0.1946946869073489</v>
      </c>
      <c r="AS58" s="205">
        <f>AVERAGE(Table344246[[#This Row],[2020]:[2025]])</f>
        <v>0.20446235923149358</v>
      </c>
      <c r="AU58" s="23" t="s">
        <v>567</v>
      </c>
      <c r="AV58" s="85">
        <f>AV57/AV45</f>
        <v>0.18502049793464903</v>
      </c>
      <c r="AW58" s="85">
        <f t="shared" ref="AW58:AZ58" si="65">AW57/AW45</f>
        <v>0.17640966029355634</v>
      </c>
      <c r="AX58" s="85">
        <f t="shared" si="65"/>
        <v>0.13164677577111958</v>
      </c>
      <c r="AY58" s="85">
        <f t="shared" si="65"/>
        <v>0.10239830771241916</v>
      </c>
      <c r="AZ58" s="85">
        <f t="shared" si="65"/>
        <v>0.17523586357084173</v>
      </c>
      <c r="BA58" s="232"/>
      <c r="BB58" s="85">
        <f>AVERAGE(Table55[[#This Row],[2020]:[2024]])</f>
        <v>0.15414222105651718</v>
      </c>
    </row>
    <row r="59" spans="1:54" x14ac:dyDescent="0.3">
      <c r="B59" s="129"/>
      <c r="C59" s="129"/>
      <c r="D59" s="129"/>
      <c r="E59" s="129"/>
      <c r="F59" s="129"/>
      <c r="G59" s="129"/>
      <c r="H59" s="129"/>
      <c r="J59" s="1" t="s">
        <v>614</v>
      </c>
      <c r="K59" s="224">
        <f>(K13+K14+K15)-(K29+K32)</f>
        <v>3443</v>
      </c>
      <c r="L59" s="224"/>
      <c r="M59" s="224">
        <f t="shared" ref="M59:R59" si="66">(M13+M14+M15)-(M29+M32)</f>
        <v>198.32015351488189</v>
      </c>
      <c r="N59" s="224">
        <f t="shared" si="66"/>
        <v>232.36660830045366</v>
      </c>
      <c r="O59" s="224">
        <f t="shared" si="66"/>
        <v>270.30954879738783</v>
      </c>
      <c r="P59" s="224">
        <f t="shared" si="66"/>
        <v>312.53483202322241</v>
      </c>
      <c r="Q59" s="224">
        <f t="shared" si="66"/>
        <v>359.46376918371971</v>
      </c>
      <c r="R59" s="224">
        <f t="shared" si="66"/>
        <v>411.55623818952154</v>
      </c>
      <c r="T59" s="34" t="s">
        <v>35</v>
      </c>
      <c r="U59" s="128">
        <f>'Balance Sheet'!Q26</f>
        <v>2562.48</v>
      </c>
      <c r="V59" s="128">
        <f>'Balance Sheet'!R26</f>
        <v>2501.6999999999998</v>
      </c>
      <c r="W59" s="128">
        <f>'Balance Sheet'!S26</f>
        <v>2461.9</v>
      </c>
      <c r="X59" s="128">
        <f>'Balance Sheet'!T26</f>
        <v>2956.17</v>
      </c>
      <c r="Y59" s="128">
        <f>'Balance Sheet'!U26</f>
        <v>4025.82</v>
      </c>
      <c r="Z59" s="128">
        <f>'Balance Sheet'!V26</f>
        <v>4719.67</v>
      </c>
      <c r="AA59" s="204"/>
      <c r="AC59" s="34" t="s">
        <v>35</v>
      </c>
      <c r="AD59" s="128">
        <f>'Balance Sheet'!Y22</f>
        <v>312</v>
      </c>
      <c r="AE59" s="128">
        <f>'Balance Sheet'!Z22</f>
        <v>366</v>
      </c>
      <c r="AF59" s="128">
        <f>'Balance Sheet'!AA22</f>
        <v>565</v>
      </c>
      <c r="AG59" s="128">
        <f>'Balance Sheet'!AB22</f>
        <v>674</v>
      </c>
      <c r="AH59" s="128">
        <f>'Balance Sheet'!AC22</f>
        <v>1018</v>
      </c>
      <c r="AI59" s="128">
        <f>'Balance Sheet'!AD22</f>
        <v>1068</v>
      </c>
      <c r="AJ59" s="204"/>
      <c r="AL59" s="34" t="s">
        <v>581</v>
      </c>
      <c r="AM59" s="128">
        <f>'Balance Sheet'!AG18</f>
        <v>607.80999999999995</v>
      </c>
      <c r="AN59" s="128">
        <f>'Balance Sheet'!AH18</f>
        <v>428.39</v>
      </c>
      <c r="AO59" s="128">
        <f>'Balance Sheet'!AI18</f>
        <v>867.78</v>
      </c>
      <c r="AP59" s="128">
        <f>'Balance Sheet'!AJ18</f>
        <v>1361.16</v>
      </c>
      <c r="AQ59" s="128">
        <f>'Balance Sheet'!AK18</f>
        <v>1582.73</v>
      </c>
      <c r="AR59" s="128">
        <f>'Balance Sheet'!AL18</f>
        <v>2045.05</v>
      </c>
      <c r="AS59" s="204"/>
      <c r="AU59" s="1" t="s">
        <v>35</v>
      </c>
      <c r="AV59" s="231">
        <f>'Balance Sheet'!AO20</f>
        <v>241.797</v>
      </c>
      <c r="AW59" s="231">
        <f>'Balance Sheet'!AP20</f>
        <v>221.249</v>
      </c>
      <c r="AX59" s="231">
        <f>'Balance Sheet'!AQ20</f>
        <v>299.33800000000002</v>
      </c>
      <c r="AY59" s="231">
        <f>'Balance Sheet'!AR20</f>
        <v>359.38499999999999</v>
      </c>
      <c r="AZ59" s="231">
        <f>'Balance Sheet'!AS20</f>
        <v>845.84199999999998</v>
      </c>
      <c r="BA59" s="231"/>
      <c r="BB59" s="233"/>
    </row>
    <row r="60" spans="1:54" x14ac:dyDescent="0.3">
      <c r="B60" s="129"/>
      <c r="C60" s="129"/>
      <c r="D60" s="129"/>
      <c r="E60" s="129"/>
      <c r="F60" s="129"/>
      <c r="G60" s="129"/>
      <c r="H60" s="129"/>
      <c r="J60" s="1" t="s">
        <v>57</v>
      </c>
      <c r="M60" s="224">
        <f>SUM(M29:M32)</f>
        <v>13672.947708364352</v>
      </c>
      <c r="N60" s="224">
        <f t="shared" ref="N60:R60" si="67">SUM(N29:N32)</f>
        <v>14700.056752892706</v>
      </c>
      <c r="O60" s="224">
        <f t="shared" si="67"/>
        <v>15804.856586146827</v>
      </c>
      <c r="P60" s="224">
        <f t="shared" si="67"/>
        <v>16993.255364375251</v>
      </c>
      <c r="Q60" s="224">
        <f t="shared" si="67"/>
        <v>18271.61289237659</v>
      </c>
      <c r="R60" s="224">
        <f t="shared" si="67"/>
        <v>19646.775335889193</v>
      </c>
      <c r="T60" s="36" t="s">
        <v>567</v>
      </c>
      <c r="U60" s="100">
        <f>U59/U46</f>
        <v>4.7460927081666403E-2</v>
      </c>
      <c r="V60" s="100">
        <f t="shared" ref="V60:Z60" si="68">V59/V46</f>
        <v>4.4843234205114817E-2</v>
      </c>
      <c r="W60" s="100">
        <f t="shared" si="68"/>
        <v>3.6722134457098168E-2</v>
      </c>
      <c r="X60" s="100">
        <f t="shared" si="68"/>
        <v>3.7658840210092644E-2</v>
      </c>
      <c r="Y60" s="100">
        <f t="shared" si="68"/>
        <v>5.256693084057968E-2</v>
      </c>
      <c r="Z60" s="100">
        <f t="shared" si="68"/>
        <v>5.6091412576787916E-2</v>
      </c>
      <c r="AA60" s="212">
        <f>AVERAGE(Table34[[#This Row],[2020]:[2025]])</f>
        <v>4.5890579895223271E-2</v>
      </c>
      <c r="AC60" s="36" t="s">
        <v>567</v>
      </c>
      <c r="AD60" s="100">
        <f>AD59/AD46</f>
        <v>1.471351096439519E-2</v>
      </c>
      <c r="AE60" s="100">
        <f t="shared" ref="AE60:AI60" si="69">AE59/AE46</f>
        <v>1.6765918460833716E-2</v>
      </c>
      <c r="AF60" s="100">
        <f t="shared" si="69"/>
        <v>1.94606137843144E-2</v>
      </c>
      <c r="AG60" s="100">
        <f t="shared" si="69"/>
        <v>1.6486070004647409E-2</v>
      </c>
      <c r="AH60" s="100">
        <f t="shared" si="69"/>
        <v>1.9722184551601216E-2</v>
      </c>
      <c r="AI60" s="100">
        <f t="shared" si="69"/>
        <v>1.7524859702668111E-2</v>
      </c>
      <c r="AJ60" s="212">
        <f>AVERAGE(Table3442[[#This Row],[2020]:[2025]])</f>
        <v>1.744552624474334E-2</v>
      </c>
      <c r="AL60" s="35" t="s">
        <v>567</v>
      </c>
      <c r="AM60" s="97">
        <f>AM59/AM45</f>
        <v>0.32300252424604753</v>
      </c>
      <c r="AN60" s="97">
        <f t="shared" ref="AN60:AR60" si="70">AN59/AN45</f>
        <v>0.27926336375488919</v>
      </c>
      <c r="AO60" s="97">
        <f t="shared" si="70"/>
        <v>0.34969414154113976</v>
      </c>
      <c r="AP60" s="97">
        <f t="shared" si="70"/>
        <v>0.28839724222096985</v>
      </c>
      <c r="AQ60" s="97">
        <f t="shared" si="70"/>
        <v>0.22744000839214298</v>
      </c>
      <c r="AR60" s="97">
        <f t="shared" si="70"/>
        <v>0.21106620401810688</v>
      </c>
      <c r="AS60" s="205">
        <f>AVERAGE(Table344246[[#This Row],[2020]:[2025]])</f>
        <v>0.27981058069554937</v>
      </c>
      <c r="AU60" s="23" t="s">
        <v>567</v>
      </c>
      <c r="AV60" s="85">
        <f>AV59/AV40</f>
        <v>3.6676141706963393E-2</v>
      </c>
      <c r="AW60" s="85">
        <f t="shared" ref="AW60:AZ60" si="71">AW59/AW40</f>
        <v>2.4511822008247978E-2</v>
      </c>
      <c r="AX60" s="85">
        <f t="shared" si="71"/>
        <v>2.228974071602715E-2</v>
      </c>
      <c r="AY60" s="85">
        <f t="shared" si="71"/>
        <v>2.1913155649287561E-2</v>
      </c>
      <c r="AZ60" s="85">
        <f t="shared" si="71"/>
        <v>4.1055117520141633E-2</v>
      </c>
      <c r="BA60" s="232"/>
      <c r="BB60" s="85">
        <f>AVERAGE(Table55[[#This Row],[2020]:[2024]])</f>
        <v>2.9289195520133544E-2</v>
      </c>
    </row>
    <row r="61" spans="1:54" x14ac:dyDescent="0.3">
      <c r="T61" s="63" t="s">
        <v>580</v>
      </c>
      <c r="U61" s="127">
        <f>'Income Statement'!Q12</f>
        <v>4295.79</v>
      </c>
      <c r="V61" s="127">
        <f>'Income Statement'!R12</f>
        <v>4463.33</v>
      </c>
      <c r="W61" s="127">
        <f>'Income Statement'!S12</f>
        <v>4890.55</v>
      </c>
      <c r="X61" s="127">
        <f>'Income Statement'!T12</f>
        <v>5736.22</v>
      </c>
      <c r="Y61" s="127">
        <f>'Income Statement'!U12</f>
        <v>5548.53</v>
      </c>
      <c r="Z61" s="127">
        <f>'Income Statement'!V12</f>
        <v>6169.78</v>
      </c>
      <c r="AA61" s="6"/>
      <c r="AC61" s="63" t="s">
        <v>580</v>
      </c>
      <c r="AD61" s="128">
        <f>'Income Statement'!Y11</f>
        <v>1199</v>
      </c>
      <c r="AE61" s="128">
        <f>'Income Statement'!Z11</f>
        <v>1065</v>
      </c>
      <c r="AF61" s="128">
        <f>'Income Statement'!AA11</f>
        <v>1349</v>
      </c>
      <c r="AG61" s="128">
        <f>'Income Statement'!AB11</f>
        <v>1647</v>
      </c>
      <c r="AH61" s="128">
        <f>'Income Statement'!AC11</f>
        <v>1864</v>
      </c>
      <c r="AI61" s="128">
        <f>'Income Statement'!AD11</f>
        <v>2156</v>
      </c>
      <c r="AJ61" s="6"/>
      <c r="AL61" s="34" t="s">
        <v>582</v>
      </c>
      <c r="AM61" s="128">
        <f>'Balance Sheet'!AG42</f>
        <v>299.74</v>
      </c>
      <c r="AN61" s="128">
        <f>'Balance Sheet'!AH42</f>
        <v>0</v>
      </c>
      <c r="AO61" s="128">
        <f>'Balance Sheet'!AI42</f>
        <v>497.38</v>
      </c>
      <c r="AP61" s="128">
        <f>'Balance Sheet'!AJ42</f>
        <v>497.95</v>
      </c>
      <c r="AQ61" s="128">
        <f>'Balance Sheet'!AK42</f>
        <v>498.56</v>
      </c>
      <c r="AR61" s="128">
        <f>'Balance Sheet'!AL42</f>
        <v>499.2</v>
      </c>
      <c r="AS61" s="204"/>
      <c r="AU61" s="1" t="s">
        <v>580</v>
      </c>
      <c r="AV61" s="231">
        <f>'Income Statement'!AO12</f>
        <v>889.73599999999999</v>
      </c>
      <c r="AW61" s="231">
        <f>'Income Statement'!AP12</f>
        <v>1007.699</v>
      </c>
      <c r="AX61" s="231">
        <f>'Income Statement'!AQ12</f>
        <v>1216.6420000000001</v>
      </c>
      <c r="AY61" s="231">
        <f>'Income Statement'!AR12</f>
        <v>1446.587</v>
      </c>
      <c r="AZ61" s="231">
        <f>'Income Statement'!AS12</f>
        <v>1885.0260000000001</v>
      </c>
      <c r="BA61" s="231"/>
      <c r="BB61" s="233"/>
    </row>
    <row r="62" spans="1:54" x14ac:dyDescent="0.3">
      <c r="T62" s="77" t="s">
        <v>567</v>
      </c>
      <c r="U62" s="97">
        <f>U61/U46</f>
        <v>7.9564396970181889E-2</v>
      </c>
      <c r="V62" s="97">
        <f t="shared" ref="V62:Z62" si="72">V61/V46</f>
        <v>8.0005657163015206E-2</v>
      </c>
      <c r="W62" s="97">
        <f t="shared" si="72"/>
        <v>7.2948306051895465E-2</v>
      </c>
      <c r="X62" s="97">
        <f t="shared" si="72"/>
        <v>7.3074076385978362E-2</v>
      </c>
      <c r="Y62" s="97">
        <f t="shared" si="72"/>
        <v>7.2449635795162615E-2</v>
      </c>
      <c r="Z62" s="97">
        <f t="shared" si="72"/>
        <v>7.332539679427047E-2</v>
      </c>
      <c r="AA62" s="97">
        <f>AVERAGE(Table34[[#This Row],[2020]:[2025]])</f>
        <v>7.5227911526750665E-2</v>
      </c>
      <c r="AC62" s="77" t="s">
        <v>567</v>
      </c>
      <c r="AD62" s="97">
        <f>AD61/AD46</f>
        <v>5.6543268097146902E-2</v>
      </c>
      <c r="AE62" s="97">
        <f t="shared" ref="AE62:AI62" si="73">AE61/AE46</f>
        <v>4.8786074209803021E-2</v>
      </c>
      <c r="AF62" s="97">
        <f t="shared" si="73"/>
        <v>4.6464368132814383E-2</v>
      </c>
      <c r="AG62" s="97">
        <f t="shared" si="73"/>
        <v>4.0285693319961839E-2</v>
      </c>
      <c r="AH62" s="97">
        <f t="shared" si="73"/>
        <v>3.6112133599395545E-2</v>
      </c>
      <c r="AI62" s="97">
        <f t="shared" si="73"/>
        <v>3.5377900298644613E-2</v>
      </c>
      <c r="AJ62" s="97">
        <f>AVERAGE(Table3442[[#This Row],[2020]:[2025]])</f>
        <v>4.3928239609627717E-2</v>
      </c>
      <c r="AL62" s="35" t="s">
        <v>567</v>
      </c>
      <c r="AM62" s="97">
        <f>AM61/AM46</f>
        <v>8.2450349342575779E-2</v>
      </c>
      <c r="AN62" s="97">
        <f t="shared" ref="AN62:AR62" si="74">AN61/AN46</f>
        <v>0</v>
      </c>
      <c r="AO62" s="97">
        <f t="shared" si="74"/>
        <v>0.10643173993148207</v>
      </c>
      <c r="AP62" s="97">
        <f t="shared" si="74"/>
        <v>5.8562097345153552E-2</v>
      </c>
      <c r="AQ62" s="97">
        <f t="shared" si="74"/>
        <v>3.9367106798753666E-2</v>
      </c>
      <c r="AR62" s="97">
        <f t="shared" si="74"/>
        <v>2.8767078291747267E-2</v>
      </c>
      <c r="AS62" s="205">
        <f>AVERAGE(Table344246[[#This Row],[2020]:[2025]])</f>
        <v>5.2596395284952059E-2</v>
      </c>
      <c r="AU62" s="23" t="s">
        <v>567</v>
      </c>
      <c r="AV62" s="85">
        <f>AV61/AV40</f>
        <v>0.13495652807018607</v>
      </c>
      <c r="AW62" s="85">
        <f t="shared" ref="AW62:AZ62" si="75">AW61/AW40</f>
        <v>0.11164135668811827</v>
      </c>
      <c r="AX62" s="85">
        <f t="shared" si="75"/>
        <v>9.0595362848113842E-2</v>
      </c>
      <c r="AY62" s="85">
        <f t="shared" si="75"/>
        <v>8.8204254744176716E-2</v>
      </c>
      <c r="AZ62" s="85">
        <f t="shared" si="75"/>
        <v>9.1494586410372752E-2</v>
      </c>
      <c r="BA62" s="232"/>
      <c r="BB62" s="85">
        <f>AVERAGE(Table55[[#This Row],[2020]:[2024]])</f>
        <v>0.10337841775219354</v>
      </c>
    </row>
    <row r="63" spans="1:54" x14ac:dyDescent="0.3">
      <c r="T63" s="63" t="s">
        <v>133</v>
      </c>
      <c r="U63" s="127">
        <f>'Income Statement'!Q15+'Income Statement'!Q11</f>
        <v>10492.05</v>
      </c>
      <c r="V63" s="127">
        <f>'Income Statement'!R15+'Income Statement'!R11</f>
        <v>11557.650000000001</v>
      </c>
      <c r="W63" s="127">
        <f>'Income Statement'!S15+'Income Statement'!S11</f>
        <v>13270.93</v>
      </c>
      <c r="X63" s="127">
        <f>'Income Statement'!T15+'Income Statement'!T11</f>
        <v>16111.29</v>
      </c>
      <c r="Y63" s="127">
        <f>'Income Statement'!U15+'Income Statement'!U11</f>
        <v>16112.31</v>
      </c>
      <c r="Z63" s="127">
        <f>'Income Statement'!V15+'Income Statement'!V11</f>
        <v>17486.07</v>
      </c>
      <c r="AA63" s="6"/>
      <c r="AC63" s="63" t="s">
        <v>133</v>
      </c>
      <c r="AD63" s="128">
        <f>'Income Statement'!Y14</f>
        <v>2231</v>
      </c>
      <c r="AE63" s="128">
        <f>'Income Statement'!Z14</f>
        <v>2441</v>
      </c>
      <c r="AF63" s="128">
        <f>'Income Statement'!AA14</f>
        <v>2468</v>
      </c>
      <c r="AG63" s="128">
        <f>'Income Statement'!AB14</f>
        <v>3694</v>
      </c>
      <c r="AH63" s="128">
        <f>'Income Statement'!AC14</f>
        <v>4496</v>
      </c>
      <c r="AI63" s="128">
        <f>'Income Statement'!AD14</f>
        <v>5150</v>
      </c>
      <c r="AJ63" s="6"/>
      <c r="AL63" s="34" t="s">
        <v>39</v>
      </c>
      <c r="AM63" s="128">
        <f>'Balance Sheet'!AG23+'Balance Sheet'!AG24+'Balance Sheet'!AG25+'Balance Sheet'!AG27+'Balance Sheet'!AG28+'Balance Sheet'!AG29+'Balance Sheet'!AG30</f>
        <v>243.66</v>
      </c>
      <c r="AN63" s="128">
        <f>'Balance Sheet'!AH23+'Balance Sheet'!AH24+'Balance Sheet'!AH25+'Balance Sheet'!AH27+'Balance Sheet'!AH28+'Balance Sheet'!AH29+'Balance Sheet'!AH30</f>
        <v>207.9</v>
      </c>
      <c r="AO63" s="128">
        <f>'Balance Sheet'!AI23+'Balance Sheet'!AI24+'Balance Sheet'!AI25+'Balance Sheet'!AI27+'Balance Sheet'!AI28+'Balance Sheet'!AI29+'Balance Sheet'!AI30</f>
        <v>288.69999999999993</v>
      </c>
      <c r="AP63" s="128">
        <f>'Balance Sheet'!AJ23+'Balance Sheet'!AJ24+'Balance Sheet'!AJ25+'Balance Sheet'!AJ27+'Balance Sheet'!AJ28+'Balance Sheet'!AJ29+'Balance Sheet'!AJ30</f>
        <v>353.26</v>
      </c>
      <c r="AQ63" s="128">
        <f>'Balance Sheet'!AK23+'Balance Sheet'!AK24+'Balance Sheet'!AK25+'Balance Sheet'!AK27+'Balance Sheet'!AK28+'Balance Sheet'!AK29+'Balance Sheet'!AK30</f>
        <v>431.06</v>
      </c>
      <c r="AR63" s="128">
        <f>'Balance Sheet'!AL23+'Balance Sheet'!AL24+'Balance Sheet'!AL25+'Balance Sheet'!AL27+'Balance Sheet'!AL28+'Balance Sheet'!AL29+'Balance Sheet'!AL30</f>
        <v>592.29000000000008</v>
      </c>
      <c r="AS63" s="204"/>
      <c r="AU63" s="1" t="s">
        <v>133</v>
      </c>
      <c r="AV63" s="231">
        <f>'Income Statement'!AO15</f>
        <v>1594.6010000000001</v>
      </c>
      <c r="AW63" s="231">
        <f>'Income Statement'!AP15</f>
        <v>2126.2260000000001</v>
      </c>
      <c r="AX63" s="231">
        <f>'Income Statement'!AQ15</f>
        <v>2907.239</v>
      </c>
      <c r="AY63" s="231">
        <f>'Income Statement'!AR15</f>
        <v>3581.6210000000001</v>
      </c>
      <c r="AZ63" s="231">
        <f>'Income Statement'!AS15</f>
        <v>4506.8289999999997</v>
      </c>
      <c r="BA63" s="231"/>
      <c r="BB63" s="233"/>
    </row>
    <row r="64" spans="1:54" x14ac:dyDescent="0.3">
      <c r="T64" s="77" t="s">
        <v>567</v>
      </c>
      <c r="U64" s="97">
        <f>U63/U46</f>
        <v>0.19432831475258261</v>
      </c>
      <c r="V64" s="97">
        <f t="shared" ref="V64:Z64" si="76">V63/V46</f>
        <v>0.20717208530628986</v>
      </c>
      <c r="W64" s="97">
        <f t="shared" si="76"/>
        <v>0.19795153167502247</v>
      </c>
      <c r="X64" s="97">
        <f t="shared" si="76"/>
        <v>0.20524276198204555</v>
      </c>
      <c r="Y64" s="97">
        <f t="shared" si="76"/>
        <v>0.21038563210773961</v>
      </c>
      <c r="Z64" s="97">
        <f t="shared" si="76"/>
        <v>0.20781503086372435</v>
      </c>
      <c r="AA64" s="97">
        <f>AVERAGE(Table34[[#This Row],[2020]:[2025]])</f>
        <v>0.20381589278123405</v>
      </c>
      <c r="AC64" s="77" t="s">
        <v>567</v>
      </c>
      <c r="AD64" s="97">
        <f>AD63/AD46</f>
        <v>0.1052110351332233</v>
      </c>
      <c r="AE64" s="97">
        <f t="shared" ref="AE64:AI64" si="77">AE63/AE46</f>
        <v>0.11181859825927623</v>
      </c>
      <c r="AF64" s="97">
        <f t="shared" si="77"/>
        <v>8.5006716495022908E-2</v>
      </c>
      <c r="AG64" s="97">
        <f t="shared" si="77"/>
        <v>9.0355404446836096E-2</v>
      </c>
      <c r="AH64" s="97">
        <f t="shared" si="77"/>
        <v>8.7103086192533472E-2</v>
      </c>
      <c r="AI64" s="97">
        <f t="shared" si="77"/>
        <v>8.4506580026910832E-2</v>
      </c>
      <c r="AJ64" s="97">
        <f>AVERAGE(Table3442[[#This Row],[2020]:[2025]])</f>
        <v>9.400023675896714E-2</v>
      </c>
      <c r="AL64" s="35" t="s">
        <v>567</v>
      </c>
      <c r="AM64" s="97">
        <f>AM63/AM46</f>
        <v>6.7024261429278753E-2</v>
      </c>
      <c r="AN64" s="97">
        <f t="shared" ref="AN64:AR64" si="78">AN63/AN46</f>
        <v>7.4394537959464102E-2</v>
      </c>
      <c r="AO64" s="97">
        <f t="shared" si="78"/>
        <v>6.1777400213556773E-2</v>
      </c>
      <c r="AP64" s="97">
        <f t="shared" si="78"/>
        <v>4.1545630099706687E-2</v>
      </c>
      <c r="AQ64" s="97">
        <f t="shared" si="78"/>
        <v>3.4037197241396734E-2</v>
      </c>
      <c r="AR64" s="97">
        <f t="shared" si="78"/>
        <v>3.4131516028483556E-2</v>
      </c>
      <c r="AS64" s="205">
        <f>AVERAGE(Table344246[[#This Row],[2020]:[2025]])</f>
        <v>5.2151757161981109E-2</v>
      </c>
      <c r="AU64" s="23" t="s">
        <v>567</v>
      </c>
      <c r="AV64" s="85">
        <f>AV63/AV46</f>
        <v>0.24187153786881369</v>
      </c>
      <c r="AW64" s="85">
        <f t="shared" ref="AW64:AZ64" si="79">AW63/AW46</f>
        <v>0.23556116981911362</v>
      </c>
      <c r="AX64" s="85">
        <f t="shared" si="79"/>
        <v>0.21648305096420115</v>
      </c>
      <c r="AY64" s="85">
        <f t="shared" si="79"/>
        <v>0.21838590494805563</v>
      </c>
      <c r="AZ64" s="85">
        <f t="shared" si="79"/>
        <v>0.21875053998049562</v>
      </c>
      <c r="BA64" s="232"/>
      <c r="BB64" s="85">
        <f>AVERAGE(Table55[[#This Row],[2020]:[2024]])</f>
        <v>0.22621044071613597</v>
      </c>
    </row>
    <row r="65" spans="20:54" x14ac:dyDescent="0.3">
      <c r="T65" s="106" t="s">
        <v>581</v>
      </c>
      <c r="U65" s="127">
        <f>'Balance Sheet'!Q22</f>
        <v>8879.33</v>
      </c>
      <c r="V65" s="127">
        <f>'Balance Sheet'!R22</f>
        <v>10397.16</v>
      </c>
      <c r="W65" s="127">
        <f>'Balance Sheet'!S22</f>
        <v>10864.15</v>
      </c>
      <c r="X65" s="127">
        <f>'Balance Sheet'!T22</f>
        <v>11771.16</v>
      </c>
      <c r="Y65" s="127">
        <f>'Balance Sheet'!U22</f>
        <v>14152.88</v>
      </c>
      <c r="Z65" s="127">
        <f>'Balance Sheet'!V22</f>
        <v>15637.56</v>
      </c>
      <c r="AA65" s="6"/>
      <c r="AC65" s="106" t="s">
        <v>581</v>
      </c>
      <c r="AD65" s="128">
        <f>'Balance Sheet'!Y20</f>
        <v>8103</v>
      </c>
      <c r="AE65" s="128">
        <f>'Balance Sheet'!Z20</f>
        <v>8408</v>
      </c>
      <c r="AF65" s="128">
        <f>'Balance Sheet'!AA20</f>
        <v>13609</v>
      </c>
      <c r="AG65" s="128">
        <f>'Balance Sheet'!AB20</f>
        <v>16584</v>
      </c>
      <c r="AH65" s="128">
        <f>'Balance Sheet'!AC20</f>
        <v>19051</v>
      </c>
      <c r="AI65" s="128">
        <f>'Balance Sheet'!AD20</f>
        <v>28184</v>
      </c>
      <c r="AJ65" s="6"/>
      <c r="AL65" s="34" t="s">
        <v>65</v>
      </c>
      <c r="AM65" s="223">
        <f>'Balance Sheet'!AG54+'Balance Sheet'!AG55+'Balance Sheet'!AG56+'Balance Sheet'!AG57</f>
        <v>189.61999999999998</v>
      </c>
      <c r="AN65" s="223">
        <f>'Balance Sheet'!AH54+'Balance Sheet'!AH55+'Balance Sheet'!AH56+'Balance Sheet'!AH57</f>
        <v>476.87</v>
      </c>
      <c r="AO65" s="223">
        <f>'Balance Sheet'!AI54+'Balance Sheet'!AI55+'Balance Sheet'!AI56+'Balance Sheet'!AI57</f>
        <v>173.45000000000002</v>
      </c>
      <c r="AP65" s="223">
        <f>'Balance Sheet'!AJ54+'Balance Sheet'!AJ55+'Balance Sheet'!AJ56+'Balance Sheet'!AJ57</f>
        <v>212.79</v>
      </c>
      <c r="AQ65" s="223">
        <f>'Balance Sheet'!AK54+'Balance Sheet'!AK55+'Balance Sheet'!AK56+'Balance Sheet'!AK57</f>
        <v>358.33</v>
      </c>
      <c r="AR65" s="223">
        <f>'Balance Sheet'!AL54+'Balance Sheet'!AL55+'Balance Sheet'!AL56+'Balance Sheet'!AL57</f>
        <v>446.31</v>
      </c>
      <c r="AS65" s="205">
        <f>AVERAGE(Table344246[[#This Row],[2020]:[2025]])/AVERAGE($AM$46:$AR$46)</f>
        <v>3.7429106426609224E-2</v>
      </c>
      <c r="AU65" s="1" t="s">
        <v>581</v>
      </c>
      <c r="AV65" s="231">
        <f>'Balance Sheet'!AO19</f>
        <v>928.80399999999997</v>
      </c>
      <c r="AW65" s="231">
        <f>'Balance Sheet'!AP19</f>
        <v>1448.087</v>
      </c>
      <c r="AX65" s="231">
        <f>'Balance Sheet'!AQ19</f>
        <v>1993.885</v>
      </c>
      <c r="AY65" s="231">
        <f>'Balance Sheet'!AR19</f>
        <v>2150.5329999999999</v>
      </c>
      <c r="AZ65" s="231">
        <f>'Balance Sheet'!AS19</f>
        <v>2791.2339999999999</v>
      </c>
      <c r="BA65" s="231"/>
      <c r="BB65" s="233"/>
    </row>
    <row r="66" spans="20:54" x14ac:dyDescent="0.3">
      <c r="T66" s="77" t="s">
        <v>567</v>
      </c>
      <c r="U66" s="97">
        <f>U65/U45</f>
        <v>0.51191060259537513</v>
      </c>
      <c r="V66" s="97">
        <f t="shared" ref="V66:Z66" si="80">V65/V45</f>
        <v>0.51646379990701119</v>
      </c>
      <c r="W66" s="97">
        <f t="shared" si="80"/>
        <v>0.4117536925238402</v>
      </c>
      <c r="X66" s="97">
        <f t="shared" si="80"/>
        <v>0.40582132451577735</v>
      </c>
      <c r="Y66" s="97">
        <f t="shared" si="80"/>
        <v>0.5245537567455375</v>
      </c>
      <c r="Z66" s="97">
        <f t="shared" si="80"/>
        <v>0.4889989342913037</v>
      </c>
      <c r="AA66" s="97">
        <f>AVERAGE(Table34[[#This Row],[2020]:[2025]])</f>
        <v>0.47658368509647414</v>
      </c>
      <c r="AC66" s="77" t="s">
        <v>567</v>
      </c>
      <c r="AD66" s="97">
        <f>AD65/AD45</f>
        <v>0.53467502474430884</v>
      </c>
      <c r="AE66" s="97">
        <f t="shared" ref="AE66:AI66" si="81">AE65/AE45</f>
        <v>0.51224564396247108</v>
      </c>
      <c r="AF66" s="97">
        <f t="shared" si="81"/>
        <v>0.6288526408206645</v>
      </c>
      <c r="AG66" s="97">
        <f t="shared" si="81"/>
        <v>0.54633503541426454</v>
      </c>
      <c r="AH66" s="97">
        <f t="shared" si="81"/>
        <v>0.48313552444714952</v>
      </c>
      <c r="AI66" s="97">
        <f t="shared" si="81"/>
        <v>0.5938975050573162</v>
      </c>
      <c r="AJ66" s="97">
        <f>AVERAGE(Table3442[[#This Row],[2020]:[2025]])</f>
        <v>0.54985689574102914</v>
      </c>
      <c r="AL66" s="34" t="s">
        <v>94</v>
      </c>
      <c r="AM66" s="128">
        <f>'Balance Sheet'!AG44+'Balance Sheet'!AG45+'Balance Sheet'!AG47</f>
        <v>25.11</v>
      </c>
      <c r="AN66" s="128">
        <f>'Balance Sheet'!AH44+'Balance Sheet'!AH45+'Balance Sheet'!AH47</f>
        <v>22.64</v>
      </c>
      <c r="AO66" s="128">
        <f>'Balance Sheet'!AI44+'Balance Sheet'!AI45+'Balance Sheet'!AI47</f>
        <v>39.24</v>
      </c>
      <c r="AP66" s="128">
        <f>'Balance Sheet'!AJ44+'Balance Sheet'!AJ45+'Balance Sheet'!AJ47</f>
        <v>76.41</v>
      </c>
      <c r="AQ66" s="128">
        <f>'Balance Sheet'!AK44+'Balance Sheet'!AK45+'Balance Sheet'!AK47</f>
        <v>173.93</v>
      </c>
      <c r="AR66" s="128">
        <f>'Balance Sheet'!AL44+'Balance Sheet'!AL45+'Balance Sheet'!AL47</f>
        <v>224.59</v>
      </c>
      <c r="AS66" s="205">
        <f>AVERAGE(Table344246[[#This Row],[2020]:[2025]])/AVERAGE($AM$46:$AR$46)</f>
        <v>1.1323626139778428E-2</v>
      </c>
      <c r="AU66" s="23" t="s">
        <v>567</v>
      </c>
      <c r="AV66" s="85">
        <f>AV65/AV45</f>
        <v>0.33604383891528644</v>
      </c>
      <c r="AW66" s="85">
        <f t="shared" ref="AW66:AZ66" si="82">AW65/AW45</f>
        <v>0.35891177943122848</v>
      </c>
      <c r="AX66" s="85">
        <f t="shared" si="82"/>
        <v>0.31845317382285315</v>
      </c>
      <c r="AY66" s="85">
        <f t="shared" si="82"/>
        <v>0.29042073289967385</v>
      </c>
      <c r="AZ66" s="85">
        <f t="shared" si="82"/>
        <v>0.31345541984232189</v>
      </c>
      <c r="BA66" s="232"/>
      <c r="BB66" s="85">
        <f>AVERAGE(Table55[[#This Row],[2020]:[2024]])</f>
        <v>0.32345698898227276</v>
      </c>
    </row>
    <row r="67" spans="20:54" x14ac:dyDescent="0.3">
      <c r="T67" s="106" t="s">
        <v>614</v>
      </c>
      <c r="U67" s="127">
        <f>(U12+U14+U15)-(U29+U32)</f>
        <v>12600.419999999998</v>
      </c>
      <c r="V67" s="127"/>
      <c r="W67" s="127">
        <f t="shared" ref="W67:AA67" si="83">(W12+W14+W15)-(W29+W32)</f>
        <v>9815.4655439860871</v>
      </c>
      <c r="X67" s="127">
        <f t="shared" si="83"/>
        <v>9704.3235860362583</v>
      </c>
      <c r="Y67" s="127">
        <f t="shared" si="83"/>
        <v>9635.3099735798751</v>
      </c>
      <c r="Z67" s="127">
        <f t="shared" si="83"/>
        <v>9608.546330870653</v>
      </c>
      <c r="AA67" s="127">
        <f t="shared" si="83"/>
        <v>9624.350147040117</v>
      </c>
      <c r="AC67" s="63" t="s">
        <v>582</v>
      </c>
      <c r="AD67" s="128">
        <f>'Balance Sheet'!Y49</f>
        <v>706</v>
      </c>
      <c r="AE67" s="128">
        <f>'Balance Sheet'!Z49</f>
        <v>156</v>
      </c>
      <c r="AF67" s="128">
        <f>'Balance Sheet'!AA49</f>
        <v>516</v>
      </c>
      <c r="AG67" s="128">
        <f>'Balance Sheet'!AB49</f>
        <v>2195</v>
      </c>
      <c r="AH67" s="128">
        <f>'Balance Sheet'!AC49</f>
        <v>4536</v>
      </c>
      <c r="AI67" s="128">
        <f>'Balance Sheet'!AD49</f>
        <v>9691</v>
      </c>
      <c r="AJ67" s="6"/>
      <c r="AL67" s="106" t="s">
        <v>25</v>
      </c>
      <c r="AM67" s="223">
        <f>'Balance Sheet'!AG6+'Balance Sheet'!AG7+'Balance Sheet'!AG12+'Balance Sheet'!AG13+'Balance Sheet'!AG15</f>
        <v>247.24</v>
      </c>
      <c r="AN67" s="223">
        <f>'Balance Sheet'!AH6+'Balance Sheet'!AH7+'Balance Sheet'!AH12+'Balance Sheet'!AH13+'Balance Sheet'!AH15</f>
        <v>363.52</v>
      </c>
      <c r="AO67" s="223">
        <f>'Balance Sheet'!AI6+'Balance Sheet'!AI7+'Balance Sheet'!AI12+'Balance Sheet'!AI13+'Balance Sheet'!AI15</f>
        <v>399.95</v>
      </c>
      <c r="AP67" s="223">
        <f>'Balance Sheet'!AJ6+'Balance Sheet'!AJ7+'Balance Sheet'!AJ12+'Balance Sheet'!AJ13+'Balance Sheet'!AJ15</f>
        <v>483.75</v>
      </c>
      <c r="AQ67" s="223">
        <f>'Balance Sheet'!AK6+'Balance Sheet'!AK7+'Balance Sheet'!AK12+'Balance Sheet'!AK13+'Balance Sheet'!AK15</f>
        <v>878.19999999999993</v>
      </c>
      <c r="AR67" s="223">
        <f>'Balance Sheet'!AL6+'Balance Sheet'!AL7+'Balance Sheet'!AL12+'Balance Sheet'!AL13+'Balance Sheet'!AL15</f>
        <v>988.8900000000001</v>
      </c>
      <c r="AS67" s="213">
        <f>AVERAGE(Table344246[[#This Row],[2020]:[2025]])/AVERAGE($AM$46:$AR$46)</f>
        <v>6.7740844693501154E-2</v>
      </c>
      <c r="AU67" s="1" t="s">
        <v>582</v>
      </c>
      <c r="AV67" s="231">
        <f>'Balance Sheet'!AO38</f>
        <v>1979.6220000000001</v>
      </c>
      <c r="AW67" s="231">
        <f>'Balance Sheet'!AP38</f>
        <v>1813.327</v>
      </c>
      <c r="AX67" s="231">
        <f>'Balance Sheet'!AQ38</f>
        <v>1727.0219999999999</v>
      </c>
      <c r="AY67" s="231">
        <f>'Balance Sheet'!AR38</f>
        <v>3188.9380000000001</v>
      </c>
      <c r="AZ67" s="231">
        <f>'Balance Sheet'!AS38</f>
        <v>840.68899999999996</v>
      </c>
      <c r="BA67" s="231"/>
      <c r="BB67" s="233"/>
    </row>
    <row r="68" spans="20:54" x14ac:dyDescent="0.3">
      <c r="T68" s="106" t="s">
        <v>57</v>
      </c>
      <c r="U68" s="63"/>
      <c r="V68" s="63"/>
      <c r="W68" s="127">
        <f>SUM(W29:W32)</f>
        <v>16163.839623123768</v>
      </c>
      <c r="X68" s="127">
        <f t="shared" ref="X68:AA68" si="84">SUM(X29:X32)</f>
        <v>17456.010071010045</v>
      </c>
      <c r="Y68" s="127">
        <f t="shared" si="84"/>
        <v>18852.838293224784</v>
      </c>
      <c r="Z68" s="127">
        <f t="shared" si="84"/>
        <v>20362.796034126153</v>
      </c>
      <c r="AA68" s="127">
        <f t="shared" si="84"/>
        <v>21995.040864457667</v>
      </c>
      <c r="AC68" s="63" t="s">
        <v>584</v>
      </c>
      <c r="AD68" s="97">
        <f t="shared" ref="AD68:AI68" si="85">AD67/(AD67+AD70)</f>
        <v>0.97648686030428766</v>
      </c>
      <c r="AE68" s="97">
        <f t="shared" si="85"/>
        <v>0.94545454545454544</v>
      </c>
      <c r="AF68" s="97">
        <f t="shared" si="85"/>
        <v>0.99613899613899615</v>
      </c>
      <c r="AG68" s="97">
        <f t="shared" si="85"/>
        <v>1</v>
      </c>
      <c r="AH68" s="97">
        <f t="shared" si="85"/>
        <v>0.57871906098494519</v>
      </c>
      <c r="AI68" s="97">
        <f t="shared" si="85"/>
        <v>0.94215438460042777</v>
      </c>
      <c r="AJ68" s="97">
        <f>AVERAGE(Table3442[[#This Row],[2020]:[2025]])</f>
        <v>0.90649230791386703</v>
      </c>
      <c r="AL68" s="63" t="s">
        <v>585</v>
      </c>
      <c r="AM68" s="128">
        <f>'Balance Sheet'!AG11</f>
        <v>735.91</v>
      </c>
      <c r="AN68" s="128">
        <f>'Balance Sheet'!AH11</f>
        <v>816.63</v>
      </c>
      <c r="AO68" s="128">
        <f>'Balance Sheet'!AI11</f>
        <v>757.39</v>
      </c>
      <c r="AP68" s="128">
        <f>'Balance Sheet'!AJ11</f>
        <v>564.13</v>
      </c>
      <c r="AQ68" s="128">
        <f>'Balance Sheet'!AK11</f>
        <v>696.26</v>
      </c>
      <c r="AR68" s="128">
        <f>'Balance Sheet'!AL11</f>
        <v>845.56</v>
      </c>
      <c r="AS68" s="97">
        <f>AVERAGE(Table344246[[#This Row],[2020]:[2025]])/AVERAGE($AM$40:$AR$40)</f>
        <v>8.8987354424339318E-2</v>
      </c>
      <c r="AU68" s="1" t="s">
        <v>584</v>
      </c>
      <c r="AV68" s="233">
        <f>AV67/(AV67+AV70)</f>
        <v>0.73496814529901844</v>
      </c>
      <c r="AW68" s="233">
        <f t="shared" ref="AW68:AZ68" si="86">AW67/(AW67+AW70)</f>
        <v>0.54260442054582803</v>
      </c>
      <c r="AX68" s="233">
        <f t="shared" si="86"/>
        <v>0.46741809867457396</v>
      </c>
      <c r="AY68" s="233">
        <f t="shared" si="86"/>
        <v>0.61391998709376094</v>
      </c>
      <c r="AZ68" s="233">
        <f t="shared" si="86"/>
        <v>0.3555815443700262</v>
      </c>
      <c r="BA68" s="231"/>
      <c r="BB68" s="85">
        <f>AVERAGE(Table55[[#This Row],[2020]:[2024]])</f>
        <v>0.5428984391966416</v>
      </c>
    </row>
    <row r="69" spans="20:54" x14ac:dyDescent="0.3">
      <c r="AC69" s="35" t="s">
        <v>567</v>
      </c>
      <c r="AD69" s="97">
        <f>(AD67+AD70)/AD46</f>
        <v>3.4095732138646542E-2</v>
      </c>
      <c r="AE69" s="97">
        <f t="shared" ref="AE69:AI69" si="87">(AE67+AE70)/AE46</f>
        <v>7.5584058634906096E-3</v>
      </c>
      <c r="AF69" s="97">
        <f t="shared" si="87"/>
        <v>1.7841766265973204E-2</v>
      </c>
      <c r="AG69" s="97">
        <f t="shared" si="87"/>
        <v>5.3689797715431843E-2</v>
      </c>
      <c r="AH69" s="97">
        <f t="shared" si="87"/>
        <v>0.1518491969699905</v>
      </c>
      <c r="AI69" s="97">
        <f t="shared" si="87"/>
        <v>0.1687834334285058</v>
      </c>
      <c r="AJ69" s="97">
        <f>AVERAGE(Table3442[[#This Row],[2020]:[2025]])</f>
        <v>7.2303055397006419E-2</v>
      </c>
      <c r="AL69" s="63" t="s">
        <v>586</v>
      </c>
      <c r="AM69" s="128">
        <f>'Balance Sheet'!AG19</f>
        <v>778.87</v>
      </c>
      <c r="AN69" s="128">
        <f>'Balance Sheet'!AH19</f>
        <v>670.66</v>
      </c>
      <c r="AO69" s="128">
        <f>'Balance Sheet'!AI19</f>
        <v>526.33000000000004</v>
      </c>
      <c r="AP69" s="128">
        <f>'Balance Sheet'!AJ19</f>
        <v>545.74</v>
      </c>
      <c r="AQ69" s="128">
        <f>'Balance Sheet'!AK19</f>
        <v>719.77</v>
      </c>
      <c r="AR69" s="128">
        <f>'Balance Sheet'!AL19</f>
        <v>634.69000000000005</v>
      </c>
      <c r="AS69" s="97">
        <f>AVERAGE(Table344246[[#This Row],[2020]:[2025]])/AVERAGE($AM$40:$AR$40)</f>
        <v>7.8109080181074847E-2</v>
      </c>
      <c r="AU69" s="23" t="s">
        <v>567</v>
      </c>
      <c r="AV69" s="85">
        <f>AV67/AV40</f>
        <v>0.3002721166855763</v>
      </c>
      <c r="AW69" s="85">
        <f t="shared" ref="AW69:AZ69" si="88">AW67/AW40</f>
        <v>0.20089559124222159</v>
      </c>
      <c r="AX69" s="85">
        <f t="shared" si="88"/>
        <v>0.12860001934560475</v>
      </c>
      <c r="AY69" s="85">
        <f t="shared" si="88"/>
        <v>0.19444243568854511</v>
      </c>
      <c r="AZ69" s="85">
        <f t="shared" si="88"/>
        <v>4.0805003408308345E-2</v>
      </c>
      <c r="BA69" s="232"/>
      <c r="BB69" s="85">
        <f>AVERAGE(Table55[[#This Row],[2020]:[2024]])</f>
        <v>0.17300303327405123</v>
      </c>
    </row>
    <row r="70" spans="20:54" x14ac:dyDescent="0.3">
      <c r="AC70" s="34" t="s">
        <v>583</v>
      </c>
      <c r="AD70" s="128">
        <f>'Balance Sheet'!Y40</f>
        <v>17</v>
      </c>
      <c r="AE70" s="128">
        <f>'Balance Sheet'!Z40</f>
        <v>9</v>
      </c>
      <c r="AF70" s="128">
        <f>'Balance Sheet'!AA40</f>
        <v>2</v>
      </c>
      <c r="AG70" s="128">
        <f>'Balance Sheet'!AB40</f>
        <v>0</v>
      </c>
      <c r="AH70" s="128">
        <f>'Balance Sheet'!AC40</f>
        <v>3302</v>
      </c>
      <c r="AI70" s="128">
        <f>'Balance Sheet'!AD40</f>
        <v>595</v>
      </c>
      <c r="AJ70" s="204"/>
      <c r="AL70" s="106" t="s">
        <v>614</v>
      </c>
      <c r="AM70" s="128">
        <f>(AM13+AM15+AM16)-(AM30+AM33)</f>
        <v>1325.79</v>
      </c>
      <c r="AN70" s="128"/>
      <c r="AO70" s="128">
        <f t="shared" ref="AO70:AR70" si="89">(AO13+AO15+AO16)-(AO30+AO33)</f>
        <v>2166.260635704888</v>
      </c>
      <c r="AP70" s="128">
        <f t="shared" si="89"/>
        <v>2819.3485439846563</v>
      </c>
      <c r="AQ70" s="128">
        <f t="shared" si="89"/>
        <v>3670.5884692145128</v>
      </c>
      <c r="AR70" s="128">
        <f t="shared" si="89"/>
        <v>4780.1842818486466</v>
      </c>
      <c r="AS70" s="128">
        <f>(AS13+AS15+AS16)-(AS30+AS33)</f>
        <v>6226.6368345684423</v>
      </c>
      <c r="AU70" s="1" t="s">
        <v>583</v>
      </c>
      <c r="AV70" s="231">
        <f>'Balance Sheet'!AO45</f>
        <v>713.85799999999995</v>
      </c>
      <c r="AW70" s="231">
        <f>'Balance Sheet'!AP45</f>
        <v>1528.568</v>
      </c>
      <c r="AX70" s="231">
        <f>'Balance Sheet'!AQ45</f>
        <v>1967.79</v>
      </c>
      <c r="AY70" s="231">
        <f>'Balance Sheet'!AR45</f>
        <v>2005.4490000000001</v>
      </c>
      <c r="AZ70" s="231">
        <f>'Balance Sheet'!AS45</f>
        <v>1523.576</v>
      </c>
      <c r="BA70" s="231"/>
      <c r="BB70" s="85"/>
    </row>
    <row r="71" spans="20:54" x14ac:dyDescent="0.3">
      <c r="AC71" s="34" t="s">
        <v>584</v>
      </c>
      <c r="AD71" s="90">
        <f t="shared" ref="AD71:AI71" si="90">1-AD68</f>
        <v>2.3513139695712337E-2</v>
      </c>
      <c r="AE71" s="90">
        <f t="shared" si="90"/>
        <v>5.4545454545454564E-2</v>
      </c>
      <c r="AF71" s="90">
        <f t="shared" si="90"/>
        <v>3.8610038610038533E-3</v>
      </c>
      <c r="AG71" s="90">
        <f t="shared" si="90"/>
        <v>0</v>
      </c>
      <c r="AH71" s="90">
        <f t="shared" si="90"/>
        <v>0.42128093901505481</v>
      </c>
      <c r="AI71" s="90">
        <f t="shared" si="90"/>
        <v>5.7845615399572226E-2</v>
      </c>
      <c r="AJ71" s="205">
        <f>AVERAGE(Table3442[[#This Row],[2020]:[2025]])</f>
        <v>9.3507692086132965E-2</v>
      </c>
      <c r="AL71" s="106" t="s">
        <v>57</v>
      </c>
      <c r="AM71" s="6"/>
      <c r="AN71" s="6"/>
      <c r="AO71" s="128">
        <f>SUM(AO30:AO33)</f>
        <v>3177.4901289582963</v>
      </c>
      <c r="AP71" s="128">
        <f t="shared" ref="AP71:AS71" si="91">SUM(AP30:AP33)</f>
        <v>4135.4452095692386</v>
      </c>
      <c r="AQ71" s="128">
        <f t="shared" si="91"/>
        <v>5384.0514092165595</v>
      </c>
      <c r="AR71" s="128">
        <f t="shared" si="91"/>
        <v>7011.6162939152891</v>
      </c>
      <c r="AS71" s="128">
        <f t="shared" si="91"/>
        <v>9133.2856039326107</v>
      </c>
      <c r="AU71" s="1" t="s">
        <v>584</v>
      </c>
      <c r="AV71" s="233">
        <f>1-AV68</f>
        <v>0.26503185470098156</v>
      </c>
      <c r="AW71" s="233">
        <f t="shared" ref="AW71:AZ71" si="92">1-AW68</f>
        <v>0.45739557945417197</v>
      </c>
      <c r="AX71" s="233">
        <f t="shared" si="92"/>
        <v>0.53258190132542604</v>
      </c>
      <c r="AY71" s="233">
        <f t="shared" si="92"/>
        <v>0.38608001290623906</v>
      </c>
      <c r="AZ71" s="233">
        <f t="shared" si="92"/>
        <v>0.6444184556299738</v>
      </c>
      <c r="BA71" s="231"/>
      <c r="BB71" s="85">
        <f>AVERAGE(Table55[[#This Row],[2020]:[2024]])</f>
        <v>0.45710156080335845</v>
      </c>
    </row>
    <row r="72" spans="20:54" x14ac:dyDescent="0.3">
      <c r="AC72" s="34" t="s">
        <v>39</v>
      </c>
      <c r="AD72" s="128">
        <f>'Balance Sheet'!Y24+'Balance Sheet'!Y25+'Balance Sheet'!Y26+'Balance Sheet'!Y27+'Balance Sheet'!Y28</f>
        <v>1517</v>
      </c>
      <c r="AE72" s="128">
        <f>'Balance Sheet'!Z24+'Balance Sheet'!Z25+'Balance Sheet'!Z26+'Balance Sheet'!Z27+'Balance Sheet'!Z28</f>
        <v>1437</v>
      </c>
      <c r="AF72" s="128">
        <f>'Balance Sheet'!AA24+'Balance Sheet'!AA25+'Balance Sheet'!AA26+'Balance Sheet'!AA27+'Balance Sheet'!AA28</f>
        <v>3046</v>
      </c>
      <c r="AG72" s="128">
        <f>'Balance Sheet'!AB24+'Balance Sheet'!AB25+'Balance Sheet'!AB26+'Balance Sheet'!AB27+'Balance Sheet'!AB28</f>
        <v>2753</v>
      </c>
      <c r="AH72" s="128">
        <f>'Balance Sheet'!AC24+'Balance Sheet'!AC25+'Balance Sheet'!AC26+'Balance Sheet'!AC27+'Balance Sheet'!AC28</f>
        <v>3464</v>
      </c>
      <c r="AI72" s="128">
        <f>'Balance Sheet'!AD24+'Balance Sheet'!AD25+'Balance Sheet'!AD26+'Balance Sheet'!AD27+'Balance Sheet'!AD28</f>
        <v>3438</v>
      </c>
      <c r="AJ72" s="204"/>
      <c r="AL72" s="106" t="s">
        <v>645</v>
      </c>
      <c r="AM72" s="6"/>
      <c r="AN72" s="6"/>
      <c r="AO72" s="128">
        <f>AO18-AO71</f>
        <v>14899.763373846228</v>
      </c>
      <c r="AP72" s="128">
        <f t="shared" ref="AP72:AS72" si="93">AP18-AP71</f>
        <v>19338.695558010644</v>
      </c>
      <c r="AQ72" s="128">
        <f t="shared" si="93"/>
        <v>25183.563575063519</v>
      </c>
      <c r="AR72" s="128">
        <f t="shared" si="93"/>
        <v>32832.665725273007</v>
      </c>
      <c r="AS72" s="128">
        <f t="shared" si="93"/>
        <v>42818.701091549694</v>
      </c>
      <c r="AU72" s="23" t="s">
        <v>567</v>
      </c>
      <c r="AV72" s="237">
        <f>AV70/AV46</f>
        <v>0.10827908190196517</v>
      </c>
      <c r="AW72" s="237">
        <f t="shared" ref="AW72:AZ72" si="94">AW70/AW46</f>
        <v>0.16934759815187231</v>
      </c>
      <c r="AX72" s="237">
        <f t="shared" si="94"/>
        <v>0.14652843569340029</v>
      </c>
      <c r="AY72" s="237">
        <f t="shared" si="94"/>
        <v>0.12228032912811636</v>
      </c>
      <c r="AZ72" s="237">
        <f t="shared" si="94"/>
        <v>7.3950680778286385E-2</v>
      </c>
      <c r="BA72" s="75"/>
      <c r="BB72" s="237">
        <f>AVERAGE(Table55[[#This Row],[2020]:[2024]])</f>
        <v>0.12407722513072809</v>
      </c>
    </row>
    <row r="73" spans="20:54" x14ac:dyDescent="0.3">
      <c r="AC73" s="35" t="s">
        <v>567</v>
      </c>
      <c r="AD73" s="97">
        <f t="shared" ref="AD73:AI73" si="95">AD72/AD46</f>
        <v>7.1539731195472772E-2</v>
      </c>
      <c r="AE73" s="97">
        <f t="shared" si="95"/>
        <v>6.5826843792945483E-2</v>
      </c>
      <c r="AF73" s="97">
        <f t="shared" si="95"/>
        <v>0.10491509661419764</v>
      </c>
      <c r="AG73" s="97">
        <f t="shared" si="95"/>
        <v>6.7338502556074653E-2</v>
      </c>
      <c r="AH73" s="97">
        <f t="shared" si="95"/>
        <v>6.7109673169692158E-2</v>
      </c>
      <c r="AI73" s="97">
        <f t="shared" si="95"/>
        <v>5.6414295559712516E-2</v>
      </c>
      <c r="AJ73" s="205">
        <f>AVERAGE(Table3442[[#This Row],[2020]:[2025]])</f>
        <v>7.2190690481349198E-2</v>
      </c>
      <c r="AM73" s="3"/>
      <c r="AN73" s="3"/>
      <c r="AO73" s="3"/>
      <c r="AP73" s="3"/>
      <c r="AQ73" s="3"/>
      <c r="AR73" s="3"/>
      <c r="AS73" s="3"/>
      <c r="AU73" s="1" t="s">
        <v>39</v>
      </c>
      <c r="AV73" s="231">
        <f>'Balance Sheet'!AO22+'Balance Sheet'!AO23+'Balance Sheet'!AO24+'Balance Sheet'!AO25+'Balance Sheet'!AO26</f>
        <v>524.51700000000005</v>
      </c>
      <c r="AW73" s="231">
        <f>'Balance Sheet'!AP22+'Balance Sheet'!AP23+'Balance Sheet'!AP24+'Balance Sheet'!AP25+'Balance Sheet'!AP26</f>
        <v>726.02700000000004</v>
      </c>
      <c r="AX73" s="231">
        <f>'Balance Sheet'!AQ22+'Balance Sheet'!AQ23+'Balance Sheet'!AQ24+'Balance Sheet'!AQ25+'Balance Sheet'!AQ26</f>
        <v>956.47500000000014</v>
      </c>
      <c r="AY73" s="231">
        <f>'Balance Sheet'!AR22+'Balance Sheet'!AR23+'Balance Sheet'!AR24+'Balance Sheet'!AR25+'Balance Sheet'!AR26</f>
        <v>1483.5</v>
      </c>
      <c r="AZ73" s="231">
        <f>'Balance Sheet'!AS22+'Balance Sheet'!AS23+'Balance Sheet'!AS24+'Balance Sheet'!AS25+'Balance Sheet'!AS26</f>
        <v>1960.615</v>
      </c>
      <c r="BA73" s="231"/>
      <c r="BB73" s="85">
        <f>AVERAGE(Table55[[#This Row],[2020]:[2024]])/AVERAGE(AV40:AZ40)</f>
        <v>8.5556610676585043E-2</v>
      </c>
    </row>
    <row r="74" spans="20:54" x14ac:dyDescent="0.3">
      <c r="AC74" s="106" t="s">
        <v>65</v>
      </c>
      <c r="AD74" s="223">
        <f>'Balance Sheet'!Y50+'Balance Sheet'!Y54+'Balance Sheet'!Y55+'Balance Sheet'!Y56+'Balance Sheet'!Y57</f>
        <v>4139</v>
      </c>
      <c r="AE74" s="223">
        <f>'Balance Sheet'!Z50+'Balance Sheet'!Z54+'Balance Sheet'!Z55+'Balance Sheet'!Z56+'Balance Sheet'!Z57</f>
        <v>6572</v>
      </c>
      <c r="AF74" s="223">
        <f>'Balance Sheet'!AA50+'Balance Sheet'!AA54+'Balance Sheet'!AA55+'Balance Sheet'!AA56+'Balance Sheet'!AA57</f>
        <v>8481</v>
      </c>
      <c r="AG74" s="223">
        <f>'Balance Sheet'!AB50+'Balance Sheet'!AB54+'Balance Sheet'!AB55+'Balance Sheet'!AB56+'Balance Sheet'!AB57</f>
        <v>9589</v>
      </c>
      <c r="AH74" s="223">
        <f>'Balance Sheet'!AC50+'Balance Sheet'!AC54+'Balance Sheet'!AC55+'Balance Sheet'!AC56+'Balance Sheet'!AC57</f>
        <v>10266</v>
      </c>
      <c r="AI74" s="223">
        <f>'Balance Sheet'!AD50+'Balance Sheet'!AD54+'Balance Sheet'!AD55+'Balance Sheet'!AD56+'Balance Sheet'!AD57</f>
        <v>13776</v>
      </c>
      <c r="AJ74" s="213">
        <f>AVERAGE(Table3442[[#This Row],[2020]:[2025]])/AVERAGE(AD46:AI46)</f>
        <v>0.23423794953660593</v>
      </c>
      <c r="AM74" s="3"/>
      <c r="AN74" s="3"/>
      <c r="AO74" s="3"/>
      <c r="AP74" s="3"/>
      <c r="AQ74" s="3"/>
      <c r="AR74" s="3"/>
      <c r="AS74" s="3"/>
      <c r="AU74" s="1" t="s">
        <v>65</v>
      </c>
      <c r="AV74" s="231">
        <f>'Balance Sheet'!AO49+'Balance Sheet'!AO50+'Balance Sheet'!AO51+'Balance Sheet'!AO52</f>
        <v>1209.7070000000001</v>
      </c>
      <c r="AW74" s="231">
        <f>'Balance Sheet'!AP49+'Balance Sheet'!AP50+'Balance Sheet'!AP51+'Balance Sheet'!AP52</f>
        <v>766.32300000000009</v>
      </c>
      <c r="AX74" s="231">
        <f>'Balance Sheet'!AQ49+'Balance Sheet'!AQ50+'Balance Sheet'!AQ51+'Balance Sheet'!AQ52</f>
        <v>1153.126</v>
      </c>
      <c r="AY74" s="231">
        <f>'Balance Sheet'!AR49+'Balance Sheet'!AR50+'Balance Sheet'!AR51+'Balance Sheet'!AR52</f>
        <v>1350.4769999999999</v>
      </c>
      <c r="AZ74" s="231">
        <f>'Balance Sheet'!AS49+'Balance Sheet'!AS50+'Balance Sheet'!AS51+'Balance Sheet'!AS52</f>
        <v>1335.5190000000002</v>
      </c>
      <c r="BA74" s="231"/>
      <c r="BB74" s="85">
        <f>AVERAGE(Table55[[#This Row],[2020]:[2024]])/AVERAGE($AV$40:$AZ$40)</f>
        <v>8.8039797974913514E-2</v>
      </c>
    </row>
    <row r="75" spans="20:54" x14ac:dyDescent="0.3">
      <c r="AC75" s="106" t="s">
        <v>94</v>
      </c>
      <c r="AD75" s="128">
        <f>'Balance Sheet'!Y42+'Balance Sheet'!Y43+'Balance Sheet'!Y45</f>
        <v>170</v>
      </c>
      <c r="AE75" s="128">
        <f>'Balance Sheet'!Z42+'Balance Sheet'!Z43+'Balance Sheet'!Z45</f>
        <v>160</v>
      </c>
      <c r="AF75" s="128">
        <f>'Balance Sheet'!AA42+'Balance Sheet'!AA43+'Balance Sheet'!AA45</f>
        <v>203</v>
      </c>
      <c r="AG75" s="128">
        <f>'Balance Sheet'!AB42+'Balance Sheet'!AB43+'Balance Sheet'!AB45</f>
        <v>245</v>
      </c>
      <c r="AH75" s="128">
        <f>'Balance Sheet'!AC42+'Balance Sheet'!AC43+'Balance Sheet'!AC45</f>
        <v>291</v>
      </c>
      <c r="AI75" s="128">
        <f>'Balance Sheet'!AD42+'Balance Sheet'!AD43+'Balance Sheet'!AD45</f>
        <v>315</v>
      </c>
      <c r="AJ75" s="97">
        <f>AVERAGE(Table3442[[#This Row],[2020]:[2025]])/AVERAGE(AD46:AI46)</f>
        <v>6.1372001241630078E-3</v>
      </c>
      <c r="AM75" s="3"/>
      <c r="AN75" s="3"/>
      <c r="AO75" s="3"/>
      <c r="AP75" s="3"/>
      <c r="AQ75" s="3"/>
      <c r="AR75" s="3"/>
      <c r="AS75" s="3"/>
      <c r="AU75" s="1" t="s">
        <v>94</v>
      </c>
      <c r="AV75" s="231">
        <f>'Balance Sheet'!AO39+'Balance Sheet'!AO40+'Balance Sheet'!AO42</f>
        <v>229.07900000000001</v>
      </c>
      <c r="AW75" s="231">
        <f>'Balance Sheet'!AP39+'Balance Sheet'!AP40+'Balance Sheet'!AP42</f>
        <v>240.47900000000001</v>
      </c>
      <c r="AX75" s="231">
        <f>'Balance Sheet'!AQ39+'Balance Sheet'!AQ40+'Balance Sheet'!AQ42</f>
        <v>370.13200000000001</v>
      </c>
      <c r="AY75" s="231">
        <f>'Balance Sheet'!AR39+'Balance Sheet'!AR40+'Balance Sheet'!AR42</f>
        <v>417.36899999999997</v>
      </c>
      <c r="AZ75" s="231">
        <f>'Balance Sheet'!AS39+'Balance Sheet'!AS40+'Balance Sheet'!AS42</f>
        <v>551.25099999999998</v>
      </c>
      <c r="BA75" s="231"/>
      <c r="BB75" s="85">
        <f>AVERAGE(Table55[[#This Row],[2020]:[2024]])/AVERAGE($AV$40:$AZ$40)</f>
        <v>2.7377314827886846E-2</v>
      </c>
    </row>
    <row r="76" spans="20:54" x14ac:dyDescent="0.3">
      <c r="AC76" s="106" t="s">
        <v>25</v>
      </c>
      <c r="AD76" s="128">
        <f>'Balance Sheet'!Y6+'Balance Sheet'!Y8+'Balance Sheet'!Y11+'Balance Sheet'!Y13+'Balance Sheet'!Y14+'Balance Sheet'!Y16+'Balance Sheet'!Y17</f>
        <v>617</v>
      </c>
      <c r="AE76" s="128">
        <f>'Balance Sheet'!Z6+'Balance Sheet'!Z8+'Balance Sheet'!Z11+'Balance Sheet'!Z13+'Balance Sheet'!Z14+'Balance Sheet'!Z16+'Balance Sheet'!Z17</f>
        <v>632</v>
      </c>
      <c r="AF76" s="128">
        <f>'Balance Sheet'!AA6+'Balance Sheet'!AA8+'Balance Sheet'!AA11+'Balance Sheet'!AA13+'Balance Sheet'!AA14+'Balance Sheet'!AA16+'Balance Sheet'!AA17</f>
        <v>731</v>
      </c>
      <c r="AG76" s="128">
        <f>'Balance Sheet'!AB6+'Balance Sheet'!AB8+'Balance Sheet'!AB11+'Balance Sheet'!AB13+'Balance Sheet'!AB14+'Balance Sheet'!AB16+'Balance Sheet'!AB17</f>
        <v>1110</v>
      </c>
      <c r="AH76" s="128">
        <f>'Balance Sheet'!AC6+'Balance Sheet'!AC8+'Balance Sheet'!AC11+'Balance Sheet'!AC13+'Balance Sheet'!AC14+'Balance Sheet'!AC16+'Balance Sheet'!AC17</f>
        <v>1368</v>
      </c>
      <c r="AI76" s="128">
        <f>'Balance Sheet'!AD6+'Balance Sheet'!AD8+'Balance Sheet'!AD11+'Balance Sheet'!AD13+'Balance Sheet'!AD14+'Balance Sheet'!AD16+'Balance Sheet'!AD17</f>
        <v>1331</v>
      </c>
      <c r="AJ76" s="97">
        <f>AVERAGE(Table3442[[#This Row],[2020]:[2025]])/AVERAGE(AD46:AI46)</f>
        <v>2.5670701964436167E-2</v>
      </c>
      <c r="AM76" s="3"/>
      <c r="AN76" s="3"/>
      <c r="AO76" s="3"/>
      <c r="AP76" s="3"/>
      <c r="AQ76" s="3"/>
      <c r="AR76" s="3"/>
      <c r="AS76" s="3"/>
      <c r="AU76" s="1" t="s">
        <v>25</v>
      </c>
      <c r="AV76" s="231">
        <f>'Balance Sheet'!AO6+'Balance Sheet'!AO11+'Balance Sheet'!AO10+'Balance Sheet'!AO13+'Balance Sheet'!AO14+'Balance Sheet'!AO16</f>
        <v>239.06899999999999</v>
      </c>
      <c r="AW76" s="231">
        <f>'Balance Sheet'!AP6+'Balance Sheet'!AP11+'Balance Sheet'!AP10+'Balance Sheet'!AP13+'Balance Sheet'!AP14+'Balance Sheet'!AP16</f>
        <v>722.59100000000001</v>
      </c>
      <c r="AX76" s="231">
        <f>'Balance Sheet'!AQ6+'Balance Sheet'!AQ11+'Balance Sheet'!AQ10+'Balance Sheet'!AQ13+'Balance Sheet'!AQ14+'Balance Sheet'!AQ16</f>
        <v>1281.9929999999999</v>
      </c>
      <c r="AY76" s="231">
        <f>'Balance Sheet'!AR6+'Balance Sheet'!AR11+'Balance Sheet'!AR10+'Balance Sheet'!AR13+'Balance Sheet'!AR14+'Balance Sheet'!AR16</f>
        <v>2539.2330000000002</v>
      </c>
      <c r="AZ76" s="231">
        <f>'Balance Sheet'!AS6+'Balance Sheet'!AS11+'Balance Sheet'!AS10+'Balance Sheet'!AS13+'Balance Sheet'!AS14+'Balance Sheet'!AS16</f>
        <v>1852.5139999999999</v>
      </c>
      <c r="BA76" s="231"/>
      <c r="BB76" s="85">
        <f>AVERAGE(Table55[[#This Row],[2020]:[2024]])/AVERAGE($AV$40:$AZ$40)</f>
        <v>0.10045812654299341</v>
      </c>
    </row>
    <row r="77" spans="20:54" x14ac:dyDescent="0.3">
      <c r="AC77" s="106" t="s">
        <v>614</v>
      </c>
      <c r="AD77" s="128">
        <f>(AD13+AD15+AD16)-(AD30+AD33)</f>
        <v>16955</v>
      </c>
      <c r="AE77" s="128"/>
      <c r="AF77" s="128">
        <f t="shared" ref="AF77:AJ77" si="96">(AF13+AF15+AF16)-(AF30+AF33)</f>
        <v>17040.917329185118</v>
      </c>
      <c r="AG77" s="128">
        <f t="shared" si="96"/>
        <v>20319.374443081131</v>
      </c>
      <c r="AH77" s="128">
        <f t="shared" si="96"/>
        <v>24228.621244515216</v>
      </c>
      <c r="AI77" s="128">
        <f t="shared" si="96"/>
        <v>28890.036347525071</v>
      </c>
      <c r="AJ77" s="128">
        <f t="shared" si="96"/>
        <v>34448.356957403696</v>
      </c>
      <c r="AU77" s="1" t="s">
        <v>614</v>
      </c>
      <c r="AV77" s="224">
        <f>(AV14+AV15+AV16)-(AV31+AV34)</f>
        <v>2701.7449999999994</v>
      </c>
      <c r="AW77" s="224"/>
      <c r="AX77" s="224">
        <f t="shared" ref="AX77:BB77" si="97">(AX14+AX15+AX16)-(AX31+AX34)</f>
        <v>2537.2859555360183</v>
      </c>
      <c r="AY77" s="224">
        <f t="shared" si="97"/>
        <v>3067.9335131134312</v>
      </c>
      <c r="AZ77" s="224">
        <f t="shared" si="97"/>
        <v>3709.5620665611423</v>
      </c>
      <c r="BA77" s="224">
        <f t="shared" si="97"/>
        <v>4485.3827854508545</v>
      </c>
      <c r="BB77" s="224">
        <f t="shared" si="97"/>
        <v>5423.461419408959</v>
      </c>
    </row>
    <row r="78" spans="20:54" x14ac:dyDescent="0.3">
      <c r="AC78" s="106" t="s">
        <v>57</v>
      </c>
      <c r="AD78" s="6"/>
      <c r="AE78" s="6"/>
      <c r="AF78" s="128">
        <f>SUM(AF30:AF33)</f>
        <v>20411.496274410565</v>
      </c>
      <c r="AG78" s="128">
        <f t="shared" ref="AG78:AJ78" si="98">SUM(AG30:AG33)</f>
        <v>24338.410176603826</v>
      </c>
      <c r="AH78" s="128">
        <f t="shared" si="98"/>
        <v>29020.879728085358</v>
      </c>
      <c r="AI78" s="128">
        <f t="shared" si="98"/>
        <v>34604.291417174085</v>
      </c>
      <c r="AJ78" s="128">
        <f t="shared" si="98"/>
        <v>41262.010495841896</v>
      </c>
      <c r="AU78" s="1" t="s">
        <v>57</v>
      </c>
      <c r="AX78" s="224">
        <f>SUM(AX31:AX34)</f>
        <v>5404.9541247560046</v>
      </c>
      <c r="AY78" s="224">
        <f t="shared" ref="AY78:BB78" si="99">SUM(AY31:AY34)</f>
        <v>6535.3453204593789</v>
      </c>
      <c r="AZ78" s="224">
        <f t="shared" si="99"/>
        <v>7902.1494400154661</v>
      </c>
      <c r="BA78" s="224">
        <f t="shared" si="99"/>
        <v>9554.8111691693884</v>
      </c>
      <c r="BB78" s="224">
        <f t="shared" si="99"/>
        <v>11553.11647287183</v>
      </c>
    </row>
    <row r="79" spans="20:54" x14ac:dyDescent="0.3">
      <c r="AU79" s="1" t="s">
        <v>645</v>
      </c>
      <c r="AX79" s="224">
        <f>AX19-AX78</f>
        <v>24034.298191214006</v>
      </c>
      <c r="AY79" s="224">
        <f t="shared" ref="AY79:BB79" si="100">AY19-AY78</f>
        <v>28203.620789328797</v>
      </c>
      <c r="AZ79" s="224">
        <f t="shared" si="100"/>
        <v>33228.636425222532</v>
      </c>
      <c r="BA79" s="224">
        <f t="shared" si="100"/>
        <v>39288.62916478148</v>
      </c>
      <c r="BB79" s="224">
        <f t="shared" si="100"/>
        <v>46600.170471826066</v>
      </c>
    </row>
  </sheetData>
  <phoneticPr fontId="6" type="noConversion"/>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3EC9-4FA0-4782-8EA4-498ACF613501}">
  <dimension ref="A1:BC61"/>
  <sheetViews>
    <sheetView workbookViewId="0">
      <selection activeCell="C30" sqref="C30"/>
    </sheetView>
  </sheetViews>
  <sheetFormatPr defaultRowHeight="14.4" x14ac:dyDescent="0.3"/>
  <cols>
    <col min="1" max="1" width="23.21875" style="1" bestFit="1" customWidth="1"/>
    <col min="2" max="2" width="10" style="3" bestFit="1" customWidth="1"/>
    <col min="3" max="3" width="8" style="140" customWidth="1"/>
    <col min="4" max="5" width="10" style="3" bestFit="1" customWidth="1"/>
    <col min="6" max="6" width="10" style="269" bestFit="1" customWidth="1"/>
    <col min="7" max="8" width="11" style="3" bestFit="1" customWidth="1"/>
    <col min="9" max="9" width="8.88671875" style="1"/>
    <col min="10" max="10" width="23.44140625" style="1" bestFit="1" customWidth="1"/>
    <col min="11" max="11" width="10.77734375" style="129" customWidth="1"/>
    <col min="12" max="12" width="8.88671875" style="139"/>
    <col min="13" max="18" width="9.88671875" style="129" bestFit="1" customWidth="1"/>
    <col min="19" max="19" width="8.88671875" style="1"/>
    <col min="20" max="20" width="26.44140625" style="1" bestFit="1" customWidth="1"/>
    <col min="21" max="21" width="11.109375" style="1" customWidth="1"/>
    <col min="22" max="22" width="9.109375" style="1" customWidth="1"/>
    <col min="23" max="24" width="9.88671875" style="1" bestFit="1" customWidth="1"/>
    <col min="25" max="27" width="11" style="1" bestFit="1" customWidth="1"/>
    <col min="28" max="28" width="8.88671875" style="1"/>
    <col min="29" max="29" width="23.44140625" style="1" bestFit="1" customWidth="1"/>
    <col min="30" max="30" width="12" style="1" customWidth="1"/>
    <col min="31" max="31" width="9.109375" style="1" customWidth="1"/>
    <col min="32" max="33" width="10" style="1" bestFit="1" customWidth="1"/>
    <col min="34" max="36" width="11" style="1" bestFit="1" customWidth="1"/>
    <col min="37" max="37" width="8.88671875" style="1"/>
    <col min="38" max="38" width="23.44140625" style="1" bestFit="1" customWidth="1"/>
    <col min="39" max="39" width="10.5546875" style="1" customWidth="1"/>
    <col min="40" max="40" width="9.109375" style="1" customWidth="1"/>
    <col min="41" max="43" width="9.88671875" style="1" bestFit="1" customWidth="1"/>
    <col min="44" max="45" width="10.88671875" style="1" bestFit="1" customWidth="1"/>
    <col min="46" max="46" width="8.88671875" style="1"/>
    <col min="47" max="47" width="23.44140625" style="1" bestFit="1" customWidth="1"/>
    <col min="48" max="48" width="10.77734375" style="1" customWidth="1"/>
    <col min="49" max="49" width="8.88671875" style="1"/>
    <col min="50" max="55" width="9.88671875" style="1" bestFit="1" customWidth="1"/>
    <col min="56" max="16384" width="8.88671875" style="1"/>
  </cols>
  <sheetData>
    <row r="1" spans="1:55" ht="38.4" customHeight="1" x14ac:dyDescent="0.3">
      <c r="A1" s="6" t="e" vm="13">
        <v>#VALUE!</v>
      </c>
      <c r="C1" s="3"/>
      <c r="F1" s="3"/>
      <c r="J1" s="6" t="e" vm="6">
        <v>#VALUE!</v>
      </c>
      <c r="K1" s="3"/>
      <c r="L1" s="3"/>
      <c r="M1" s="3"/>
      <c r="N1" s="3"/>
      <c r="O1" s="3"/>
      <c r="P1" s="3"/>
      <c r="Q1" s="3"/>
      <c r="R1" s="3"/>
      <c r="T1" s="6" t="e" vm="2">
        <v>#VALUE!</v>
      </c>
      <c r="AC1" s="6" t="e" vm="5">
        <v>#VALUE!</v>
      </c>
      <c r="AL1" s="219" t="e" vm="14">
        <v>#VALUE!</v>
      </c>
      <c r="AU1" s="6" t="e" vm="4">
        <v>#VALUE!</v>
      </c>
    </row>
    <row r="2" spans="1:55" s="4" customFormat="1" ht="30.6" customHeight="1" x14ac:dyDescent="0.3">
      <c r="A2" s="148" t="s">
        <v>1</v>
      </c>
      <c r="B2" s="149" t="s">
        <v>535</v>
      </c>
      <c r="C2" s="149" t="s">
        <v>574</v>
      </c>
      <c r="D2" s="149" t="s">
        <v>545</v>
      </c>
      <c r="E2" s="149" t="s">
        <v>546</v>
      </c>
      <c r="F2" s="149" t="s">
        <v>547</v>
      </c>
      <c r="G2" s="149" t="s">
        <v>548</v>
      </c>
      <c r="H2" s="150" t="s">
        <v>549</v>
      </c>
      <c r="J2" s="148" t="s">
        <v>1</v>
      </c>
      <c r="K2" s="149" t="s">
        <v>573</v>
      </c>
      <c r="L2" s="149" t="s">
        <v>576</v>
      </c>
      <c r="M2" s="149" t="s">
        <v>32</v>
      </c>
      <c r="N2" s="149" t="s">
        <v>545</v>
      </c>
      <c r="O2" s="149" t="s">
        <v>546</v>
      </c>
      <c r="P2" s="149" t="s">
        <v>547</v>
      </c>
      <c r="Q2" s="149" t="s">
        <v>548</v>
      </c>
      <c r="R2" s="150" t="s">
        <v>549</v>
      </c>
      <c r="T2" s="180" t="s">
        <v>1</v>
      </c>
      <c r="U2" s="181" t="s">
        <v>535</v>
      </c>
      <c r="V2" s="181" t="s">
        <v>574</v>
      </c>
      <c r="W2" s="181" t="s">
        <v>545</v>
      </c>
      <c r="X2" s="181" t="s">
        <v>546</v>
      </c>
      <c r="Y2" s="181" t="s">
        <v>547</v>
      </c>
      <c r="Z2" s="181" t="s">
        <v>548</v>
      </c>
      <c r="AA2" s="182" t="s">
        <v>549</v>
      </c>
      <c r="AC2" s="148" t="s">
        <v>1</v>
      </c>
      <c r="AD2" s="149" t="s">
        <v>535</v>
      </c>
      <c r="AE2" s="149" t="s">
        <v>574</v>
      </c>
      <c r="AF2" s="149" t="s">
        <v>545</v>
      </c>
      <c r="AG2" s="149" t="s">
        <v>546</v>
      </c>
      <c r="AH2" s="149" t="s">
        <v>547</v>
      </c>
      <c r="AI2" s="149" t="s">
        <v>548</v>
      </c>
      <c r="AJ2" s="150" t="s">
        <v>549</v>
      </c>
      <c r="AL2" s="225" t="s">
        <v>1</v>
      </c>
      <c r="AM2" s="226" t="s">
        <v>535</v>
      </c>
      <c r="AN2" s="226" t="s">
        <v>574</v>
      </c>
      <c r="AO2" s="226" t="s">
        <v>545</v>
      </c>
      <c r="AP2" s="226" t="s">
        <v>546</v>
      </c>
      <c r="AQ2" s="226" t="s">
        <v>547</v>
      </c>
      <c r="AR2" s="226" t="s">
        <v>548</v>
      </c>
      <c r="AS2" s="226" t="s">
        <v>549</v>
      </c>
      <c r="AU2" s="148" t="s">
        <v>1</v>
      </c>
      <c r="AV2" s="149" t="s">
        <v>573</v>
      </c>
      <c r="AW2" s="149" t="s">
        <v>576</v>
      </c>
      <c r="AX2" s="149" t="s">
        <v>32</v>
      </c>
      <c r="AY2" s="149" t="s">
        <v>545</v>
      </c>
      <c r="AZ2" s="149" t="s">
        <v>546</v>
      </c>
      <c r="BA2" s="149" t="s">
        <v>547</v>
      </c>
      <c r="BB2" s="149" t="s">
        <v>548</v>
      </c>
      <c r="BC2" s="150" t="s">
        <v>549</v>
      </c>
    </row>
    <row r="3" spans="1:55" x14ac:dyDescent="0.3">
      <c r="A3" s="18" t="s">
        <v>123</v>
      </c>
      <c r="B3" s="65"/>
      <c r="C3" s="65"/>
      <c r="D3" s="65"/>
      <c r="E3" s="65"/>
      <c r="F3" s="65"/>
      <c r="G3" s="65"/>
      <c r="H3" s="65"/>
      <c r="J3" s="18" t="s">
        <v>123</v>
      </c>
      <c r="K3" s="154"/>
      <c r="L3" s="155"/>
      <c r="M3" s="154"/>
      <c r="N3" s="154"/>
      <c r="O3" s="154"/>
      <c r="P3" s="154"/>
      <c r="Q3" s="154"/>
      <c r="R3" s="154"/>
      <c r="T3" s="168" t="s">
        <v>123</v>
      </c>
      <c r="U3" s="154"/>
      <c r="V3" s="155"/>
      <c r="W3" s="154"/>
      <c r="X3" s="154"/>
      <c r="Y3" s="154"/>
      <c r="Z3" s="154"/>
      <c r="AA3" s="169"/>
      <c r="AC3" s="18" t="s">
        <v>123</v>
      </c>
      <c r="AD3" s="19"/>
      <c r="AE3" s="19"/>
      <c r="AF3" s="19"/>
      <c r="AG3" s="19"/>
      <c r="AH3" s="19"/>
      <c r="AI3" s="19"/>
      <c r="AJ3" s="19"/>
      <c r="AL3" s="18" t="s">
        <v>123</v>
      </c>
      <c r="AM3" s="19"/>
      <c r="AN3" s="19"/>
      <c r="AO3" s="19"/>
      <c r="AP3" s="19"/>
      <c r="AQ3" s="19"/>
      <c r="AR3" s="19"/>
      <c r="AS3" s="19"/>
      <c r="AU3" s="18" t="s">
        <v>123</v>
      </c>
      <c r="AV3" s="154"/>
      <c r="AW3" s="155"/>
      <c r="AX3" s="154"/>
      <c r="AY3" s="154"/>
      <c r="AZ3" s="154"/>
      <c r="BA3" s="154"/>
      <c r="BB3" s="154"/>
      <c r="BC3" s="154"/>
    </row>
    <row r="4" spans="1:55" x14ac:dyDescent="0.3">
      <c r="A4" s="34" t="s">
        <v>560</v>
      </c>
      <c r="B4" s="128">
        <f>Dmart_IS[[#This Row],[2025]]</f>
        <v>59358.05</v>
      </c>
      <c r="C4" s="96">
        <f>(Dmart_IS[[#This Row],[2025]]/Dmart_IS[[#This Row],[2020]])^(1/6)-1</f>
        <v>0.1560236648749922</v>
      </c>
      <c r="D4" s="32">
        <f>B4*(1+$C$4)</f>
        <v>68619.310500833031</v>
      </c>
      <c r="E4" s="32">
        <f>D4*(1+$C$4)</f>
        <v>79325.546806368031</v>
      </c>
      <c r="F4" s="32">
        <f t="shared" ref="F4:H4" si="0">E4*(1+$C$4)</f>
        <v>91702.209337310298</v>
      </c>
      <c r="G4" s="32">
        <f t="shared" si="0"/>
        <v>106009.92411525118</v>
      </c>
      <c r="H4" s="131">
        <f t="shared" si="0"/>
        <v>122549.98098883248</v>
      </c>
      <c r="J4" s="34" t="s">
        <v>560</v>
      </c>
      <c r="K4" s="32">
        <f>HUL_IS[[#This Row],[2024]]</f>
        <v>61896</v>
      </c>
      <c r="L4" s="141">
        <f>(HUL_IS[[#This Row],[2024]]/HUL_IS[[#This Row],[2020]])^(1/6)-1</f>
        <v>7.6450777256811708E-2</v>
      </c>
      <c r="M4" s="32">
        <f>Table28[[#This Row],[2024 (Actual)]]*(1+L4)</f>
        <v>66627.997309087616</v>
      </c>
      <c r="N4" s="32">
        <f>Table28[[#This Row],[2025]]*(1+$L$4)</f>
        <v>71721.759490432116</v>
      </c>
      <c r="O4" s="32">
        <f>Table28[[#This Row],[2026]]*(1+$L$4)</f>
        <v>77204.943749701764</v>
      </c>
      <c r="P4" s="32">
        <f>Table28[[#This Row],[2027]]*(1+$L$4)</f>
        <v>83107.321707434894</v>
      </c>
      <c r="Q4" s="32">
        <f>Table28[[#This Row],[2028]]*(1+$L$4)</f>
        <v>89460.941047700195</v>
      </c>
      <c r="R4" s="32">
        <f>Table28[[#This Row],[2029]]*(1+$L$4)</f>
        <v>96300.299524922681</v>
      </c>
      <c r="T4" s="170" t="s">
        <v>560</v>
      </c>
      <c r="U4" s="171">
        <f>ITC_IS[[#This Row],[2025]]</f>
        <v>81612.78</v>
      </c>
      <c r="V4" s="183">
        <f>(ITC_IS[[#This Row],[2025]]/ITC_IS[[#This Row],[2020]])^(1/6)-1</f>
        <v>8.0127537340523691E-2</v>
      </c>
      <c r="W4" s="171">
        <f>Table29[[#This Row],[2025 (Current)]]*(1+V4)</f>
        <v>88152.21107691394</v>
      </c>
      <c r="X4" s="171">
        <f>Table29[[#This Row],[2026]]*(1+$V$4)</f>
        <v>95215.630661629082</v>
      </c>
      <c r="Y4" s="171">
        <f>Table29[[#This Row],[2027]]*(1+$V$4)</f>
        <v>102845.02466287027</v>
      </c>
      <c r="Z4" s="171">
        <f>Table29[[#This Row],[2028]]*(1+$V$4)</f>
        <v>111085.74321683148</v>
      </c>
      <c r="AA4" s="171">
        <f>Table29[[#This Row],[2029]]*(1+$V$4)</f>
        <v>119986.77025443797</v>
      </c>
      <c r="AC4" s="34" t="s">
        <v>560</v>
      </c>
      <c r="AD4" s="66">
        <f>Titan_IS[[#This Row],[2025]]</f>
        <v>60456</v>
      </c>
      <c r="AE4" s="96">
        <f>(Titan_IS[[#This Row],[2025]]/Titan_IS[[#This Row],[2020]])^(1/6)-1</f>
        <v>0.19222349082454993</v>
      </c>
      <c r="AF4" s="66">
        <f>Table42[[#This Row],[2025 (Current)]]*(1+Table42[[#This Row],[Growth]])</f>
        <v>72077.063361288994</v>
      </c>
      <c r="AG4" s="66">
        <f>Table42[[#This Row],[2026]]*(1+$AE$4)</f>
        <v>85931.968088978232</v>
      </c>
      <c r="AH4" s="66">
        <f>Table42[[#This Row],[2027]]*(1+$AE$4)</f>
        <v>102450.11096846545</v>
      </c>
      <c r="AI4" s="66">
        <f>Table42[[#This Row],[2028]]*(1+$AE$4)</f>
        <v>122143.42893418639</v>
      </c>
      <c r="AJ4" s="66">
        <f>Table42[[#This Row],[2029]]*(1+$AE$4)</f>
        <v>145622.26522519602</v>
      </c>
      <c r="AL4" s="34" t="s">
        <v>560</v>
      </c>
      <c r="AM4" s="66">
        <f>Trent_IS[[#This Row],[2025]]</f>
        <v>17134.61</v>
      </c>
      <c r="AN4" s="141">
        <f>(Trent_IS[[#This Row],[2025]]/Trent_IS[[#This Row],[2020]])^(1/6)-1</f>
        <v>0.30394184371452782</v>
      </c>
      <c r="AO4" s="66">
        <f>Table38[[#This Row],[2025 (Current)]]*(1+$AN$4)</f>
        <v>22342.534954729384</v>
      </c>
      <c r="AP4" s="66">
        <f>Table38[[#This Row],[2026]]*(1+$AN$4)</f>
        <v>29133.366222126118</v>
      </c>
      <c r="AQ4" s="66">
        <f>Table38[[#This Row],[2027]]*(1+$AN$4)</f>
        <v>37988.215265289677</v>
      </c>
      <c r="AR4" s="66">
        <f>Table38[[#This Row],[2028]]*(1+$AN$4)</f>
        <v>49534.423452446194</v>
      </c>
      <c r="AS4" s="66">
        <f>Table38[[#This Row],[2029]]*(1+$AN$4)</f>
        <v>64590.007443918839</v>
      </c>
      <c r="AU4" s="34" t="s">
        <v>560</v>
      </c>
      <c r="AV4" s="32">
        <f>VBL_IS[[#This Row],[2024]]</f>
        <v>20481.328000000001</v>
      </c>
      <c r="AW4" s="141">
        <f>(VBL_IS[[#This Row],[2024]]/VBL_IS[[#This Row],[2020]])^(1/6)-1</f>
        <v>0.20908132478639496</v>
      </c>
      <c r="AX4" s="32">
        <f>Table2858[[#This Row],[2024 (Actual)]]*(1+AW4)</f>
        <v>24763.591191624688</v>
      </c>
      <c r="AY4" s="32">
        <f>Table2858[[#This Row],[2025]]*(1+$AW$4)</f>
        <v>29941.195644438278</v>
      </c>
      <c r="AZ4" s="32">
        <f>Table2858[[#This Row],[2026]]*(1+$AW$4)</f>
        <v>36201.340495466073</v>
      </c>
      <c r="BA4" s="32">
        <f>Table2858[[#This Row],[2027]]*(1+$AW$4)</f>
        <v>43770.364725301486</v>
      </c>
      <c r="BB4" s="32">
        <f>Table2858[[#This Row],[2028]]*(1+$AW$4)</f>
        <v>52921.930568451215</v>
      </c>
      <c r="BC4" s="32">
        <f>Table2858[[#This Row],[2029]]*(1+$AW$4)</f>
        <v>63986.917921956607</v>
      </c>
    </row>
    <row r="5" spans="1:55" x14ac:dyDescent="0.3">
      <c r="A5" s="34" t="s">
        <v>125</v>
      </c>
      <c r="B5" s="128">
        <f>Dmart_IS[[#This Row],[2025]]</f>
        <v>124.31</v>
      </c>
      <c r="C5" s="96">
        <f>(Dmart_IS[[#This Row],[2025]]/Dmart_IS[[#This Row],[2020]])^(1/6)-1</f>
        <v>0.12911419530616608</v>
      </c>
      <c r="D5" s="32">
        <f>B5*(1+C5)</f>
        <v>140.36018561850952</v>
      </c>
      <c r="E5" s="32">
        <f>D5*(1+$C$5)</f>
        <v>158.48267803766748</v>
      </c>
      <c r="F5" s="32">
        <f t="shared" ref="F5:H5" si="1">E5*(1+$C$5)</f>
        <v>178.94504148246713</v>
      </c>
      <c r="G5" s="32">
        <f t="shared" si="1"/>
        <v>202.04938651750439</v>
      </c>
      <c r="H5" s="131">
        <f t="shared" si="1"/>
        <v>228.13683046981649</v>
      </c>
      <c r="J5" s="34" t="s">
        <v>125</v>
      </c>
      <c r="K5" s="32">
        <f>HUL_IS[[#This Row],[2024]]</f>
        <v>811</v>
      </c>
      <c r="L5" s="141">
        <f>(HUL_IS[[#This Row],[2024]]/HUL_IS[[#This Row],[2020]])^(1/6)-1</f>
        <v>4.2438948092117901E-2</v>
      </c>
      <c r="M5" s="32">
        <f>Table28[[#This Row],[2024 (Actual)]]*(1+L5)</f>
        <v>845.41798690270764</v>
      </c>
      <c r="N5" s="32">
        <f>Table28[[#This Row],[2025]]*(1+$L$5)</f>
        <v>881.2966369650145</v>
      </c>
      <c r="O5" s="32">
        <f>Table28[[#This Row],[2026]]*(1+$L$5)</f>
        <v>918.69793919493077</v>
      </c>
      <c r="P5" s="32">
        <f>Table28[[#This Row],[2027]]*(1+$L$5)</f>
        <v>957.68651334876017</v>
      </c>
      <c r="Q5" s="32">
        <f>Table28[[#This Row],[2028]]*(1+$L$5)</f>
        <v>998.32972157728955</v>
      </c>
      <c r="R5" s="32">
        <f>Table28[[#This Row],[2029]]*(1+$L$5)</f>
        <v>1040.6977848101267</v>
      </c>
      <c r="T5" s="172" t="s">
        <v>125</v>
      </c>
      <c r="U5" s="173">
        <f>ITC_IS[[#This Row],[2025]]</f>
        <v>2529.69</v>
      </c>
      <c r="V5" s="179">
        <f>(ITC_IS[[#This Row],[2025]]/ITC_IS[[#This Row],[2020]])^(1/6)-1</f>
        <v>-4.4239871283316967E-3</v>
      </c>
      <c r="W5" s="173">
        <f>Table29[[#This Row],[2025 (Current)]]*(1+V5)</f>
        <v>2518.4986840013307</v>
      </c>
      <c r="X5" s="173">
        <f>Table29[[#This Row],[2026]]*(1+$V$5)</f>
        <v>2507.3568782405887</v>
      </c>
      <c r="Y5" s="173">
        <f>Table29[[#This Row],[2027]]*(1+$V$5)</f>
        <v>2496.2643636851185</v>
      </c>
      <c r="Z5" s="173">
        <f>Table29[[#This Row],[2028]]*(1+$V$5)</f>
        <v>2485.2209222712622</v>
      </c>
      <c r="AA5" s="173">
        <f>Table29[[#This Row],[2029]]*(1+$V$5)</f>
        <v>2474.2263369000734</v>
      </c>
      <c r="AC5" s="34" t="s">
        <v>125</v>
      </c>
      <c r="AD5" s="66">
        <f>Titan_IS[[#This Row],[2025]]</f>
        <v>486</v>
      </c>
      <c r="AE5" s="96">
        <f>(Titan_IS[[#This Row],[2025]]/Titan_IS[[#This Row],[2020]])^(1/6)-1</f>
        <v>0.21243223113250087</v>
      </c>
      <c r="AF5" s="66">
        <f>Table42[[#This Row],[2025 (Current)]]*(1+Table42[[#This Row],[Growth]])</f>
        <v>589.24206433039546</v>
      </c>
      <c r="AG5" s="66">
        <f>Table42[[#This Row],[2026]]*(1+$AE$5)</f>
        <v>714.416070733222</v>
      </c>
      <c r="AH5" s="66">
        <f>Table42[[#This Row],[2027]]*(1+$AE$5)</f>
        <v>866.18107059599492</v>
      </c>
      <c r="AI5" s="66">
        <f>Table42[[#This Row],[2028]]*(1+$AE$5)</f>
        <v>1050.1858479874404</v>
      </c>
      <c r="AJ5" s="66">
        <f>Table42[[#This Row],[2029]]*(1+$AE$5)</f>
        <v>1273.2791707791898</v>
      </c>
      <c r="AL5" s="34" t="s">
        <v>125</v>
      </c>
      <c r="AM5" s="66">
        <f>Trent_IS[[#This Row],[2025]]</f>
        <v>218.56</v>
      </c>
      <c r="AN5" s="141">
        <f>(Trent_IS[[#This Row],[2025]]/Trent_IS[[#This Row],[2020]])^(1/6)-1</f>
        <v>6.5435079019903419E-2</v>
      </c>
      <c r="AO5" s="66">
        <f>Table38[[#This Row],[2025 (Current)]]*(1+AN5)</f>
        <v>232.8614908705901</v>
      </c>
      <c r="AP5" s="66">
        <f>Table38[[#This Row],[2026]]*(1+$AN$5)</f>
        <v>248.09880092639969</v>
      </c>
      <c r="AQ5" s="66">
        <f>Table38[[#This Row],[2027]]*(1+$AN$5)</f>
        <v>264.33316556976195</v>
      </c>
      <c r="AR5" s="66">
        <f>Table38[[#This Row],[2028]]*(1+$AN$5)</f>
        <v>281.62982714640054</v>
      </c>
      <c r="AS5" s="66">
        <f>Table38[[#This Row],[2029]]*(1+$AN$5)</f>
        <v>300.05829714008701</v>
      </c>
      <c r="AU5" s="34" t="s">
        <v>125</v>
      </c>
      <c r="AV5" s="32">
        <f>VBL_IS[[#This Row],[2024]]</f>
        <v>121.268</v>
      </c>
      <c r="AW5" s="141">
        <f>(VBL_IS[[#This Row],[2024]]/VBL_IS[[#This Row],[2020]])^(1/6)-1</f>
        <v>0.21894130584476335</v>
      </c>
      <c r="AX5" s="32">
        <f>Table2858[[#This Row],[2024 (Actual)]]*(1+AW5)</f>
        <v>147.81857427718276</v>
      </c>
      <c r="AY5" s="32">
        <f>Table2858[[#This Row],[2025]]*(1+$AW$5)</f>
        <v>180.18216595754029</v>
      </c>
      <c r="AZ5" s="32">
        <f>Table2858[[#This Row],[2026]]*(1+$AW$5)</f>
        <v>219.63148466222202</v>
      </c>
      <c r="BA5" s="32">
        <f>Table2858[[#This Row],[2027]]*(1+$AW$5)</f>
        <v>267.71788871879301</v>
      </c>
      <c r="BB5" s="32">
        <f>Table2858[[#This Row],[2028]]*(1+$AW$5)</f>
        <v>326.33239287288859</v>
      </c>
      <c r="BC5" s="32">
        <f>Table2858[[#This Row],[2029]]*(1+$AW$5)</f>
        <v>397.78003310792514</v>
      </c>
    </row>
    <row r="6" spans="1:55" x14ac:dyDescent="0.3">
      <c r="A6" s="35" t="s">
        <v>562</v>
      </c>
      <c r="B6" s="146">
        <f>B4+B5</f>
        <v>59482.36</v>
      </c>
      <c r="C6" s="97"/>
      <c r="D6" s="146">
        <f t="shared" ref="D6:H6" si="2">D4+D5</f>
        <v>68759.670686451544</v>
      </c>
      <c r="E6" s="146">
        <f t="shared" si="2"/>
        <v>79484.029484405692</v>
      </c>
      <c r="F6" s="146">
        <f t="shared" si="2"/>
        <v>91881.154378792766</v>
      </c>
      <c r="G6" s="146">
        <f t="shared" si="2"/>
        <v>106211.97350176869</v>
      </c>
      <c r="H6" s="147">
        <f t="shared" si="2"/>
        <v>122778.11781930229</v>
      </c>
      <c r="J6" s="35" t="s">
        <v>562</v>
      </c>
      <c r="K6" s="33">
        <f>K4+K5</f>
        <v>62707</v>
      </c>
      <c r="L6" s="33"/>
      <c r="M6" s="33">
        <f t="shared" ref="M6:R6" si="3">M4+M5</f>
        <v>67473.415295990329</v>
      </c>
      <c r="N6" s="33">
        <f t="shared" si="3"/>
        <v>72603.056127397125</v>
      </c>
      <c r="O6" s="33">
        <f t="shared" si="3"/>
        <v>78123.641688896692</v>
      </c>
      <c r="P6" s="33">
        <f t="shared" si="3"/>
        <v>84065.008220783653</v>
      </c>
      <c r="Q6" s="33">
        <f t="shared" si="3"/>
        <v>90459.270769277486</v>
      </c>
      <c r="R6" s="33">
        <f t="shared" si="3"/>
        <v>97340.997309732804</v>
      </c>
      <c r="T6" s="174" t="s">
        <v>562</v>
      </c>
      <c r="U6" s="175">
        <f>U4+U5</f>
        <v>84142.47</v>
      </c>
      <c r="V6" s="175"/>
      <c r="W6" s="175">
        <f t="shared" ref="W6:AA6" si="4">W4+W5</f>
        <v>90670.70976091527</v>
      </c>
      <c r="X6" s="175">
        <f t="shared" si="4"/>
        <v>97722.987539869675</v>
      </c>
      <c r="Y6" s="175">
        <f t="shared" si="4"/>
        <v>105341.28902655539</v>
      </c>
      <c r="Z6" s="175">
        <f t="shared" si="4"/>
        <v>113570.96413910274</v>
      </c>
      <c r="AA6" s="175">
        <f t="shared" si="4"/>
        <v>122460.99659133804</v>
      </c>
      <c r="AC6" s="35" t="s">
        <v>562</v>
      </c>
      <c r="AD6" s="67">
        <f>AD4+AD5</f>
        <v>60942</v>
      </c>
      <c r="AE6" s="222"/>
      <c r="AF6" s="67">
        <f t="shared" ref="AF6:AJ6" si="5">AF4+AF5</f>
        <v>72666.305425619386</v>
      </c>
      <c r="AG6" s="67">
        <f t="shared" si="5"/>
        <v>86646.384159711452</v>
      </c>
      <c r="AH6" s="67">
        <f t="shared" si="5"/>
        <v>103316.29203906145</v>
      </c>
      <c r="AI6" s="67">
        <f t="shared" si="5"/>
        <v>123193.61478217383</v>
      </c>
      <c r="AJ6" s="67">
        <f t="shared" si="5"/>
        <v>146895.54439597522</v>
      </c>
      <c r="AL6" s="35" t="s">
        <v>562</v>
      </c>
      <c r="AM6" s="67">
        <f>AM4+AM5</f>
        <v>17353.170000000002</v>
      </c>
      <c r="AN6" s="67"/>
      <c r="AO6" s="67">
        <f t="shared" ref="AO6:AS6" si="6">AO4+AO5</f>
        <v>22575.396445599974</v>
      </c>
      <c r="AP6" s="67">
        <f t="shared" si="6"/>
        <v>29381.465023052519</v>
      </c>
      <c r="AQ6" s="67">
        <f t="shared" si="6"/>
        <v>38252.548430859439</v>
      </c>
      <c r="AR6" s="67">
        <f t="shared" si="6"/>
        <v>49816.053279592597</v>
      </c>
      <c r="AS6" s="67">
        <f t="shared" si="6"/>
        <v>64890.065741058927</v>
      </c>
      <c r="AU6" s="35" t="s">
        <v>562</v>
      </c>
      <c r="AV6" s="33">
        <f>AV4+AV5</f>
        <v>20602.596000000001</v>
      </c>
      <c r="AW6" s="33"/>
      <c r="AX6" s="33">
        <f t="shared" ref="AX6:BC6" si="7">AX4+AX5</f>
        <v>24911.40976590187</v>
      </c>
      <c r="AY6" s="33">
        <f t="shared" si="7"/>
        <v>30121.377810395818</v>
      </c>
      <c r="AZ6" s="33">
        <f t="shared" si="7"/>
        <v>36420.971980128292</v>
      </c>
      <c r="BA6" s="33">
        <f t="shared" si="7"/>
        <v>44038.082614020277</v>
      </c>
      <c r="BB6" s="33">
        <f t="shared" si="7"/>
        <v>53248.262961324101</v>
      </c>
      <c r="BC6" s="33">
        <f t="shared" si="7"/>
        <v>64384.697955064534</v>
      </c>
    </row>
    <row r="7" spans="1:55" x14ac:dyDescent="0.3">
      <c r="A7" s="18" t="s">
        <v>127</v>
      </c>
      <c r="B7" s="64"/>
      <c r="C7" s="99"/>
      <c r="D7" s="40"/>
      <c r="E7" s="40"/>
      <c r="F7" s="40"/>
      <c r="G7" s="40"/>
      <c r="H7" s="40"/>
      <c r="J7" s="18" t="s">
        <v>127</v>
      </c>
      <c r="K7" s="154"/>
      <c r="L7" s="155"/>
      <c r="M7" s="154"/>
      <c r="N7" s="154"/>
      <c r="O7" s="154"/>
      <c r="P7" s="154"/>
      <c r="Q7" s="154"/>
      <c r="R7" s="154"/>
      <c r="T7" s="168" t="s">
        <v>127</v>
      </c>
      <c r="U7" s="154"/>
      <c r="V7" s="155"/>
      <c r="W7" s="154"/>
      <c r="X7" s="154"/>
      <c r="Y7" s="154"/>
      <c r="Z7" s="154"/>
      <c r="AA7" s="169"/>
      <c r="AC7" s="18" t="s">
        <v>127</v>
      </c>
      <c r="AD7" s="22"/>
      <c r="AE7" s="99"/>
      <c r="AF7" s="22"/>
      <c r="AG7" s="22"/>
      <c r="AH7" s="22"/>
      <c r="AI7" s="22"/>
      <c r="AJ7" s="22"/>
      <c r="AL7" s="18" t="s">
        <v>127</v>
      </c>
      <c r="AM7" s="26"/>
      <c r="AN7" s="155"/>
      <c r="AO7" s="26"/>
      <c r="AP7" s="26"/>
      <c r="AQ7" s="26"/>
      <c r="AR7" s="26"/>
      <c r="AS7" s="26"/>
      <c r="AU7" s="18" t="s">
        <v>127</v>
      </c>
      <c r="AV7" s="154"/>
      <c r="AW7" s="155"/>
      <c r="AX7" s="154"/>
      <c r="AY7" s="154"/>
      <c r="AZ7" s="154"/>
      <c r="BA7" s="154"/>
      <c r="BB7" s="154"/>
      <c r="BC7" s="154"/>
    </row>
    <row r="8" spans="1:55" x14ac:dyDescent="0.3">
      <c r="A8" s="63" t="s">
        <v>185</v>
      </c>
      <c r="B8" s="32">
        <f>'Balance Sheet Forecast'!G45</f>
        <v>51668.76</v>
      </c>
      <c r="C8" s="96">
        <f>'Balance Sheet Forecast'!B47</f>
        <v>0.86197789364642974</v>
      </c>
      <c r="D8" s="32">
        <f>D6*$C$8</f>
        <v>59269.316106129663</v>
      </c>
      <c r="E8" s="32">
        <f t="shared" ref="E8:H8" si="8">E6*$C$8</f>
        <v>68513.47631349873</v>
      </c>
      <c r="F8" s="32">
        <f t="shared" si="8"/>
        <v>79199.523917234226</v>
      </c>
      <c r="G8" s="32">
        <f t="shared" si="8"/>
        <v>91552.373199084992</v>
      </c>
      <c r="H8" s="32">
        <f t="shared" si="8"/>
        <v>105832.02338375537</v>
      </c>
      <c r="J8" s="63" t="s">
        <v>523</v>
      </c>
      <c r="K8" s="32">
        <f>HUL_IS[[#This Row],[2024]]+'Income Statement'!N9+'Income Statement'!N10</f>
        <v>29760</v>
      </c>
      <c r="L8" s="141">
        <f>'Balance Sheet Forecast'!R45</f>
        <v>0.48014070169989553</v>
      </c>
      <c r="M8" s="32">
        <f>M6*$L$8</f>
        <v>32396.732966305262</v>
      </c>
      <c r="N8" s="32">
        <f t="shared" ref="N8:R8" si="9">N6*$L$8</f>
        <v>34859.682314565354</v>
      </c>
      <c r="O8" s="32">
        <f t="shared" si="9"/>
        <v>37510.340139858068</v>
      </c>
      <c r="P8" s="32">
        <f t="shared" si="9"/>
        <v>40363.032035534547</v>
      </c>
      <c r="Q8" s="32">
        <f t="shared" si="9"/>
        <v>43433.177742421743</v>
      </c>
      <c r="R8" s="32">
        <f t="shared" si="9"/>
        <v>46737.374752462754</v>
      </c>
      <c r="T8" s="170" t="s">
        <v>523</v>
      </c>
      <c r="U8" s="171">
        <f>ITC_IS[[#This Row],[2025]]+'Income Statement'!V9+'Income Statement'!V10</f>
        <v>31978.720000000001</v>
      </c>
      <c r="V8" s="183">
        <f>'Balance Sheet Forecast'!AA47</f>
        <v>0.36292458647218978</v>
      </c>
      <c r="W8" s="171">
        <f>W6*$V$8</f>
        <v>32906.629845120115</v>
      </c>
      <c r="X8" s="171">
        <f t="shared" ref="X8:AA8" si="10">X6*$V$8</f>
        <v>35466.074841734153</v>
      </c>
      <c r="Y8" s="171">
        <f t="shared" si="10"/>
        <v>38230.943758410038</v>
      </c>
      <c r="Z8" s="171">
        <f t="shared" si="10"/>
        <v>41217.695195431756</v>
      </c>
      <c r="AA8" s="171">
        <f t="shared" si="10"/>
        <v>44444.106546883602</v>
      </c>
      <c r="AC8" s="34" t="s">
        <v>523</v>
      </c>
      <c r="AD8" s="66">
        <f>'Balance Sheet Forecast'!AI45</f>
        <v>47456</v>
      </c>
      <c r="AE8" s="96">
        <f>'Balance Sheet Forecast'!AJ47</f>
        <v>0.74951846602926964</v>
      </c>
      <c r="AF8" s="66">
        <f>AF6*$AE$8</f>
        <v>54464.737774624635</v>
      </c>
      <c r="AG8" s="66">
        <f t="shared" ref="AG8:AJ8" si="11">AG6*$AE$8</f>
        <v>64943.064942369732</v>
      </c>
      <c r="AH8" s="66">
        <f t="shared" si="11"/>
        <v>77437.468724949373</v>
      </c>
      <c r="AI8" s="66">
        <f t="shared" si="11"/>
        <v>92335.889176135679</v>
      </c>
      <c r="AJ8" s="66">
        <f t="shared" si="11"/>
        <v>110100.92310220582</v>
      </c>
      <c r="AL8" s="34" t="s">
        <v>523</v>
      </c>
      <c r="AM8" s="66">
        <f>'Balance Sheet Forecast'!AR45</f>
        <v>9689.14</v>
      </c>
      <c r="AN8" s="141">
        <f>'Balance Sheet Forecast'!AS47</f>
        <v>0.54341007168270083</v>
      </c>
      <c r="AO8" s="66">
        <f>AO6*$AN$8</f>
        <v>12267.697800768872</v>
      </c>
      <c r="AP8" s="66">
        <f t="shared" ref="AP8:AS8" si="12">AP6*$AN$8</f>
        <v>15966.184014319737</v>
      </c>
      <c r="AQ8" s="66">
        <f t="shared" si="12"/>
        <v>20786.820084859311</v>
      </c>
      <c r="AR8" s="66">
        <f t="shared" si="12"/>
        <v>27070.545083612658</v>
      </c>
      <c r="AS8" s="66">
        <f t="shared" si="12"/>
        <v>35261.915275844003</v>
      </c>
      <c r="AU8" s="63" t="s">
        <v>523</v>
      </c>
      <c r="AV8" s="32">
        <f>'Balance Sheet Forecast'!AZ45</f>
        <v>8904.7240000000002</v>
      </c>
      <c r="AW8" s="141">
        <f>'Balance Sheet Forecast'!BB47</f>
        <v>0.44323573133650296</v>
      </c>
      <c r="AX8" s="32">
        <f>AX6*$AW$8</f>
        <v>11041.626926212817</v>
      </c>
      <c r="AY8" s="32">
        <f t="shared" ref="AY8:BC8" si="13">AY6*$AW$8</f>
        <v>13350.870922653903</v>
      </c>
      <c r="AZ8" s="32">
        <f t="shared" si="13"/>
        <v>16143.076151598445</v>
      </c>
      <c r="BA8" s="32">
        <f t="shared" si="13"/>
        <v>19519.251754082612</v>
      </c>
      <c r="BB8" s="32">
        <f t="shared" si="13"/>
        <v>23601.532776060911</v>
      </c>
      <c r="BC8" s="32">
        <f t="shared" si="13"/>
        <v>28537.598684992874</v>
      </c>
    </row>
    <row r="9" spans="1:55" x14ac:dyDescent="0.3">
      <c r="A9" s="63" t="s">
        <v>130</v>
      </c>
      <c r="B9" s="32">
        <f>'Income Statement'!G10</f>
        <v>1165.9000000000001</v>
      </c>
      <c r="C9" s="96">
        <f>('Income Statement'!G10/'Income Statement'!B10)^(1/6)-1</f>
        <v>0.1693204319882029</v>
      </c>
      <c r="D9" s="32">
        <f>B9*(1+C9)</f>
        <v>1363.310691655046</v>
      </c>
      <c r="E9" s="32">
        <f>D9*(1+$C$9)</f>
        <v>1594.147046900214</v>
      </c>
      <c r="F9" s="32">
        <f t="shared" ref="F9:H9" si="14">E9*(1+$C$9)</f>
        <v>1864.0687135340763</v>
      </c>
      <c r="G9" s="32">
        <f t="shared" si="14"/>
        <v>2179.6936333653598</v>
      </c>
      <c r="H9" s="32">
        <f t="shared" si="14"/>
        <v>2548.7603009687182</v>
      </c>
      <c r="J9" s="63" t="s">
        <v>130</v>
      </c>
      <c r="K9" s="32">
        <f>'Income Statement'!N11</f>
        <v>3009</v>
      </c>
      <c r="L9" s="141">
        <f>('Income Statement'!N11/'Income Statement'!J11)^(1/6)-1</f>
        <v>8.7406187718894079E-2</v>
      </c>
      <c r="M9" s="32">
        <f>Table28[[#This Row],[2024 (Actual)]]*(1+L9)</f>
        <v>3272.0052188461523</v>
      </c>
      <c r="N9" s="32">
        <f>Table28[[#This Row],[2025]]*(1+$L$9)</f>
        <v>3557.9987212218202</v>
      </c>
      <c r="O9" s="32">
        <f>Table28[[#This Row],[2026]]*(1+$L$9)</f>
        <v>3868.9898253525198</v>
      </c>
      <c r="P9" s="32">
        <f>Table28[[#This Row],[2027]]*(1+$L$9)</f>
        <v>4207.1634763097736</v>
      </c>
      <c r="Q9" s="32">
        <f>Table28[[#This Row],[2028]]*(1+$L$9)</f>
        <v>4574.895596884181</v>
      </c>
      <c r="R9" s="32">
        <f>Table28[[#This Row],[2029]]*(1+$L$9)</f>
        <v>4974.7697802197818</v>
      </c>
      <c r="T9" s="172" t="s">
        <v>130</v>
      </c>
      <c r="U9" s="173">
        <f>'Income Statement'!V12</f>
        <v>6169.78</v>
      </c>
      <c r="V9" s="179">
        <f>'Balance Sheet Forecast'!AA62</f>
        <v>7.5227911526750665E-2</v>
      </c>
      <c r="W9" s="173">
        <f>W6*$V$9</f>
        <v>6820.9681319618221</v>
      </c>
      <c r="X9" s="173">
        <f t="shared" ref="X9:AA9" si="15">X6*$V$9</f>
        <v>7351.496260779074</v>
      </c>
      <c r="Y9" s="173">
        <f t="shared" si="15"/>
        <v>7924.605171003579</v>
      </c>
      <c r="Z9" s="173">
        <f t="shared" si="15"/>
        <v>8543.7064422641943</v>
      </c>
      <c r="AA9" s="173">
        <f t="shared" si="15"/>
        <v>9212.4850170508926</v>
      </c>
      <c r="AC9" s="34" t="s">
        <v>130</v>
      </c>
      <c r="AD9" s="66">
        <f>'Balance Sheet Forecast'!AI61</f>
        <v>2156</v>
      </c>
      <c r="AE9" s="96">
        <f>'Balance Sheet Forecast'!AJ62</f>
        <v>4.3928239609627717E-2</v>
      </c>
      <c r="AF9" s="66">
        <f>AF6*$AE$9</f>
        <v>3192.1028762829992</v>
      </c>
      <c r="AG9" s="66">
        <f t="shared" ref="AG9:AJ9" si="16">AG6*$AE$9</f>
        <v>3806.223124675656</v>
      </c>
      <c r="AH9" s="66">
        <f t="shared" si="16"/>
        <v>4538.5028322701637</v>
      </c>
      <c r="AI9" s="66">
        <f t="shared" si="16"/>
        <v>5411.6786285275066</v>
      </c>
      <c r="AJ9" s="66">
        <f t="shared" si="16"/>
        <v>6452.8626718131054</v>
      </c>
      <c r="AL9" s="34" t="s">
        <v>130</v>
      </c>
      <c r="AM9" s="66">
        <f>'Balance Sheet Forecast'!AR55</f>
        <v>1308.45</v>
      </c>
      <c r="AN9" s="141">
        <f>'Balance Sheet Forecast'!AS56</f>
        <v>8.772009558726572E-2</v>
      </c>
      <c r="AO9" s="66">
        <f>AO6*$AN$9</f>
        <v>1980.3159341284486</v>
      </c>
      <c r="AP9" s="66">
        <f t="shared" ref="AP9:AS9" si="17">AP6*$AN$9</f>
        <v>2577.3449203160712</v>
      </c>
      <c r="AQ9" s="66">
        <f t="shared" si="17"/>
        <v>3355.5172048115014</v>
      </c>
      <c r="AR9" s="66">
        <f t="shared" si="17"/>
        <v>4369.8689554661842</v>
      </c>
      <c r="AS9" s="66">
        <f t="shared" si="17"/>
        <v>5692.1627694696454</v>
      </c>
      <c r="AU9" s="63" t="s">
        <v>130</v>
      </c>
      <c r="AV9" s="32">
        <f>'Balance Sheet Forecast'!AZ61</f>
        <v>1885.0260000000001</v>
      </c>
      <c r="AW9" s="141">
        <f>'Balance Sheet Forecast'!BB62</f>
        <v>0.10337841775219354</v>
      </c>
      <c r="AX9" s="32">
        <f>AX6*$AW$9</f>
        <v>2575.3021255754775</v>
      </c>
      <c r="AY9" s="32">
        <f t="shared" ref="AY9:BC9" si="18">AY6*$AW$9</f>
        <v>3113.9003785547516</v>
      </c>
      <c r="AZ9" s="32">
        <f t="shared" si="18"/>
        <v>3765.142456302638</v>
      </c>
      <c r="BA9" s="32">
        <f t="shared" si="18"/>
        <v>4552.5873014777999</v>
      </c>
      <c r="BB9" s="32">
        <f t="shared" si="18"/>
        <v>5504.7211729944174</v>
      </c>
      <c r="BC9" s="32">
        <f t="shared" si="18"/>
        <v>6655.9882020474624</v>
      </c>
    </row>
    <row r="10" spans="1:55" x14ac:dyDescent="0.3">
      <c r="A10" s="63" t="s">
        <v>133</v>
      </c>
      <c r="B10" s="32">
        <f>'Income Statement'!G13</f>
        <v>3153.12</v>
      </c>
      <c r="C10" s="96">
        <f>AVERAGE('Common Size Income Statement'!B7:G7)</f>
        <v>4.9970859062544316E-2</v>
      </c>
      <c r="D10" s="32">
        <f>D4*$C$10</f>
        <v>3428.9658940060945</v>
      </c>
      <c r="E10" s="32">
        <f t="shared" ref="E10:H10" si="19">E4*$C$10</f>
        <v>3963.9657195202794</v>
      </c>
      <c r="F10" s="32">
        <f t="shared" si="19"/>
        <v>4582.4381785186679</v>
      </c>
      <c r="G10" s="32">
        <f t="shared" si="19"/>
        <v>5297.406977194235</v>
      </c>
      <c r="H10" s="32">
        <f t="shared" si="19"/>
        <v>6123.9278281104334</v>
      </c>
      <c r="J10" s="63" t="s">
        <v>133</v>
      </c>
      <c r="K10" s="32">
        <f>'Income Statement'!N14</f>
        <v>14464</v>
      </c>
      <c r="L10" s="141">
        <f>('Income Statement'!N14/'Income Statement'!J14)^(1/6)-1</f>
        <v>6.625272641544E-2</v>
      </c>
      <c r="M10" s="32">
        <f>Table28[[#This Row],[2024 (Actual)]]*(1+L10)</f>
        <v>15422.279434872924</v>
      </c>
      <c r="N10" s="32">
        <f>Table28[[#This Row],[2025]]*(1+$L$10)</f>
        <v>16444.047494974027</v>
      </c>
      <c r="O10" s="32">
        <f>Table28[[#This Row],[2026]]*(1+$L$10)</f>
        <v>17533.510474821043</v>
      </c>
      <c r="P10" s="32">
        <f>Table28[[#This Row],[2027]]*(1+$L$10)</f>
        <v>18695.153347411615</v>
      </c>
      <c r="Q10" s="32">
        <f>Table28[[#This Row],[2028]]*(1+$L$10)</f>
        <v>19933.758227432372</v>
      </c>
      <c r="R10" s="32">
        <f>Table28[[#This Row],[2029]]*(1+$L$10)</f>
        <v>21254.424057705975</v>
      </c>
      <c r="T10" s="170" t="s">
        <v>133</v>
      </c>
      <c r="U10" s="171">
        <f>'Income Statement'!V15+'Income Statement'!V11</f>
        <v>17486.07</v>
      </c>
      <c r="V10" s="183">
        <f>'Balance Sheet Forecast'!AA64</f>
        <v>0.20381589278123405</v>
      </c>
      <c r="W10" s="171">
        <f>W6*$V$10</f>
        <v>18480.131659029099</v>
      </c>
      <c r="X10" s="171">
        <f t="shared" ref="X10:AA10" si="20">X6*$V$10</f>
        <v>19917.49795068795</v>
      </c>
      <c r="Y10" s="171">
        <f t="shared" si="20"/>
        <v>21470.228869673399</v>
      </c>
      <c r="Z10" s="171">
        <f t="shared" si="20"/>
        <v>23147.567450036742</v>
      </c>
      <c r="AA10" s="171">
        <f t="shared" si="20"/>
        <v>24959.497351143222</v>
      </c>
      <c r="AC10" s="34" t="s">
        <v>133</v>
      </c>
      <c r="AD10" s="66">
        <f>'Balance Sheet Forecast'!AI63</f>
        <v>5150</v>
      </c>
      <c r="AE10" s="96">
        <f>'Balance Sheet Forecast'!AJ64</f>
        <v>9.400023675896714E-2</v>
      </c>
      <c r="AF10" s="66">
        <f>AF6*$AE$10</f>
        <v>6830.6499144076406</v>
      </c>
      <c r="AG10" s="66">
        <f t="shared" ref="AG10:AJ10" si="21">AG6*$AE$10</f>
        <v>8144.7806253212966</v>
      </c>
      <c r="AH10" s="66">
        <f t="shared" si="21"/>
        <v>9711.7559127303684</v>
      </c>
      <c r="AI10" s="66">
        <f t="shared" si="21"/>
        <v>11580.228956717334</v>
      </c>
      <c r="AJ10" s="66">
        <f t="shared" si="21"/>
        <v>13808.215952059039</v>
      </c>
      <c r="AL10" s="34" t="s">
        <v>133</v>
      </c>
      <c r="AM10" s="66">
        <f>'Balance Sheet Forecast'!AR57</f>
        <v>3378.57</v>
      </c>
      <c r="AN10" s="141">
        <f>'Balance Sheet Forecast'!AS58</f>
        <v>0.20446235923149358</v>
      </c>
      <c r="AO10" s="66">
        <f>AO6*$AN$10</f>
        <v>4615.8188178536457</v>
      </c>
      <c r="AP10" s="66">
        <f t="shared" ref="AP10:AS10" si="22">AP6*$AN$10</f>
        <v>6007.4036562909278</v>
      </c>
      <c r="AQ10" s="66">
        <f t="shared" si="22"/>
        <v>7821.2062987904892</v>
      </c>
      <c r="AR10" s="66">
        <f t="shared" si="22"/>
        <v>10185.507781147286</v>
      </c>
      <c r="AS10" s="66">
        <f t="shared" si="22"/>
        <v>13267.575932103626</v>
      </c>
      <c r="AU10" s="63" t="s">
        <v>133</v>
      </c>
      <c r="AV10" s="32">
        <f>'Balance Sheet Forecast'!AZ63</f>
        <v>4506.8289999999997</v>
      </c>
      <c r="AW10" s="141">
        <f>'Balance Sheet Forecast'!BB64</f>
        <v>0.22621044071613597</v>
      </c>
      <c r="AX10" s="32">
        <f>AX6*$AW$10</f>
        <v>5635.2209820049156</v>
      </c>
      <c r="AY10" s="32">
        <f t="shared" ref="AY10:BC10" si="23">AY6*$AW$10</f>
        <v>6813.7701494668763</v>
      </c>
      <c r="AZ10" s="32">
        <f t="shared" si="23"/>
        <v>8238.8041229348601</v>
      </c>
      <c r="BA10" s="32">
        <f t="shared" si="23"/>
        <v>9961.8740764111317</v>
      </c>
      <c r="BB10" s="32">
        <f t="shared" si="23"/>
        <v>12045.313031849824</v>
      </c>
      <c r="BC10" s="32">
        <f t="shared" si="23"/>
        <v>14564.490899790446</v>
      </c>
    </row>
    <row r="11" spans="1:55" x14ac:dyDescent="0.3">
      <c r="A11" s="77" t="s">
        <v>134</v>
      </c>
      <c r="B11" s="33">
        <f>SUM(B8:B10)</f>
        <v>55987.780000000006</v>
      </c>
      <c r="C11" s="97"/>
      <c r="D11" s="33">
        <f>SUM(D8:D10)</f>
        <v>64061.592691790807</v>
      </c>
      <c r="E11" s="33">
        <f>SUM(E8:E10)</f>
        <v>74071.589079919213</v>
      </c>
      <c r="F11" s="33">
        <f>SUM(F8:F10)</f>
        <v>85646.030809286967</v>
      </c>
      <c r="G11" s="33">
        <f>SUM(G8:G10)</f>
        <v>99029.47380964458</v>
      </c>
      <c r="H11" s="33">
        <f>SUM(H8:H10)</f>
        <v>114504.71151283452</v>
      </c>
      <c r="J11" s="77" t="s">
        <v>134</v>
      </c>
      <c r="K11" s="33">
        <f>K8+K9+K10</f>
        <v>47233</v>
      </c>
      <c r="L11" s="33"/>
      <c r="M11" s="33">
        <f t="shared" ref="M11:R11" si="24">M8+M9+M10</f>
        <v>51091.017620024337</v>
      </c>
      <c r="N11" s="33">
        <f t="shared" si="24"/>
        <v>54861.728530761204</v>
      </c>
      <c r="O11" s="33">
        <f t="shared" si="24"/>
        <v>58912.840440031629</v>
      </c>
      <c r="P11" s="33">
        <f t="shared" si="24"/>
        <v>63265.348859255937</v>
      </c>
      <c r="Q11" s="33">
        <f t="shared" si="24"/>
        <v>67941.831566738299</v>
      </c>
      <c r="R11" s="33">
        <f t="shared" si="24"/>
        <v>72966.568590388517</v>
      </c>
      <c r="T11" s="176" t="s">
        <v>134</v>
      </c>
      <c r="U11" s="177">
        <f>U8+U9+U10</f>
        <v>55634.57</v>
      </c>
      <c r="V11" s="177"/>
      <c r="W11" s="177">
        <f t="shared" ref="W11:AA11" si="25">W8+W9+W10</f>
        <v>58207.729636111035</v>
      </c>
      <c r="X11" s="177">
        <f t="shared" si="25"/>
        <v>62735.069053201179</v>
      </c>
      <c r="Y11" s="177">
        <f t="shared" si="25"/>
        <v>67625.777799087024</v>
      </c>
      <c r="Z11" s="177">
        <f t="shared" si="25"/>
        <v>72908.969087732694</v>
      </c>
      <c r="AA11" s="177">
        <f t="shared" si="25"/>
        <v>78616.088915077722</v>
      </c>
      <c r="AC11" s="35" t="s">
        <v>134</v>
      </c>
      <c r="AD11" s="67">
        <f>SUM(AD8:AD10)</f>
        <v>54762</v>
      </c>
      <c r="AE11" s="67"/>
      <c r="AF11" s="67">
        <f t="shared" ref="AF11:AJ11" si="26">SUM(AF8:AF10)</f>
        <v>64487.490565315267</v>
      </c>
      <c r="AG11" s="67">
        <f t="shared" si="26"/>
        <v>76894.06869236668</v>
      </c>
      <c r="AH11" s="67">
        <f t="shared" si="26"/>
        <v>91687.72746994991</v>
      </c>
      <c r="AI11" s="67">
        <f t="shared" si="26"/>
        <v>109327.79676138051</v>
      </c>
      <c r="AJ11" s="67">
        <f t="shared" si="26"/>
        <v>130362.00172607797</v>
      </c>
      <c r="AL11" s="35" t="s">
        <v>134</v>
      </c>
      <c r="AM11" s="67">
        <f>SUM(AM8:AM10)</f>
        <v>14376.16</v>
      </c>
      <c r="AN11" s="67"/>
      <c r="AO11" s="67">
        <f t="shared" ref="AO11:AR11" si="27">SUM(AO8:AO10)</f>
        <v>18863.832552750966</v>
      </c>
      <c r="AP11" s="67">
        <f t="shared" si="27"/>
        <v>24550.932590926735</v>
      </c>
      <c r="AQ11" s="67">
        <f t="shared" si="27"/>
        <v>31963.543588461303</v>
      </c>
      <c r="AR11" s="67">
        <f t="shared" si="27"/>
        <v>41625.921820226125</v>
      </c>
      <c r="AS11" s="67">
        <f>SUM(AS8:AS10)</f>
        <v>54221.653977417271</v>
      </c>
      <c r="AU11" s="77" t="s">
        <v>134</v>
      </c>
      <c r="AV11" s="33">
        <f>AV8+AV9+AV10</f>
        <v>15296.579</v>
      </c>
      <c r="AW11" s="33"/>
      <c r="AX11" s="33">
        <f t="shared" ref="AX11:BC11" si="28">AX8+AX9+AX10</f>
        <v>19252.150033793208</v>
      </c>
      <c r="AY11" s="33">
        <f t="shared" si="28"/>
        <v>23278.54145067553</v>
      </c>
      <c r="AZ11" s="33">
        <f t="shared" si="28"/>
        <v>28147.022730835943</v>
      </c>
      <c r="BA11" s="33">
        <f t="shared" si="28"/>
        <v>34033.713131971541</v>
      </c>
      <c r="BB11" s="33">
        <f t="shared" si="28"/>
        <v>41151.566980905154</v>
      </c>
      <c r="BC11" s="33">
        <f t="shared" si="28"/>
        <v>49758.077786830778</v>
      </c>
    </row>
    <row r="12" spans="1:55" x14ac:dyDescent="0.3">
      <c r="A12" s="77" t="s">
        <v>527</v>
      </c>
      <c r="B12" s="33">
        <f>B6-B11</f>
        <v>3494.5799999999945</v>
      </c>
      <c r="C12" s="33">
        <f t="shared" ref="C12:H12" si="29">C6-C11</f>
        <v>0</v>
      </c>
      <c r="D12" s="33">
        <f t="shared" si="29"/>
        <v>4698.0779946607363</v>
      </c>
      <c r="E12" s="33">
        <f t="shared" si="29"/>
        <v>5412.4404044864787</v>
      </c>
      <c r="F12" s="33">
        <f t="shared" si="29"/>
        <v>6235.1235695057985</v>
      </c>
      <c r="G12" s="33">
        <f t="shared" si="29"/>
        <v>7182.4996921241109</v>
      </c>
      <c r="H12" s="33">
        <f t="shared" si="29"/>
        <v>8273.4063064677757</v>
      </c>
      <c r="J12" s="77" t="s">
        <v>527</v>
      </c>
      <c r="K12" s="33">
        <f>K6-K11</f>
        <v>15474</v>
      </c>
      <c r="L12" s="33"/>
      <c r="M12" s="33">
        <f t="shared" ref="M12:R12" si="30">M6-M11</f>
        <v>16382.397675965993</v>
      </c>
      <c r="N12" s="33">
        <f t="shared" si="30"/>
        <v>17741.327596635922</v>
      </c>
      <c r="O12" s="33">
        <f t="shared" si="30"/>
        <v>19210.801248865064</v>
      </c>
      <c r="P12" s="33">
        <f t="shared" si="30"/>
        <v>20799.659361527716</v>
      </c>
      <c r="Q12" s="33">
        <f t="shared" si="30"/>
        <v>22517.439202539186</v>
      </c>
      <c r="R12" s="33">
        <f t="shared" si="30"/>
        <v>24374.428719344287</v>
      </c>
      <c r="T12" s="174" t="s">
        <v>527</v>
      </c>
      <c r="U12" s="175">
        <f>U6-U11</f>
        <v>28507.9</v>
      </c>
      <c r="V12" s="175"/>
      <c r="W12" s="175">
        <f t="shared" ref="W12:AA12" si="31">W6-W11</f>
        <v>32462.980124804235</v>
      </c>
      <c r="X12" s="175">
        <f t="shared" si="31"/>
        <v>34987.918486668495</v>
      </c>
      <c r="Y12" s="175">
        <f t="shared" si="31"/>
        <v>37715.511227468363</v>
      </c>
      <c r="Z12" s="175">
        <f t="shared" si="31"/>
        <v>40661.995051370046</v>
      </c>
      <c r="AA12" s="175">
        <f t="shared" si="31"/>
        <v>43844.907676260322</v>
      </c>
      <c r="AC12" s="35" t="s">
        <v>527</v>
      </c>
      <c r="AD12" s="67">
        <f>AD6-AD11</f>
        <v>6180</v>
      </c>
      <c r="AE12" s="67"/>
      <c r="AF12" s="67">
        <f t="shared" ref="AF12:AJ12" si="32">AF6-AF11</f>
        <v>8178.8148603041191</v>
      </c>
      <c r="AG12" s="67">
        <f t="shared" si="32"/>
        <v>9752.3154673447716</v>
      </c>
      <c r="AH12" s="67">
        <f t="shared" si="32"/>
        <v>11628.564569111535</v>
      </c>
      <c r="AI12" s="67">
        <f t="shared" si="32"/>
        <v>13865.818020793318</v>
      </c>
      <c r="AJ12" s="67">
        <f t="shared" si="32"/>
        <v>16533.542669897244</v>
      </c>
      <c r="AL12" s="35" t="s">
        <v>527</v>
      </c>
      <c r="AM12" s="67">
        <f>AM6-AM11</f>
        <v>2977.010000000002</v>
      </c>
      <c r="AN12" s="67"/>
      <c r="AO12" s="67">
        <f t="shared" ref="AO12:AS12" si="33">AO6-AO11</f>
        <v>3711.563892849008</v>
      </c>
      <c r="AP12" s="67">
        <f t="shared" si="33"/>
        <v>4830.5324321257831</v>
      </c>
      <c r="AQ12" s="67">
        <f t="shared" si="33"/>
        <v>6289.0048423981352</v>
      </c>
      <c r="AR12" s="67">
        <f t="shared" si="33"/>
        <v>8190.131459366472</v>
      </c>
      <c r="AS12" s="67">
        <f t="shared" si="33"/>
        <v>10668.411763641656</v>
      </c>
      <c r="AU12" s="77" t="s">
        <v>527</v>
      </c>
      <c r="AV12" s="33">
        <f>AV6-AV11</f>
        <v>5306.0170000000016</v>
      </c>
      <c r="AW12" s="33"/>
      <c r="AX12" s="33">
        <f t="shared" ref="AX12:BC12" si="34">AX6-AX11</f>
        <v>5659.2597321086614</v>
      </c>
      <c r="AY12" s="33">
        <f t="shared" si="34"/>
        <v>6842.8363597202879</v>
      </c>
      <c r="AZ12" s="33">
        <f t="shared" si="34"/>
        <v>8273.9492492923491</v>
      </c>
      <c r="BA12" s="33">
        <f t="shared" si="34"/>
        <v>10004.369482048736</v>
      </c>
      <c r="BB12" s="33">
        <f t="shared" si="34"/>
        <v>12096.695980418946</v>
      </c>
      <c r="BC12" s="33">
        <f t="shared" si="34"/>
        <v>14626.620168233756</v>
      </c>
    </row>
    <row r="13" spans="1:55" x14ac:dyDescent="0.3">
      <c r="A13" s="63" t="s">
        <v>396</v>
      </c>
      <c r="B13" s="32">
        <f>'Balance Sheet Forecast'!G41</f>
        <v>869.52</v>
      </c>
      <c r="C13" s="96">
        <f>'Balance Sheet Forecast'!B44</f>
        <v>6.5929374942701152E-2</v>
      </c>
      <c r="D13" s="32">
        <f>'Balance Sheet Forecast'!G42*'Balance Sheet Forecast'!B44</f>
        <v>946.07532243402125</v>
      </c>
      <c r="E13" s="32">
        <f>'Balance Sheet Forecast'!D5*'Balance Sheet Forecast'!B44</f>
        <v>1180.0471995907992</v>
      </c>
      <c r="F13" s="32">
        <f>'Balance Sheet Forecast'!E5*'Balance Sheet Forecast'!$B$44</f>
        <v>1444.8141725865971</v>
      </c>
      <c r="G13" s="32">
        <f>'Balance Sheet Forecast'!F5*'Balance Sheet Forecast'!$B$44</f>
        <v>1745.5553636342438</v>
      </c>
      <c r="H13" s="32">
        <f>'Balance Sheet Forecast'!G5*'Balance Sheet Forecast'!$B$44</f>
        <v>2088.2330079828062</v>
      </c>
      <c r="J13" s="63" t="s">
        <v>396</v>
      </c>
      <c r="K13" s="32">
        <f>HUL_IS[[#This Row],[2024]]</f>
        <v>1216</v>
      </c>
      <c r="L13" s="141">
        <f>'Balance Sheet Forecast'!R42</f>
        <v>0.19393309084719607</v>
      </c>
      <c r="M13" s="32">
        <f>'Balance Sheet'!N5*L13</f>
        <v>1557.4766525938317</v>
      </c>
      <c r="N13" s="32">
        <f>'Balance Sheet Forecast'!M5*Table28[[#This Row],[Growth/Average]]</f>
        <v>1523.7387207318025</v>
      </c>
      <c r="O13" s="32">
        <f>'Balance Sheet Forecast'!N5*Table28[[#This Row],[Growth/Average]]</f>
        <v>1516.9417293442543</v>
      </c>
      <c r="P13" s="32">
        <f>'Balance Sheet Forecast'!O5*Table28[[#This Row],[Growth/Average]]</f>
        <v>1533.4155319936758</v>
      </c>
      <c r="Q13" s="32">
        <f>'Balance Sheet Forecast'!P5*Table28[[#This Row],[Growth/Average]]</f>
        <v>1570.3203890243035</v>
      </c>
      <c r="R13" s="131">
        <f>'Balance Sheet Forecast'!Q5*Table28[[#This Row],[Growth/Average]]</f>
        <v>1625.4949858899449</v>
      </c>
      <c r="T13" s="172" t="s">
        <v>396</v>
      </c>
      <c r="U13" s="173">
        <f>'Income Statement'!V14</f>
        <v>1646.32</v>
      </c>
      <c r="V13" s="179">
        <f>'Balance Sheet Forecast'!AA44</f>
        <v>8.3553388988579211E-2</v>
      </c>
      <c r="W13" s="173">
        <f>'Balance Sheet Forecast'!Z43*'Income Statement Forecast'!$V$13</f>
        <v>1456.2428258091584</v>
      </c>
      <c r="X13" s="173">
        <f>'Balance Sheet Forecast'!W5*'Income Statement Forecast'!$V$13</f>
        <v>1610.6109824824898</v>
      </c>
      <c r="Y13" s="173">
        <f>'Balance Sheet Forecast'!X5*'Income Statement Forecast'!$V$13</f>
        <v>1773.5514431909776</v>
      </c>
      <c r="Z13" s="173">
        <f>'Balance Sheet Forecast'!Y5*'Income Statement Forecast'!$V$13</f>
        <v>1946.0711921201575</v>
      </c>
      <c r="AA13" s="173">
        <f>'Balance Sheet Forecast'!Z5*'Income Statement Forecast'!$V$13</f>
        <v>2129.2311419412295</v>
      </c>
      <c r="AC13" s="34" t="s">
        <v>396</v>
      </c>
      <c r="AD13" s="66">
        <f>Titan_IS[[#This Row],[2025]]</f>
        <v>693</v>
      </c>
      <c r="AE13" s="96">
        <f>'Balance Sheet Forecast'!AJ44</f>
        <v>0.32419317918687968</v>
      </c>
      <c r="AF13" s="66">
        <f>'Balance Sheet Forecast'!AD5*'Income Statement Forecast'!AE13</f>
        <v>601.05415421247494</v>
      </c>
      <c r="AG13" s="66">
        <f>'Balance Sheet Forecast'!AF5*Table42[[#This Row],[Growth]]</f>
        <v>654.35801434316136</v>
      </c>
      <c r="AH13" s="66">
        <f>'Balance Sheet Forecast'!AG5*Table42[[#This Row],[Growth]]</f>
        <v>738.12426599906701</v>
      </c>
      <c r="AI13" s="66">
        <f>'Balance Sheet Forecast'!AH5*Table42[[#This Row],[Growth]]</f>
        <v>851.66320137163598</v>
      </c>
      <c r="AJ13" s="68">
        <f>'Balance Sheet Forecast'!AI5*Table42[[#This Row],[Growth]]</f>
        <v>996.27630978469779</v>
      </c>
      <c r="AL13" s="34" t="s">
        <v>396</v>
      </c>
      <c r="AM13" s="66">
        <f>'Balance Sheet Forecast'!AR42</f>
        <v>895.18</v>
      </c>
      <c r="AN13" s="141">
        <f>'Balance Sheet Forecast'!AS44</f>
        <v>0.46552255473827825</v>
      </c>
      <c r="AO13" s="66">
        <f>'Balance Sheet Forecast'!AM5*'Income Statement Forecast'!$AN$13</f>
        <v>962.81236861189655</v>
      </c>
      <c r="AP13" s="66">
        <f>'Balance Sheet Forecast'!AO5*'Income Statement Forecast'!$AN$13</f>
        <v>1095.9420950175584</v>
      </c>
      <c r="AQ13" s="66">
        <f>'Balance Sheet Forecast'!AP5*'Income Statement Forecast'!$AN$13</f>
        <v>1342.360475165156</v>
      </c>
      <c r="AR13" s="66">
        <f>'Balance Sheet Forecast'!AQ5*'Income Statement Forecast'!$AN$13</f>
        <v>1702.5054256929541</v>
      </c>
      <c r="AS13" s="68">
        <f>'Balance Sheet Forecast'!AR5*'Income Statement Forecast'!$AN$13</f>
        <v>2192.7673943204195</v>
      </c>
      <c r="AU13" s="63" t="s">
        <v>396</v>
      </c>
      <c r="AV13" s="32">
        <f>'Income Statement'!AS14</f>
        <v>947.38599999999997</v>
      </c>
      <c r="AW13" s="141">
        <f>'Balance Sheet Forecast'!BB44</f>
        <v>9.9295756271058216E-2</v>
      </c>
      <c r="AX13" s="32">
        <f>'Balance Sheet Forecast'!AV5*'Income Statement Forecast'!AW13</f>
        <v>1054.7742350728856</v>
      </c>
      <c r="AY13" s="32">
        <f>'Balance Sheet Forecast'!AX5*'Income Statement Forecast'!AW13</f>
        <v>1293.3416260670101</v>
      </c>
      <c r="AZ13" s="32">
        <f>'Balance Sheet Forecast'!AY5*'Income Statement Forecast'!AW13</f>
        <v>1580.0184092732616</v>
      </c>
      <c r="BA13" s="32">
        <f>'Balance Sheet Forecast'!AZ5*'Income Statement Forecast'!AW13</f>
        <v>1925.0435701654269</v>
      </c>
      <c r="BB13" s="32">
        <f>'Balance Sheet Forecast'!BA5*'Income Statement Forecast'!AW13</f>
        <v>2340.7799435802635</v>
      </c>
      <c r="BC13" s="131">
        <f>'Balance Sheet Forecast'!BB5*'Income Statement Forecast'!AW13</f>
        <v>2842.1601629585134</v>
      </c>
    </row>
    <row r="14" spans="1:55" x14ac:dyDescent="0.3">
      <c r="A14" s="77" t="s">
        <v>528</v>
      </c>
      <c r="B14" s="33">
        <f>B12-B13</f>
        <v>2625.0599999999945</v>
      </c>
      <c r="C14" s="33">
        <f t="shared" ref="C14:H14" si="35">C12-C13</f>
        <v>-6.5929374942701152E-2</v>
      </c>
      <c r="D14" s="33">
        <f t="shared" si="35"/>
        <v>3752.0026722267148</v>
      </c>
      <c r="E14" s="33">
        <f t="shared" si="35"/>
        <v>4232.3932048956794</v>
      </c>
      <c r="F14" s="33">
        <f t="shared" si="35"/>
        <v>4790.3093969192014</v>
      </c>
      <c r="G14" s="33">
        <f t="shared" si="35"/>
        <v>5436.9443284898671</v>
      </c>
      <c r="H14" s="33">
        <f t="shared" si="35"/>
        <v>6185.1732984849696</v>
      </c>
      <c r="J14" s="77" t="s">
        <v>528</v>
      </c>
      <c r="K14" s="33">
        <f>K12-K13</f>
        <v>14258</v>
      </c>
      <c r="L14" s="33"/>
      <c r="M14" s="33">
        <f t="shared" ref="M14:R14" si="36">M12-M13</f>
        <v>14824.921023372161</v>
      </c>
      <c r="N14" s="33">
        <f t="shared" si="36"/>
        <v>16217.588875904119</v>
      </c>
      <c r="O14" s="33">
        <f t="shared" si="36"/>
        <v>17693.859519520811</v>
      </c>
      <c r="P14" s="33">
        <f t="shared" si="36"/>
        <v>19266.24382953404</v>
      </c>
      <c r="Q14" s="33">
        <f t="shared" si="36"/>
        <v>20947.118813514884</v>
      </c>
      <c r="R14" s="33">
        <f t="shared" si="36"/>
        <v>22748.933733454342</v>
      </c>
      <c r="T14" s="174" t="s">
        <v>528</v>
      </c>
      <c r="U14" s="175">
        <f>U12-U13</f>
        <v>26861.58</v>
      </c>
      <c r="V14" s="175"/>
      <c r="W14" s="175">
        <f t="shared" ref="W14:AA14" si="37">W12-W13</f>
        <v>31006.737298995078</v>
      </c>
      <c r="X14" s="175">
        <f t="shared" si="37"/>
        <v>33377.307504186007</v>
      </c>
      <c r="Y14" s="175">
        <f t="shared" si="37"/>
        <v>35941.959784277387</v>
      </c>
      <c r="Z14" s="175">
        <f t="shared" si="37"/>
        <v>38715.923859249888</v>
      </c>
      <c r="AA14" s="175">
        <f t="shared" si="37"/>
        <v>41715.676534319093</v>
      </c>
      <c r="AC14" s="35" t="s">
        <v>528</v>
      </c>
      <c r="AD14" s="67">
        <f>AD12-AD13</f>
        <v>5487</v>
      </c>
      <c r="AE14" s="67"/>
      <c r="AF14" s="67">
        <f t="shared" ref="AF14:AJ14" si="38">AF12-AF13</f>
        <v>7577.7607060916444</v>
      </c>
      <c r="AG14" s="67">
        <f t="shared" si="38"/>
        <v>9097.9574530016107</v>
      </c>
      <c r="AH14" s="67">
        <f t="shared" si="38"/>
        <v>10890.440303112468</v>
      </c>
      <c r="AI14" s="67">
        <f t="shared" si="38"/>
        <v>13014.154819421683</v>
      </c>
      <c r="AJ14" s="67">
        <f t="shared" si="38"/>
        <v>15537.266360112546</v>
      </c>
      <c r="AL14" s="35" t="s">
        <v>528</v>
      </c>
      <c r="AM14" s="67">
        <f>AM12-AM13</f>
        <v>2081.8300000000022</v>
      </c>
      <c r="AN14" s="67"/>
      <c r="AO14" s="67">
        <f t="shared" ref="AO14:AS14" si="39">AO12-AO13</f>
        <v>2748.7515242371114</v>
      </c>
      <c r="AP14" s="67">
        <f t="shared" si="39"/>
        <v>3734.590337108225</v>
      </c>
      <c r="AQ14" s="67">
        <f t="shared" si="39"/>
        <v>4946.6443672329788</v>
      </c>
      <c r="AR14" s="67">
        <f t="shared" si="39"/>
        <v>6487.6260336735177</v>
      </c>
      <c r="AS14" s="67">
        <f t="shared" si="39"/>
        <v>8475.6443693212368</v>
      </c>
      <c r="AU14" s="77" t="s">
        <v>528</v>
      </c>
      <c r="AV14" s="33">
        <f>AV12-AV13</f>
        <v>4358.6310000000012</v>
      </c>
      <c r="AW14" s="33"/>
      <c r="AX14" s="33">
        <f t="shared" ref="AX14:BC14" si="40">AX12-AX13</f>
        <v>4604.4854970357756</v>
      </c>
      <c r="AY14" s="33">
        <f t="shared" si="40"/>
        <v>5549.4947336532778</v>
      </c>
      <c r="AZ14" s="33">
        <f t="shared" si="40"/>
        <v>6693.9308400190876</v>
      </c>
      <c r="BA14" s="33">
        <f t="shared" si="40"/>
        <v>8079.3259118833093</v>
      </c>
      <c r="BB14" s="33">
        <f t="shared" si="40"/>
        <v>9755.9160368386838</v>
      </c>
      <c r="BC14" s="33">
        <f t="shared" si="40"/>
        <v>11784.460005275243</v>
      </c>
    </row>
    <row r="15" spans="1:55" x14ac:dyDescent="0.3">
      <c r="A15" s="63" t="s">
        <v>178</v>
      </c>
      <c r="B15" s="32">
        <f>'Income Statement'!G11</f>
        <v>69.45</v>
      </c>
      <c r="C15" s="96">
        <f>AVERAGE('Income Statement'!B11:G11)/(AVERAGE('Balance Sheet'!B40:G40)+AVERAGE('Balance Sheet'!B48:G48))</f>
        <v>0.10606601433093304</v>
      </c>
      <c r="D15" s="32">
        <f>('Balance Sheet Forecast'!D24+'Balance Sheet Forecast'!D29)*$C$15</f>
        <v>210.85924790432756</v>
      </c>
      <c r="E15" s="32">
        <f>('Balance Sheet Forecast'!E24+'Balance Sheet Forecast'!E29)*$C$15</f>
        <v>244.43965393277753</v>
      </c>
      <c r="F15" s="32">
        <f>('Balance Sheet Forecast'!F24+'Balance Sheet Forecast'!F29)*$C$15</f>
        <v>283.37282816484253</v>
      </c>
      <c r="G15" s="32">
        <f>('Balance Sheet Forecast'!G24+'Balance Sheet Forecast'!G29)*$C$15</f>
        <v>328.51280138975318</v>
      </c>
      <c r="H15" s="32">
        <f>('Balance Sheet Forecast'!H24+'Balance Sheet Forecast'!H29)*$C$15</f>
        <v>380.84999195296535</v>
      </c>
      <c r="J15" s="63" t="s">
        <v>178</v>
      </c>
      <c r="K15" s="32">
        <f>'Income Statement'!N12</f>
        <v>334</v>
      </c>
      <c r="L15" s="151">
        <f>AVERAGE('Income Statement'!J12:N12)/(AVERAGE('Balance Sheet'!L38:N38)+AVERAGE('Balance Sheet'!J45:N45)+AVERAGE('Balance Sheet'!L46:N46))</f>
        <v>0.13185894936215253</v>
      </c>
      <c r="M15" s="32">
        <f>('Balance Sheet Forecast'!M25+'Balance Sheet Forecast'!M30+'Balance Sheet Forecast'!M31)*'Income Statement Forecast'!$L$15</f>
        <v>221.83640166094727</v>
      </c>
      <c r="N15" s="32">
        <f>('Balance Sheet Forecast'!N25+'Balance Sheet Forecast'!N30+'Balance Sheet Forecast'!N31)*'Income Statement Forecast'!$L$15</f>
        <v>251.62337763543471</v>
      </c>
      <c r="O15" s="32">
        <f>('Balance Sheet Forecast'!O25+'Balance Sheet Forecast'!O30+'Balance Sheet Forecast'!O31)*'Income Statement Forecast'!$L$15</f>
        <v>285.55375125012318</v>
      </c>
      <c r="P15" s="32">
        <f>('Balance Sheet Forecast'!P25+'Balance Sheet Forecast'!P30+'Balance Sheet Forecast'!P31)*'Income Statement Forecast'!$L$15</f>
        <v>324.21557596463941</v>
      </c>
      <c r="Q15" s="32">
        <f>('Balance Sheet Forecast'!Q25+'Balance Sheet Forecast'!Q30+'Balance Sheet Forecast'!Q31)*'Income Statement Forecast'!$L$15</f>
        <v>368.28154800797824</v>
      </c>
      <c r="R15" s="32">
        <f>('Balance Sheet Forecast'!R25+'Balance Sheet Forecast'!R30+'Balance Sheet Forecast'!R31)*'Income Statement Forecast'!$L$15</f>
        <v>418.52130683477753</v>
      </c>
      <c r="T15" s="172" t="s">
        <v>178</v>
      </c>
      <c r="U15" s="173">
        <f>'Income Statement'!V13</f>
        <v>45.06</v>
      </c>
      <c r="V15" s="178">
        <f>(AVERAGE('Income Statement'!Q13:V13))/(AVERAGE('Balance Sheet'!Q44:V44)+AVERAGE('Balance Sheet'!Q55:V55))</f>
        <v>0.17437393470565099</v>
      </c>
      <c r="W15" s="173">
        <f>('Balance Sheet Forecast'!W25+'Balance Sheet Forecast'!W30)*'Income Statement Forecast'!$V$15</f>
        <v>57.968330989096366</v>
      </c>
      <c r="X15" s="173">
        <f>('Balance Sheet Forecast'!X25+'Balance Sheet Forecast'!X30)*'Income Statement Forecast'!$V$15</f>
        <v>62.47705021711878</v>
      </c>
      <c r="Y15" s="173">
        <f>('Balance Sheet Forecast'!Y25+'Balance Sheet Forecast'!Y30)*'Income Statement Forecast'!$V$15</f>
        <v>67.347644296721853</v>
      </c>
      <c r="Z15" s="173">
        <f>('Balance Sheet Forecast'!Z25+'Balance Sheet Forecast'!Z30)*'Income Statement Forecast'!$V$15</f>
        <v>72.609106704094756</v>
      </c>
      <c r="AA15" s="173">
        <f>('Balance Sheet Forecast'!AA25+'Balance Sheet Forecast'!AA30)*'Income Statement Forecast'!$V$15</f>
        <v>78.292754103060275</v>
      </c>
      <c r="AC15" s="34" t="s">
        <v>178</v>
      </c>
      <c r="AD15" s="66">
        <f>'Income Statement'!AD12</f>
        <v>953</v>
      </c>
      <c r="AE15" s="96">
        <f>AVERAGE('Income Statement'!Y12:AD12)/(AVERAGE('Balance Sheet'!Y49:AD49)+AVERAGE('Balance Sheet'!Y40:AD40))</f>
        <v>0.11318757192174914</v>
      </c>
      <c r="AF15" s="66">
        <f>('Balance Sheet Forecast'!AF25+'Balance Sheet Forecast'!AF32)*$AE$15</f>
        <v>594.68703956441004</v>
      </c>
      <c r="AG15" s="66">
        <f>('Balance Sheet Forecast'!AG25+'Balance Sheet Forecast'!AG32)*$AE$15</f>
        <v>709.09730972414013</v>
      </c>
      <c r="AH15" s="66">
        <f>('Balance Sheet Forecast'!AH25+'Balance Sheet Forecast'!AH32)*$AE$15</f>
        <v>845.52062323261805</v>
      </c>
      <c r="AI15" s="66">
        <f>('Balance Sheet Forecast'!AI25+'Balance Sheet Forecast'!AI32)*$AE$15</f>
        <v>1008.192801862471</v>
      </c>
      <c r="AJ15" s="66">
        <f>('Balance Sheet Forecast'!AJ25+'Balance Sheet Forecast'!AJ32)*$AE$15</f>
        <v>1202.1648260549398</v>
      </c>
      <c r="AL15" s="34" t="s">
        <v>178</v>
      </c>
      <c r="AM15" s="66">
        <f>'Income Statement'!AL11</f>
        <v>138.59</v>
      </c>
      <c r="AN15" s="141">
        <f>AVERAGE('Income Statement'!AG11:AL11)/(AVERAGE('Balance Sheet'!AG42:AL42)+AVERAGE('Balance Sheet'!AG43:AL43)+AVERAGE('Balance Sheet'!AG51:AL51))</f>
        <v>8.8863993442175021E-2</v>
      </c>
      <c r="AO15" s="66">
        <f>('Balance Sheet Forecast'!AO25+'Balance Sheet Forecast'!AO26+'Balance Sheet Forecast'!AO31)*'Income Statement Forecast'!$AN$15</f>
        <v>739.76480906273196</v>
      </c>
      <c r="AP15" s="66">
        <f>('Balance Sheet Forecast'!AP25+'Balance Sheet Forecast'!AP26+'Balance Sheet Forecast'!AP31)*'Income Statement Forecast'!$AN$15</f>
        <v>962.79035077579283</v>
      </c>
      <c r="AQ15" s="66">
        <f>('Balance Sheet Forecast'!AQ25+'Balance Sheet Forecast'!AQ26+'Balance Sheet Forecast'!AQ31)*'Income Statement Forecast'!$AN$15</f>
        <v>1253.4835990281358</v>
      </c>
      <c r="AR15" s="66">
        <f>('Balance Sheet Forecast'!AR25+'Balance Sheet Forecast'!AR26+'Balance Sheet Forecast'!AR31)*'Income Statement Forecast'!$AN$15</f>
        <v>1632.4038087853521</v>
      </c>
      <c r="AS15" s="66">
        <f>('Balance Sheet Forecast'!AS25+'Balance Sheet Forecast'!AS26+'Balance Sheet Forecast'!AS31)*'Income Statement Forecast'!$AN$15</f>
        <v>2126.3585429685168</v>
      </c>
      <c r="AU15" s="63" t="s">
        <v>178</v>
      </c>
      <c r="AV15" s="32">
        <f>'Income Statement'!AS13</f>
        <v>450.38600000000002</v>
      </c>
      <c r="AW15" s="151">
        <f>AVERAGE('Income Statement'!AO13:AS13)/(AVERAGE('Balance Sheet Forecast'!AV67:AZ67)+AVERAGE('Balance Sheet Forecast'!AV70:AZ70))</f>
        <v>7.926564646706466E-2</v>
      </c>
      <c r="AX15" s="32">
        <f>('Balance Sheet Forecast'!AX26+'Balance Sheet Forecast'!AX33)*'Income Statement Forecast'!$AW$15</f>
        <v>297.45457224327225</v>
      </c>
      <c r="AY15" s="32">
        <f>('Balance Sheet Forecast'!AY26+'Balance Sheet Forecast'!AY33)*'Income Statement Forecast'!$AW$15</f>
        <v>359.66417140442837</v>
      </c>
      <c r="AZ15" s="32">
        <f>('Balance Sheet Forecast'!AZ26+'Balance Sheet Forecast'!AZ33)*'Income Statement Forecast'!$AW$15</f>
        <v>434.88444623724229</v>
      </c>
      <c r="BA15" s="32">
        <f>('Balance Sheet Forecast'!BA26+'Balance Sheet Forecast'!BA33)*'Income Statement Forecast'!$AW$15</f>
        <v>525.83652027182052</v>
      </c>
      <c r="BB15" s="32">
        <f>('Balance Sheet Forecast'!BB26+'Balance Sheet Forecast'!BB33)*'Income Statement Forecast'!$AW$15</f>
        <v>635.81063579701106</v>
      </c>
      <c r="BC15" s="32">
        <f>('Balance Sheet Forecast'!BC26+'Balance Sheet Forecast'!BC33)*'Income Statement Forecast'!$AW$15</f>
        <v>768.78518595323112</v>
      </c>
    </row>
    <row r="16" spans="1:55" x14ac:dyDescent="0.3">
      <c r="A16" s="77" t="s">
        <v>568</v>
      </c>
      <c r="B16" s="33">
        <f>B14-B15</f>
        <v>2555.6099999999947</v>
      </c>
      <c r="C16" s="33"/>
      <c r="D16" s="33">
        <f t="shared" ref="D16:H16" si="41">D14-D15</f>
        <v>3541.1434243223871</v>
      </c>
      <c r="E16" s="33">
        <f t="shared" si="41"/>
        <v>3987.9535509629018</v>
      </c>
      <c r="F16" s="33">
        <f t="shared" si="41"/>
        <v>4506.9365687543586</v>
      </c>
      <c r="G16" s="33">
        <f t="shared" si="41"/>
        <v>5108.4315271001142</v>
      </c>
      <c r="H16" s="33">
        <f t="shared" si="41"/>
        <v>5804.3233065320046</v>
      </c>
      <c r="J16" s="77" t="s">
        <v>568</v>
      </c>
      <c r="K16" s="33">
        <f>K14-K15</f>
        <v>13924</v>
      </c>
      <c r="L16" s="33"/>
      <c r="M16" s="33">
        <f t="shared" ref="M16:R16" si="42">M14-M15</f>
        <v>14603.084621711214</v>
      </c>
      <c r="N16" s="33">
        <f t="shared" si="42"/>
        <v>15965.965498268684</v>
      </c>
      <c r="O16" s="33">
        <f t="shared" si="42"/>
        <v>17408.305768270689</v>
      </c>
      <c r="P16" s="33">
        <f t="shared" si="42"/>
        <v>18942.028253569399</v>
      </c>
      <c r="Q16" s="33">
        <f t="shared" si="42"/>
        <v>20578.837265506907</v>
      </c>
      <c r="R16" s="33">
        <f t="shared" si="42"/>
        <v>22330.412426619565</v>
      </c>
      <c r="T16" s="174" t="s">
        <v>568</v>
      </c>
      <c r="U16" s="175">
        <f>U14-U15</f>
        <v>26816.52</v>
      </c>
      <c r="V16" s="175"/>
      <c r="W16" s="175">
        <f t="shared" ref="W16:AA16" si="43">W14-W15</f>
        <v>30948.768968005981</v>
      </c>
      <c r="X16" s="175">
        <f t="shared" si="43"/>
        <v>33314.830453968891</v>
      </c>
      <c r="Y16" s="175">
        <f t="shared" si="43"/>
        <v>35874.612139980665</v>
      </c>
      <c r="Z16" s="175">
        <f t="shared" si="43"/>
        <v>38643.31475254579</v>
      </c>
      <c r="AA16" s="175">
        <f t="shared" si="43"/>
        <v>41637.383780216034</v>
      </c>
      <c r="AC16" s="35" t="s">
        <v>568</v>
      </c>
      <c r="AD16" s="67">
        <f>AD14-AD15</f>
        <v>4534</v>
      </c>
      <c r="AE16" s="67"/>
      <c r="AF16" s="67">
        <f t="shared" ref="AF16:AJ16" si="44">AF14-AF15</f>
        <v>6983.0736665272343</v>
      </c>
      <c r="AG16" s="67">
        <f t="shared" si="44"/>
        <v>8388.8601432774703</v>
      </c>
      <c r="AH16" s="67">
        <f t="shared" si="44"/>
        <v>10044.919679879849</v>
      </c>
      <c r="AI16" s="67">
        <f t="shared" si="44"/>
        <v>12005.962017559212</v>
      </c>
      <c r="AJ16" s="67">
        <f t="shared" si="44"/>
        <v>14335.101534057607</v>
      </c>
      <c r="AL16" s="35" t="s">
        <v>568</v>
      </c>
      <c r="AM16" s="67">
        <f>AM14-AM15</f>
        <v>1943.2400000000023</v>
      </c>
      <c r="AN16" s="67"/>
      <c r="AO16" s="67">
        <f t="shared" ref="AO16:AS16" si="45">AO14-AO15</f>
        <v>2008.9867151743795</v>
      </c>
      <c r="AP16" s="67">
        <f t="shared" si="45"/>
        <v>2771.7999863324321</v>
      </c>
      <c r="AQ16" s="67">
        <f t="shared" si="45"/>
        <v>3693.160768204843</v>
      </c>
      <c r="AR16" s="67">
        <f t="shared" si="45"/>
        <v>4855.2222248881653</v>
      </c>
      <c r="AS16" s="67">
        <f t="shared" si="45"/>
        <v>6349.2858263527196</v>
      </c>
      <c r="AU16" s="77" t="s">
        <v>568</v>
      </c>
      <c r="AV16" s="33">
        <f>AV14-AV15</f>
        <v>3908.2450000000013</v>
      </c>
      <c r="AW16" s="33"/>
      <c r="AX16" s="33">
        <f t="shared" ref="AX16:BC16" si="46">AX14-AX15</f>
        <v>4307.0309247925034</v>
      </c>
      <c r="AY16" s="33">
        <f t="shared" si="46"/>
        <v>5189.8305622488497</v>
      </c>
      <c r="AZ16" s="33">
        <f t="shared" si="46"/>
        <v>6259.0463937818449</v>
      </c>
      <c r="BA16" s="33">
        <f t="shared" si="46"/>
        <v>7553.4893916114888</v>
      </c>
      <c r="BB16" s="33">
        <f t="shared" si="46"/>
        <v>9120.1054010416719</v>
      </c>
      <c r="BC16" s="33">
        <f t="shared" si="46"/>
        <v>11015.674819322012</v>
      </c>
    </row>
    <row r="17" spans="1:55" x14ac:dyDescent="0.3">
      <c r="A17" s="63" t="s">
        <v>136</v>
      </c>
      <c r="B17" s="32">
        <f>'Income Statement'!G20</f>
        <v>965.22</v>
      </c>
      <c r="C17" s="96">
        <f>AVERAGE('Income Statement'!B20:G20)/AVERAGE('Income Statement'!B15:G15)</f>
        <v>0.25649681689065867</v>
      </c>
      <c r="D17" s="32">
        <f>D16*$C$17</f>
        <v>908.29201649197933</v>
      </c>
      <c r="E17" s="32">
        <f t="shared" ref="E17:H17" si="47">E16*$C$17</f>
        <v>1022.8973917297834</v>
      </c>
      <c r="F17" s="32">
        <f t="shared" si="47"/>
        <v>1156.0148838136001</v>
      </c>
      <c r="G17" s="32">
        <f t="shared" si="47"/>
        <v>1310.2964260050658</v>
      </c>
      <c r="H17" s="32">
        <f t="shared" si="47"/>
        <v>1488.790452329722</v>
      </c>
      <c r="J17" s="63" t="s">
        <v>136</v>
      </c>
      <c r="K17" s="32">
        <f>ABS('Income Statement'!N22)</f>
        <v>3644</v>
      </c>
      <c r="L17" s="96">
        <f>ABS(AVERAGE('Income Statement'!J22:N22)/AVERAGE('Income Statement'!J18:N18))</f>
        <v>0.25197291380275955</v>
      </c>
      <c r="M17" s="129">
        <f>M16*$L$17</f>
        <v>3679.5817826408434</v>
      </c>
      <c r="N17" s="129">
        <f t="shared" ref="N17:R17" si="48">N16*$L$17</f>
        <v>4022.990848273088</v>
      </c>
      <c r="O17" s="129">
        <f t="shared" si="48"/>
        <v>4386.4215288005526</v>
      </c>
      <c r="P17" s="129">
        <f t="shared" si="48"/>
        <v>4772.8780523860778</v>
      </c>
      <c r="Q17" s="129">
        <f t="shared" si="48"/>
        <v>5185.3095884625882</v>
      </c>
      <c r="R17" s="129">
        <f t="shared" si="48"/>
        <v>5626.659085552682</v>
      </c>
      <c r="T17" s="172" t="s">
        <v>136</v>
      </c>
      <c r="U17" s="173">
        <f>'Income Statement'!V24</f>
        <v>6890.4699999999993</v>
      </c>
      <c r="V17" s="179">
        <f>AVERAGE('Income Statement'!Q24:V24)/AVERAGE('Income Statement'!Q20:V20)</f>
        <v>0.24480892577355537</v>
      </c>
      <c r="W17" s="173">
        <f>W16*$V$17</f>
        <v>7576.53488507149</v>
      </c>
      <c r="X17" s="173">
        <f t="shared" ref="X17:AA17" si="49">X16*$V$17</f>
        <v>8155.7678557642521</v>
      </c>
      <c r="Y17" s="173">
        <f t="shared" si="49"/>
        <v>8782.4252605316142</v>
      </c>
      <c r="Z17" s="173">
        <f t="shared" si="49"/>
        <v>9460.2283729001192</v>
      </c>
      <c r="AA17" s="173">
        <f t="shared" si="49"/>
        <v>10193.203195255945</v>
      </c>
      <c r="AC17" s="34" t="s">
        <v>136</v>
      </c>
      <c r="AD17" s="66">
        <f>'Income Statement'!AD27</f>
        <v>1198</v>
      </c>
      <c r="AE17" s="96">
        <f>AVERAGE('Income Statement'!Y27:AD27)/AVERAGE('Income Statement'!Y22:AD22)</f>
        <v>0.25910321998194402</v>
      </c>
      <c r="AF17" s="66">
        <f>AF16*$AE$17</f>
        <v>1809.3368723683263</v>
      </c>
      <c r="AG17" s="66">
        <f t="shared" ref="AG17:AJ17" si="50">AG16*$AE$17</f>
        <v>2173.5806751013847</v>
      </c>
      <c r="AH17" s="66">
        <f t="shared" si="50"/>
        <v>2602.6710335168673</v>
      </c>
      <c r="AI17" s="66">
        <f t="shared" si="50"/>
        <v>3110.783417730509</v>
      </c>
      <c r="AJ17" s="66">
        <f t="shared" si="50"/>
        <v>3714.2709662424313</v>
      </c>
      <c r="AL17" s="34" t="s">
        <v>136</v>
      </c>
      <c r="AM17" s="66">
        <f>'Income Statement'!AL24</f>
        <v>495.33</v>
      </c>
      <c r="AN17" s="141">
        <f>AVERAGE('Income Statement'!AG24:AL24)/AVERAGE('Income Statement'!AG19:AL19)</f>
        <v>0.26433640430081184</v>
      </c>
      <c r="AO17" s="66">
        <f>AO16*$AN$17</f>
        <v>531.04832457729469</v>
      </c>
      <c r="AP17" s="66">
        <f t="shared" ref="AP17:AS17" si="51">AP16*$AN$17</f>
        <v>732.68764182815448</v>
      </c>
      <c r="AQ17" s="66">
        <f t="shared" si="51"/>
        <v>976.23683797209219</v>
      </c>
      <c r="AR17" s="66">
        <f t="shared" si="51"/>
        <v>1283.4119850083252</v>
      </c>
      <c r="AS17" s="66">
        <f t="shared" si="51"/>
        <v>1678.3473852161867</v>
      </c>
      <c r="AU17" s="63" t="s">
        <v>136</v>
      </c>
      <c r="AV17" s="32">
        <f>'Income Statement'!AS26</f>
        <v>798.80400000000009</v>
      </c>
      <c r="AW17" s="96">
        <f>AVERAGE('Income Statement'!AO26:AS26)/AVERAGE('Income Statement'!AO21:AS21)</f>
        <v>0.22745631427273563</v>
      </c>
      <c r="AX17" s="32">
        <f>AX16*$AW$17</f>
        <v>979.66137961199479</v>
      </c>
      <c r="AY17" s="32">
        <f t="shared" ref="AY17:BC17" si="52">AY16*$AW$17</f>
        <v>1180.4597313891227</v>
      </c>
      <c r="AZ17" s="32">
        <f t="shared" si="52"/>
        <v>1423.6596235916759</v>
      </c>
      <c r="BA17" s="32">
        <f t="shared" si="52"/>
        <v>1718.0888569141575</v>
      </c>
      <c r="BB17" s="32">
        <f t="shared" si="52"/>
        <v>2074.4255602998082</v>
      </c>
      <c r="BC17" s="32">
        <f t="shared" si="52"/>
        <v>2505.5847936299679</v>
      </c>
    </row>
    <row r="18" spans="1:55" x14ac:dyDescent="0.3">
      <c r="A18" s="77" t="s">
        <v>569</v>
      </c>
      <c r="B18" s="33">
        <f>B16-B17</f>
        <v>1590.3899999999946</v>
      </c>
      <c r="C18" s="33"/>
      <c r="D18" s="33">
        <f t="shared" ref="D18:H18" si="53">D16-D17</f>
        <v>2632.8514078304079</v>
      </c>
      <c r="E18" s="33">
        <f t="shared" si="53"/>
        <v>2965.0561592331183</v>
      </c>
      <c r="F18" s="33">
        <f t="shared" si="53"/>
        <v>3350.9216849407585</v>
      </c>
      <c r="G18" s="33">
        <f t="shared" si="53"/>
        <v>3798.1351010950484</v>
      </c>
      <c r="H18" s="33">
        <f t="shared" si="53"/>
        <v>4315.5328542022826</v>
      </c>
      <c r="J18" s="77" t="s">
        <v>569</v>
      </c>
      <c r="K18" s="133">
        <f>K16-K17</f>
        <v>10280</v>
      </c>
      <c r="L18" s="133"/>
      <c r="M18" s="133">
        <f>M16-L17</f>
        <v>14602.832648797412</v>
      </c>
      <c r="N18" s="133">
        <f t="shared" ref="N18:R18" si="54">N16-N17</f>
        <v>11942.974649995596</v>
      </c>
      <c r="O18" s="133">
        <f t="shared" si="54"/>
        <v>13021.884239470137</v>
      </c>
      <c r="P18" s="133">
        <f t="shared" si="54"/>
        <v>14169.150201183322</v>
      </c>
      <c r="Q18" s="133">
        <f t="shared" si="54"/>
        <v>15393.52767704432</v>
      </c>
      <c r="R18" s="133">
        <f t="shared" si="54"/>
        <v>16703.753341066884</v>
      </c>
      <c r="T18" s="174" t="s">
        <v>569</v>
      </c>
      <c r="U18" s="175">
        <f>U16-U17</f>
        <v>19926.050000000003</v>
      </c>
      <c r="V18" s="175"/>
      <c r="W18" s="175">
        <f>W16-V17</f>
        <v>30948.524159080207</v>
      </c>
      <c r="X18" s="175">
        <f t="shared" ref="X18:AA18" si="55">X16-X17</f>
        <v>25159.06259820464</v>
      </c>
      <c r="Y18" s="175">
        <f t="shared" si="55"/>
        <v>27092.186879449051</v>
      </c>
      <c r="Z18" s="175">
        <f t="shared" si="55"/>
        <v>29183.086379645669</v>
      </c>
      <c r="AA18" s="175">
        <f t="shared" si="55"/>
        <v>31444.18058496009</v>
      </c>
      <c r="AC18" s="36" t="s">
        <v>569</v>
      </c>
      <c r="AD18" s="70">
        <f>AD16-AD17</f>
        <v>3336</v>
      </c>
      <c r="AE18" s="70"/>
      <c r="AF18" s="70">
        <f t="shared" ref="AF18:AJ18" si="56">AF16-AF17</f>
        <v>5173.7367941589082</v>
      </c>
      <c r="AG18" s="70">
        <f t="shared" si="56"/>
        <v>6215.2794681760861</v>
      </c>
      <c r="AH18" s="70">
        <f t="shared" si="56"/>
        <v>7442.2486463629821</v>
      </c>
      <c r="AI18" s="70">
        <f t="shared" si="56"/>
        <v>8895.1785998287032</v>
      </c>
      <c r="AJ18" s="70">
        <f t="shared" si="56"/>
        <v>10620.830567815176</v>
      </c>
      <c r="AL18" s="36" t="s">
        <v>569</v>
      </c>
      <c r="AM18" s="70">
        <f>AM16-AM17</f>
        <v>1447.9100000000024</v>
      </c>
      <c r="AN18" s="70"/>
      <c r="AO18" s="70">
        <f t="shared" ref="AO18:AS18" si="57">AO16-AO17</f>
        <v>1477.9383905970849</v>
      </c>
      <c r="AP18" s="70">
        <f t="shared" si="57"/>
        <v>2039.1123445042776</v>
      </c>
      <c r="AQ18" s="70">
        <f t="shared" si="57"/>
        <v>2716.9239302327505</v>
      </c>
      <c r="AR18" s="70">
        <f t="shared" si="57"/>
        <v>3571.8102398798401</v>
      </c>
      <c r="AS18" s="70">
        <f t="shared" si="57"/>
        <v>4670.9384411365327</v>
      </c>
      <c r="AU18" s="77" t="s">
        <v>569</v>
      </c>
      <c r="AV18" s="133">
        <f>AV16-AV17</f>
        <v>3109.4410000000012</v>
      </c>
      <c r="AW18" s="133"/>
      <c r="AX18" s="133">
        <f>AX16-AW17</f>
        <v>4306.8034684782306</v>
      </c>
      <c r="AY18" s="133">
        <f t="shared" ref="AY18:BC18" si="58">AY16-AY17</f>
        <v>4009.370830859727</v>
      </c>
      <c r="AZ18" s="133">
        <f t="shared" si="58"/>
        <v>4835.386770190169</v>
      </c>
      <c r="BA18" s="133">
        <f t="shared" si="58"/>
        <v>5835.4005346973318</v>
      </c>
      <c r="BB18" s="133">
        <f t="shared" si="58"/>
        <v>7045.6798407418637</v>
      </c>
      <c r="BC18" s="133">
        <f t="shared" si="58"/>
        <v>8510.0900256920431</v>
      </c>
    </row>
    <row r="19" spans="1:55" x14ac:dyDescent="0.3">
      <c r="B19" s="129"/>
      <c r="D19" s="129"/>
      <c r="E19" s="129"/>
      <c r="F19" s="129"/>
      <c r="G19" s="129"/>
      <c r="H19" s="129"/>
      <c r="U19" s="115"/>
    </row>
    <row r="20" spans="1:55" x14ac:dyDescent="0.3">
      <c r="B20" s="129"/>
      <c r="D20" s="129"/>
      <c r="E20" s="129"/>
      <c r="F20" s="129"/>
      <c r="G20" s="129"/>
      <c r="H20" s="129"/>
      <c r="T20" s="23"/>
      <c r="U20" s="214"/>
      <c r="V20" s="23"/>
      <c r="W20" s="23"/>
      <c r="X20" s="23"/>
      <c r="Y20" s="23"/>
      <c r="Z20" s="23"/>
      <c r="AA20" s="23"/>
    </row>
    <row r="21" spans="1:55" x14ac:dyDescent="0.3">
      <c r="A21" s="1" t="s">
        <v>648</v>
      </c>
      <c r="B21" s="129" t="s">
        <v>649</v>
      </c>
      <c r="C21" s="140">
        <f>(H6/D6)^(1/5)-1</f>
        <v>0.12294228741683622</v>
      </c>
      <c r="D21" s="129"/>
      <c r="E21" s="129"/>
      <c r="F21" s="129"/>
      <c r="G21" s="129"/>
      <c r="H21" s="129"/>
      <c r="AW21" s="235"/>
    </row>
    <row r="22" spans="1:55" x14ac:dyDescent="0.3">
      <c r="A22" s="1" t="s">
        <v>648</v>
      </c>
      <c r="B22" s="129" t="s">
        <v>601</v>
      </c>
      <c r="C22" s="140">
        <f>(R6/M6)^(1/6)-1</f>
        <v>6.2985114736580305E-2</v>
      </c>
      <c r="D22" s="129"/>
      <c r="E22" s="129"/>
      <c r="F22" s="129"/>
      <c r="G22" s="129"/>
      <c r="H22" s="129"/>
    </row>
    <row r="23" spans="1:55" x14ac:dyDescent="0.3">
      <c r="A23" s="1" t="s">
        <v>648</v>
      </c>
      <c r="B23" s="129" t="s">
        <v>602</v>
      </c>
      <c r="C23" s="140">
        <f>(AA6/W6)^(1/5)-1</f>
        <v>6.1955099680501391E-2</v>
      </c>
      <c r="D23" s="129"/>
      <c r="E23" s="129"/>
      <c r="F23" s="129"/>
      <c r="G23" s="129"/>
      <c r="H23" s="129"/>
    </row>
    <row r="24" spans="1:55" x14ac:dyDescent="0.3">
      <c r="A24" s="1" t="s">
        <v>648</v>
      </c>
      <c r="B24" s="129" t="s">
        <v>603</v>
      </c>
      <c r="C24" s="140">
        <f>(AJ6/AF6)^(1/5)-1</f>
        <v>0.15115845762506108</v>
      </c>
      <c r="D24" s="129"/>
      <c r="E24" s="129"/>
      <c r="F24" s="129"/>
      <c r="G24" s="129"/>
      <c r="H24" s="129"/>
    </row>
    <row r="25" spans="1:55" x14ac:dyDescent="0.3">
      <c r="A25" s="1" t="s">
        <v>648</v>
      </c>
      <c r="B25" s="129" t="s">
        <v>604</v>
      </c>
      <c r="C25" s="140">
        <f>(AS6/AO6)^(1/5)-1</f>
        <v>0.23511832630844109</v>
      </c>
      <c r="D25" s="129"/>
      <c r="E25" s="32" t="s">
        <v>651</v>
      </c>
      <c r="F25" s="270">
        <v>2020</v>
      </c>
      <c r="G25" s="91">
        <f>AVERAGE(-5.8%,9.7%)</f>
        <v>1.9499999999999997E-2</v>
      </c>
      <c r="H25" s="129"/>
    </row>
    <row r="26" spans="1:55" x14ac:dyDescent="0.3">
      <c r="A26" s="1" t="s">
        <v>648</v>
      </c>
      <c r="B26" s="129" t="s">
        <v>605</v>
      </c>
      <c r="C26" s="140">
        <f>(BC6/AX6)^(1/6)-1</f>
        <v>0.17146879939530235</v>
      </c>
      <c r="D26" s="129"/>
      <c r="E26" s="32" t="s">
        <v>651</v>
      </c>
      <c r="F26" s="270" t="s">
        <v>32</v>
      </c>
      <c r="G26" s="91">
        <v>7.8E-2</v>
      </c>
      <c r="H26" s="129"/>
    </row>
    <row r="27" spans="1:55" x14ac:dyDescent="0.3">
      <c r="A27" s="23" t="s">
        <v>648</v>
      </c>
      <c r="B27" s="266" t="s">
        <v>557</v>
      </c>
      <c r="C27" s="267">
        <f>AVERAGE(C21:C26)</f>
        <v>0.13427134752712042</v>
      </c>
      <c r="D27" s="129"/>
      <c r="E27" s="33" t="s">
        <v>651</v>
      </c>
      <c r="F27" s="199" t="s">
        <v>652</v>
      </c>
      <c r="G27" s="90">
        <f>G26-G25</f>
        <v>5.8500000000000003E-2</v>
      </c>
      <c r="H27" s="129"/>
    </row>
    <row r="28" spans="1:55" x14ac:dyDescent="0.3">
      <c r="A28" s="1" t="s">
        <v>650</v>
      </c>
      <c r="B28" s="129" t="s">
        <v>649</v>
      </c>
      <c r="C28" s="140">
        <f>AVERAGE('DCF Valuation'!B11:F11)/AVERAGE('DCF Valuation'!B5:F5)</f>
        <v>6.549795844390853E-2</v>
      </c>
      <c r="D28" s="129"/>
      <c r="E28" s="33" t="s">
        <v>651</v>
      </c>
      <c r="F28" s="199" t="s">
        <v>653</v>
      </c>
      <c r="G28" s="271">
        <f>C41/G27</f>
        <v>68.198838217276105</v>
      </c>
      <c r="H28" s="129"/>
    </row>
    <row r="29" spans="1:55" x14ac:dyDescent="0.3">
      <c r="A29" s="1" t="s">
        <v>650</v>
      </c>
      <c r="B29" s="129" t="s">
        <v>601</v>
      </c>
      <c r="C29" s="140">
        <f>AVERAGE('DCF Valuation'!I11:N11)/AVERAGE('DCF Valuation'!I5:N5)</f>
        <v>2.0504516947637344E-2</v>
      </c>
      <c r="D29" s="129"/>
      <c r="E29" s="129"/>
      <c r="F29" s="268"/>
      <c r="G29" s="129"/>
      <c r="H29" s="129"/>
    </row>
    <row r="30" spans="1:55" x14ac:dyDescent="0.3">
      <c r="A30" s="1" t="s">
        <v>650</v>
      </c>
      <c r="B30" s="129" t="s">
        <v>602</v>
      </c>
      <c r="C30" s="140">
        <f>AVERAGE('DCF Valuation'!Q11:U11)/AVERAGE('DCF Valuation'!Q5:U5)</f>
        <v>3.6437146873126519E-2</v>
      </c>
      <c r="D30" s="129"/>
      <c r="E30" s="129"/>
      <c r="F30" s="268"/>
      <c r="G30" s="129"/>
      <c r="H30" s="129"/>
    </row>
    <row r="31" spans="1:55" x14ac:dyDescent="0.3">
      <c r="A31" s="1" t="s">
        <v>650</v>
      </c>
      <c r="B31" s="129" t="s">
        <v>603</v>
      </c>
      <c r="C31" s="140">
        <f>AVERAGE('DCF Valuation'!X11:AB11)/AVERAGE('DCF Valuation'!X5:AB5)</f>
        <v>1.053410110841136E-2</v>
      </c>
      <c r="D31" s="129"/>
      <c r="E31" s="129"/>
      <c r="F31" s="268"/>
      <c r="G31" s="129"/>
      <c r="H31" s="129"/>
    </row>
    <row r="32" spans="1:55" x14ac:dyDescent="0.3">
      <c r="A32" s="1" t="s">
        <v>650</v>
      </c>
      <c r="B32" s="129" t="s">
        <v>604</v>
      </c>
      <c r="C32" s="140">
        <f>AVERAGE('DCF Valuation'!AE11:AI11)/AVERAGE('DCF Valuation'!AE5:AI5)</f>
        <v>5.5316480608923663E-2</v>
      </c>
      <c r="D32" s="129"/>
      <c r="E32" s="129"/>
      <c r="F32" s="268"/>
      <c r="G32" s="129"/>
      <c r="H32" s="129"/>
    </row>
    <row r="33" spans="1:8" x14ac:dyDescent="0.3">
      <c r="A33" s="1" t="s">
        <v>650</v>
      </c>
      <c r="B33" s="129" t="s">
        <v>605</v>
      </c>
      <c r="C33" s="140">
        <f>AVERAGE('DCF Valuation'!AL11:AQ11)/AVERAGE('DCF Valuation'!AL5:AQ5)</f>
        <v>0.1387865357792232</v>
      </c>
      <c r="D33" s="129"/>
      <c r="E33" s="129"/>
      <c r="F33" s="268"/>
      <c r="G33" s="129"/>
      <c r="H33" s="129"/>
    </row>
    <row r="34" spans="1:8" x14ac:dyDescent="0.3">
      <c r="A34" s="23" t="s">
        <v>650</v>
      </c>
      <c r="B34" s="266" t="s">
        <v>557</v>
      </c>
      <c r="C34" s="267">
        <f>AVERAGE(C28:C33)</f>
        <v>5.4512789960205109E-2</v>
      </c>
      <c r="D34" s="129"/>
      <c r="E34" s="129"/>
      <c r="F34" s="268"/>
      <c r="G34" s="129"/>
      <c r="H34" s="129"/>
    </row>
    <row r="35" spans="1:8" x14ac:dyDescent="0.3">
      <c r="A35" s="1" t="s">
        <v>524</v>
      </c>
      <c r="B35" s="129" t="s">
        <v>649</v>
      </c>
      <c r="C35" s="140">
        <f>('Income Statement'!G21-'Income Statement'!B21)/'Income Statement'!B21</f>
        <v>1.0810850282094955</v>
      </c>
      <c r="D35" s="129"/>
      <c r="E35" s="129"/>
      <c r="F35" s="268"/>
      <c r="G35" s="129"/>
      <c r="H35" s="129"/>
    </row>
    <row r="36" spans="1:8" x14ac:dyDescent="0.3">
      <c r="A36" s="1" t="s">
        <v>524</v>
      </c>
      <c r="B36" s="129" t="s">
        <v>601</v>
      </c>
      <c r="C36" s="140">
        <f>('Income Statement'!N27-'Income Statement'!J27)/'Income Statement'!J27</f>
        <v>0.52190645352279452</v>
      </c>
      <c r="D36" s="129"/>
      <c r="E36" s="129"/>
      <c r="F36" s="268"/>
      <c r="G36" s="129"/>
      <c r="H36" s="129"/>
    </row>
    <row r="37" spans="1:8" x14ac:dyDescent="0.3">
      <c r="A37" s="1" t="s">
        <v>524</v>
      </c>
      <c r="B37" s="129" t="s">
        <v>602</v>
      </c>
      <c r="C37" s="140">
        <f>('Income Statement'!V30-'Income Statement'!Q30)/'Income Statement'!Q30</f>
        <v>1.2479942640119341</v>
      </c>
      <c r="D37" s="129"/>
      <c r="E37" s="129"/>
      <c r="F37" s="268"/>
      <c r="G37" s="129"/>
      <c r="H37" s="129"/>
    </row>
    <row r="38" spans="1:8" x14ac:dyDescent="0.3">
      <c r="A38" s="1" t="s">
        <v>524</v>
      </c>
      <c r="B38" s="129" t="s">
        <v>603</v>
      </c>
      <c r="C38" s="140">
        <f>('Income Statement'!AD28-'Income Statement'!Y28)/'Income Statement'!Y28</f>
        <v>1.2350971198928333</v>
      </c>
      <c r="D38" s="129"/>
      <c r="E38" s="129"/>
      <c r="F38" s="268"/>
      <c r="G38" s="129"/>
      <c r="H38" s="129"/>
    </row>
    <row r="39" spans="1:8" x14ac:dyDescent="0.3">
      <c r="A39" s="1" t="s">
        <v>524</v>
      </c>
      <c r="B39" s="129" t="s">
        <v>604</v>
      </c>
      <c r="C39" s="140">
        <f>('Income Statement'!AL25-'Income Statement'!AG25)/'Income Statement'!AG25</f>
        <v>13.478297792036303</v>
      </c>
      <c r="D39" s="129"/>
      <c r="E39" s="129"/>
      <c r="F39" s="268"/>
      <c r="G39" s="129"/>
      <c r="H39" s="129"/>
    </row>
    <row r="40" spans="1:8" x14ac:dyDescent="0.3">
      <c r="A40" s="1" t="s">
        <v>524</v>
      </c>
      <c r="B40" s="129" t="s">
        <v>605</v>
      </c>
      <c r="C40" s="140">
        <f>('Income Statement'!AS27-'Income Statement'!AO27)/'Income Statement'!AO27</f>
        <v>6.3734115565905505</v>
      </c>
      <c r="D40" s="129"/>
      <c r="E40" s="129"/>
      <c r="F40" s="268"/>
      <c r="G40" s="129"/>
      <c r="H40" s="129"/>
    </row>
    <row r="41" spans="1:8" x14ac:dyDescent="0.3">
      <c r="A41" s="23" t="s">
        <v>524</v>
      </c>
      <c r="B41" s="266" t="s">
        <v>557</v>
      </c>
      <c r="C41" s="267">
        <f>AVERAGE(C35:C40)</f>
        <v>3.9896320357106521</v>
      </c>
      <c r="D41" s="129"/>
      <c r="E41" s="129"/>
      <c r="F41" s="268"/>
      <c r="G41" s="129"/>
      <c r="H41" s="129"/>
    </row>
    <row r="42" spans="1:8" x14ac:dyDescent="0.3">
      <c r="B42" s="129"/>
      <c r="D42" s="129"/>
      <c r="E42" s="129"/>
      <c r="F42" s="268"/>
      <c r="G42" s="129"/>
      <c r="H42" s="129"/>
    </row>
    <row r="43" spans="1:8" x14ac:dyDescent="0.3">
      <c r="B43" s="129"/>
      <c r="D43" s="129"/>
      <c r="E43" s="129"/>
      <c r="F43" s="268"/>
      <c r="G43" s="129"/>
      <c r="H43" s="129"/>
    </row>
    <row r="44" spans="1:8" x14ac:dyDescent="0.3">
      <c r="B44" s="129"/>
      <c r="D44" s="129"/>
      <c r="E44" s="129"/>
      <c r="F44" s="268"/>
      <c r="G44" s="129"/>
      <c r="H44" s="129"/>
    </row>
    <row r="45" spans="1:8" x14ac:dyDescent="0.3">
      <c r="B45" s="129"/>
      <c r="D45" s="129"/>
      <c r="E45" s="129"/>
      <c r="F45" s="268"/>
      <c r="G45" s="129"/>
      <c r="H45" s="129"/>
    </row>
    <row r="46" spans="1:8" x14ac:dyDescent="0.3">
      <c r="B46" s="129"/>
      <c r="D46" s="129"/>
      <c r="E46" s="129"/>
      <c r="F46" s="268"/>
      <c r="G46" s="129"/>
      <c r="H46" s="129"/>
    </row>
    <row r="47" spans="1:8" x14ac:dyDescent="0.3">
      <c r="B47" s="129"/>
      <c r="D47" s="129"/>
      <c r="E47" s="129"/>
      <c r="F47" s="268"/>
      <c r="G47" s="129"/>
      <c r="H47" s="129"/>
    </row>
    <row r="48" spans="1:8" x14ac:dyDescent="0.3">
      <c r="B48" s="129"/>
      <c r="D48" s="129"/>
      <c r="E48" s="129"/>
      <c r="F48" s="268"/>
      <c r="G48" s="129"/>
      <c r="H48" s="129"/>
    </row>
    <row r="49" spans="2:8" x14ac:dyDescent="0.3">
      <c r="B49" s="129"/>
      <c r="D49" s="129"/>
      <c r="E49" s="129"/>
      <c r="F49" s="268"/>
      <c r="G49" s="129"/>
      <c r="H49" s="129"/>
    </row>
    <row r="50" spans="2:8" x14ac:dyDescent="0.3">
      <c r="B50" s="129"/>
      <c r="D50" s="129"/>
      <c r="E50" s="129"/>
      <c r="F50" s="268"/>
      <c r="G50" s="129"/>
      <c r="H50" s="129"/>
    </row>
    <row r="51" spans="2:8" x14ac:dyDescent="0.3">
      <c r="B51" s="129"/>
      <c r="D51" s="129"/>
      <c r="E51" s="129"/>
      <c r="F51" s="268"/>
      <c r="G51" s="129"/>
      <c r="H51" s="129"/>
    </row>
    <row r="52" spans="2:8" x14ac:dyDescent="0.3">
      <c r="B52" s="129"/>
      <c r="D52" s="129"/>
      <c r="E52" s="129"/>
      <c r="F52" s="268"/>
      <c r="G52" s="129"/>
      <c r="H52" s="129"/>
    </row>
    <row r="53" spans="2:8" x14ac:dyDescent="0.3">
      <c r="B53" s="129"/>
      <c r="D53" s="129"/>
      <c r="E53" s="129"/>
      <c r="F53" s="268"/>
      <c r="G53" s="129"/>
      <c r="H53" s="129"/>
    </row>
    <row r="54" spans="2:8" x14ac:dyDescent="0.3">
      <c r="B54" s="129"/>
      <c r="D54" s="129"/>
      <c r="E54" s="129"/>
      <c r="F54" s="268"/>
      <c r="G54" s="129"/>
      <c r="H54" s="129"/>
    </row>
    <row r="55" spans="2:8" x14ac:dyDescent="0.3">
      <c r="B55" s="129"/>
      <c r="D55" s="129"/>
      <c r="E55" s="129"/>
      <c r="F55" s="268"/>
      <c r="G55" s="129"/>
      <c r="H55" s="129"/>
    </row>
    <row r="56" spans="2:8" x14ac:dyDescent="0.3">
      <c r="B56" s="129"/>
      <c r="D56" s="129"/>
      <c r="E56" s="129"/>
      <c r="F56" s="268"/>
      <c r="G56" s="129"/>
      <c r="H56" s="129"/>
    </row>
    <row r="57" spans="2:8" x14ac:dyDescent="0.3">
      <c r="B57" s="129"/>
      <c r="D57" s="129"/>
      <c r="E57" s="129"/>
      <c r="F57" s="268"/>
      <c r="G57" s="129"/>
      <c r="H57" s="129"/>
    </row>
    <row r="58" spans="2:8" x14ac:dyDescent="0.3">
      <c r="D58" s="129"/>
      <c r="E58" s="129"/>
      <c r="F58" s="268"/>
      <c r="G58" s="129"/>
      <c r="H58" s="129"/>
    </row>
    <row r="59" spans="2:8" x14ac:dyDescent="0.3">
      <c r="D59" s="129"/>
      <c r="E59" s="129"/>
      <c r="F59" s="268"/>
      <c r="G59" s="129"/>
      <c r="H59" s="129"/>
    </row>
    <row r="60" spans="2:8" x14ac:dyDescent="0.3">
      <c r="D60" s="129"/>
      <c r="E60" s="129"/>
      <c r="F60" s="268"/>
      <c r="G60" s="129"/>
      <c r="H60" s="129"/>
    </row>
    <row r="61" spans="2:8" x14ac:dyDescent="0.3">
      <c r="D61" s="129"/>
      <c r="E61" s="129"/>
      <c r="F61" s="268"/>
      <c r="G61" s="129"/>
      <c r="H61" s="129"/>
    </row>
  </sheetData>
  <pageMargins left="0.7" right="0.7" top="0.75" bottom="0.75" header="0.3" footer="0.3"/>
  <tableParts count="6">
    <tablePart r:id="rId1"/>
    <tablePart r:id="rId2"/>
    <tablePart r:id="rId3"/>
    <tablePart r:id="rId4"/>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D5449-B5B9-4581-917D-6E680817C216}">
  <dimension ref="A2:I18"/>
  <sheetViews>
    <sheetView workbookViewId="0">
      <selection activeCell="B20" sqref="B20"/>
    </sheetView>
  </sheetViews>
  <sheetFormatPr defaultRowHeight="14.4" x14ac:dyDescent="0.3"/>
  <cols>
    <col min="1" max="1" width="22.44140625" style="1" bestFit="1" customWidth="1"/>
    <col min="2" max="2" width="11" style="1" bestFit="1" customWidth="1"/>
    <col min="3" max="5" width="9.88671875" style="1" bestFit="1" customWidth="1"/>
    <col min="6" max="6" width="8.88671875" style="1"/>
    <col min="7" max="7" width="9.88671875" style="1" bestFit="1" customWidth="1"/>
    <col min="8" max="16384" width="8.88671875" style="1"/>
  </cols>
  <sheetData>
    <row r="2" spans="1:9" ht="31.2" customHeight="1" x14ac:dyDescent="0.3">
      <c r="A2" s="77" t="s">
        <v>599</v>
      </c>
      <c r="B2" s="6" t="e" vm="13">
        <v>#VALUE!</v>
      </c>
      <c r="C2" s="6" t="e" vm="6">
        <v>#VALUE!</v>
      </c>
      <c r="D2" s="6" t="e" vm="2">
        <v>#VALUE!</v>
      </c>
      <c r="E2" s="6" t="e" vm="5">
        <v>#VALUE!</v>
      </c>
      <c r="F2" s="6" t="e" vm="14">
        <v>#VALUE!</v>
      </c>
      <c r="G2" s="6" t="e" vm="4">
        <v>#VALUE!</v>
      </c>
    </row>
    <row r="3" spans="1:9" ht="31.2" customHeight="1" x14ac:dyDescent="0.3">
      <c r="A3" s="244" t="s">
        <v>1</v>
      </c>
      <c r="B3" s="75" t="s">
        <v>600</v>
      </c>
      <c r="C3" s="75" t="s">
        <v>601</v>
      </c>
      <c r="D3" s="75" t="s">
        <v>602</v>
      </c>
      <c r="E3" s="75" t="s">
        <v>603</v>
      </c>
      <c r="F3" s="75" t="s">
        <v>604</v>
      </c>
      <c r="G3" s="245" t="s">
        <v>605</v>
      </c>
    </row>
    <row r="4" spans="1:9" x14ac:dyDescent="0.3">
      <c r="A4" s="246" t="s">
        <v>589</v>
      </c>
      <c r="B4" s="247">
        <v>7.3649999999999993E-2</v>
      </c>
      <c r="C4" s="247">
        <v>7.3649999999999993E-2</v>
      </c>
      <c r="D4" s="247">
        <v>7.3649999999999993E-2</v>
      </c>
      <c r="E4" s="247">
        <v>7.3649999999999993E-2</v>
      </c>
      <c r="F4" s="247">
        <v>7.3649999999999993E-2</v>
      </c>
      <c r="G4" s="248">
        <v>7.3649999999999993E-2</v>
      </c>
      <c r="H4" s="20"/>
      <c r="I4" s="20"/>
    </row>
    <row r="5" spans="1:9" x14ac:dyDescent="0.3">
      <c r="A5" s="246" t="s">
        <v>9</v>
      </c>
      <c r="B5" s="231">
        <f ca="1">'Company Profile'!B14</f>
        <v>1.4373</v>
      </c>
      <c r="C5" s="231">
        <f ca="1">'Company Profile'!G14</f>
        <v>0.8014</v>
      </c>
      <c r="D5" s="231">
        <f ca="1">'Company Profile'!C14</f>
        <v>0.77669999999999995</v>
      </c>
      <c r="E5" s="231">
        <f ca="1">'Company Profile'!F14</f>
        <v>1.3028</v>
      </c>
      <c r="F5" s="231">
        <f ca="1">'Company Profile'!D14</f>
        <v>1.4651000000000001</v>
      </c>
      <c r="G5" s="249">
        <f ca="1">'Company Profile'!E14</f>
        <v>0.92610000000000003</v>
      </c>
      <c r="H5" s="20"/>
      <c r="I5" s="20"/>
    </row>
    <row r="6" spans="1:9" x14ac:dyDescent="0.3">
      <c r="A6" s="246" t="s">
        <v>590</v>
      </c>
      <c r="B6" s="247">
        <v>7.2599999999999998E-2</v>
      </c>
      <c r="C6" s="247">
        <v>7.2599999999999998E-2</v>
      </c>
      <c r="D6" s="247">
        <v>7.2599999999999998E-2</v>
      </c>
      <c r="E6" s="247">
        <v>7.2599999999999998E-2</v>
      </c>
      <c r="F6" s="247">
        <v>7.2599999999999998E-2</v>
      </c>
      <c r="G6" s="248">
        <v>7.2599999999999998E-2</v>
      </c>
      <c r="H6" s="20"/>
      <c r="I6" s="20"/>
    </row>
    <row r="7" spans="1:9" x14ac:dyDescent="0.3">
      <c r="A7" s="246" t="s">
        <v>591</v>
      </c>
      <c r="B7" s="247">
        <f ca="1">B4+B5*(B6)</f>
        <v>0.17799798</v>
      </c>
      <c r="C7" s="247">
        <f t="shared" ref="C7:G7" ca="1" si="0">C4+C5*(C6)</f>
        <v>0.13183164</v>
      </c>
      <c r="D7" s="247">
        <f t="shared" ca="1" si="0"/>
        <v>0.13003841999999999</v>
      </c>
      <c r="E7" s="247">
        <f t="shared" ca="1" si="0"/>
        <v>0.16823327999999999</v>
      </c>
      <c r="F7" s="247">
        <f t="shared" ca="1" si="0"/>
        <v>0.18001625999999998</v>
      </c>
      <c r="G7" s="248">
        <f t="shared" ca="1" si="0"/>
        <v>0.14088486</v>
      </c>
      <c r="H7" s="20"/>
      <c r="I7" s="20"/>
    </row>
    <row r="8" spans="1:9" x14ac:dyDescent="0.3">
      <c r="A8" s="246" t="s">
        <v>592</v>
      </c>
      <c r="B8" s="247">
        <f>'Income Statement Forecast'!C15</f>
        <v>0.10606601433093304</v>
      </c>
      <c r="C8" s="247">
        <f>'Income Statement Forecast'!L15</f>
        <v>0.13185894936215253</v>
      </c>
      <c r="D8" s="247">
        <f>'Income Statement Forecast'!V15</f>
        <v>0.17437393470565099</v>
      </c>
      <c r="E8" s="247">
        <f>'Income Statement Forecast'!AE15</f>
        <v>0.11318757192174914</v>
      </c>
      <c r="F8" s="247">
        <f>'Income Statement Forecast'!AN15</f>
        <v>8.8863993442175021E-2</v>
      </c>
      <c r="G8" s="248">
        <f>'Income Statement Forecast'!AW15</f>
        <v>7.926564646706466E-2</v>
      </c>
      <c r="H8" s="20"/>
      <c r="I8" s="20"/>
    </row>
    <row r="9" spans="1:9" x14ac:dyDescent="0.3">
      <c r="A9" s="246" t="s">
        <v>593</v>
      </c>
      <c r="B9" s="247">
        <f>'Income Statement Forecast'!C17</f>
        <v>0.25649681689065867</v>
      </c>
      <c r="C9" s="247">
        <f>'Income Statement Forecast'!L17</f>
        <v>0.25197291380275955</v>
      </c>
      <c r="D9" s="247">
        <f>'Income Statement Forecast'!V17</f>
        <v>0.24480892577355537</v>
      </c>
      <c r="E9" s="247">
        <f>'Income Statement Forecast'!AE17</f>
        <v>0.25910321998194402</v>
      </c>
      <c r="F9" s="247">
        <f>'Income Statement Forecast'!AN17</f>
        <v>0.26433640430081184</v>
      </c>
      <c r="G9" s="248">
        <f>'Income Statement Forecast'!AW17</f>
        <v>0.22745631427273563</v>
      </c>
      <c r="H9" s="20"/>
      <c r="I9" s="20"/>
    </row>
    <row r="10" spans="1:9" x14ac:dyDescent="0.3">
      <c r="A10" s="246" t="s">
        <v>594</v>
      </c>
      <c r="B10" s="247">
        <f>B8*(1-B9)</f>
        <v>7.8860419274769722E-2</v>
      </c>
      <c r="C10" s="247">
        <f t="shared" ref="C10:G10" si="1">C8*(1-C9)</f>
        <v>9.8634065680400437E-2</v>
      </c>
      <c r="D10" s="247">
        <f t="shared" si="1"/>
        <v>0.13168563906745248</v>
      </c>
      <c r="E10" s="247">
        <f t="shared" si="1"/>
        <v>8.386030757488605E-2</v>
      </c>
      <c r="F10" s="247">
        <f t="shared" si="1"/>
        <v>6.5374004943859546E-2</v>
      </c>
      <c r="G10" s="248">
        <f t="shared" si="1"/>
        <v>6.1236174673220449E-2</v>
      </c>
      <c r="H10" s="20"/>
      <c r="I10" s="20"/>
    </row>
    <row r="11" spans="1:9" x14ac:dyDescent="0.3">
      <c r="A11" s="168" t="s">
        <v>595</v>
      </c>
      <c r="B11" s="40"/>
      <c r="C11" s="40"/>
      <c r="D11" s="40"/>
      <c r="E11" s="40"/>
      <c r="F11" s="40"/>
      <c r="G11" s="191"/>
      <c r="H11" s="20"/>
      <c r="I11" s="20"/>
    </row>
    <row r="12" spans="1:9" x14ac:dyDescent="0.3">
      <c r="A12" s="246" t="s">
        <v>540</v>
      </c>
      <c r="B12" s="231">
        <f>'Balance Sheet'!G35</f>
        <v>21426.7</v>
      </c>
      <c r="C12" s="231">
        <f>'Balance Sheet'!N35</f>
        <v>51423</v>
      </c>
      <c r="D12" s="231">
        <f>'Balance Sheet'!V40</f>
        <v>70397.94</v>
      </c>
      <c r="E12" s="231">
        <f>'Balance Sheet'!AD37</f>
        <v>11624</v>
      </c>
      <c r="F12" s="231">
        <f>'Balance Sheet'!AL39</f>
        <v>5583.36</v>
      </c>
      <c r="G12" s="249">
        <f>'Balance Sheet'!AS35</f>
        <v>16739.636000000002</v>
      </c>
      <c r="H12" s="20"/>
      <c r="I12" s="20"/>
    </row>
    <row r="13" spans="1:9" x14ac:dyDescent="0.3">
      <c r="A13" s="246" t="s">
        <v>596</v>
      </c>
      <c r="B13" s="231">
        <f>'Balance Sheet'!G40+'Balance Sheet'!G48</f>
        <v>819.61999999999989</v>
      </c>
      <c r="C13" s="231">
        <f>'Balance Sheet'!N38+'Balance Sheet'!N45+'Balance Sheet'!N46</f>
        <v>1484</v>
      </c>
      <c r="D13" s="231">
        <f>'Balance Sheet'!V43+'Balance Sheet'!V44+'Balance Sheet'!V52+'Balance Sheet'!V55</f>
        <v>284.54000000000002</v>
      </c>
      <c r="E13" s="231">
        <f>'Balance Sheet'!AD40+'Balance Sheet'!AD49</f>
        <v>10286</v>
      </c>
      <c r="F13" s="231">
        <f>'Balance Sheet'!AL42</f>
        <v>499.2</v>
      </c>
      <c r="G13" s="249">
        <f>'Balance Sheet'!AS38+'Balance Sheet'!AS45</f>
        <v>2364.2649999999999</v>
      </c>
      <c r="H13" s="20"/>
      <c r="I13" s="20"/>
    </row>
    <row r="14" spans="1:9" x14ac:dyDescent="0.3">
      <c r="A14" s="246" t="s">
        <v>606</v>
      </c>
      <c r="B14" s="231">
        <f>B12+B13</f>
        <v>22246.32</v>
      </c>
      <c r="C14" s="231">
        <f t="shared" ref="C14:G14" si="2">C12+C13</f>
        <v>52907</v>
      </c>
      <c r="D14" s="231">
        <f t="shared" si="2"/>
        <v>70682.48</v>
      </c>
      <c r="E14" s="231">
        <f t="shared" si="2"/>
        <v>21910</v>
      </c>
      <c r="F14" s="231">
        <f t="shared" si="2"/>
        <v>6082.5599999999995</v>
      </c>
      <c r="G14" s="249">
        <f t="shared" si="2"/>
        <v>19103.901000000002</v>
      </c>
      <c r="H14" s="20"/>
      <c r="I14" s="20"/>
    </row>
    <row r="15" spans="1:9" x14ac:dyDescent="0.3">
      <c r="A15" s="246" t="s">
        <v>597</v>
      </c>
      <c r="B15" s="247">
        <f>B12/B14</f>
        <v>0.96315705249227745</v>
      </c>
      <c r="C15" s="247">
        <f t="shared" ref="C15:G15" si="3">C12/C14</f>
        <v>0.97195078156009607</v>
      </c>
      <c r="D15" s="247">
        <f t="shared" si="3"/>
        <v>0.99597439139090771</v>
      </c>
      <c r="E15" s="247">
        <f t="shared" si="3"/>
        <v>0.53053400273847562</v>
      </c>
      <c r="F15" s="247">
        <f t="shared" si="3"/>
        <v>0.91792929292929293</v>
      </c>
      <c r="G15" s="248">
        <f t="shared" si="3"/>
        <v>0.87624176863144343</v>
      </c>
      <c r="H15" s="20"/>
      <c r="I15" s="20"/>
    </row>
    <row r="16" spans="1:9" x14ac:dyDescent="0.3">
      <c r="A16" s="246" t="s">
        <v>598</v>
      </c>
      <c r="B16" s="250">
        <f>B13/B14</f>
        <v>3.6842947507722622E-2</v>
      </c>
      <c r="C16" s="250">
        <f t="shared" ref="C16:G16" si="4">C13/C14</f>
        <v>2.8049218439903982E-2</v>
      </c>
      <c r="D16" s="250">
        <f t="shared" si="4"/>
        <v>4.0256086090923807E-3</v>
      </c>
      <c r="E16" s="250">
        <f t="shared" si="4"/>
        <v>0.46946599726152444</v>
      </c>
      <c r="F16" s="250">
        <f t="shared" si="4"/>
        <v>8.2070707070707072E-2</v>
      </c>
      <c r="G16" s="251">
        <f t="shared" si="4"/>
        <v>0.1237582313685566</v>
      </c>
      <c r="H16" s="20"/>
      <c r="I16" s="20"/>
    </row>
    <row r="17" spans="1:7" x14ac:dyDescent="0.3">
      <c r="A17" s="276" t="s">
        <v>607</v>
      </c>
      <c r="B17" s="277">
        <f ca="1">(B7*B15)+(B10*B16)</f>
        <v>0.17434546005415669</v>
      </c>
      <c r="C17" s="277">
        <f t="shared" ref="C17:G17" ca="1" si="5">(C7*C15)+(C10*C16)</f>
        <v>0.13090047398623461</v>
      </c>
      <c r="D17" s="277">
        <f t="shared" ca="1" si="5"/>
        <v>0.13004505105925898</v>
      </c>
      <c r="E17" s="277">
        <f t="shared" ca="1" si="5"/>
        <v>0.12862303835852479</v>
      </c>
      <c r="F17" s="277">
        <f t="shared" ca="1" si="5"/>
        <v>0.1706074890673622</v>
      </c>
      <c r="G17" s="278">
        <f t="shared" ca="1" si="5"/>
        <v>0.13102767957312705</v>
      </c>
    </row>
    <row r="18" spans="1:7" x14ac:dyDescent="0.3">
      <c r="A18" s="1" t="s">
        <v>640</v>
      </c>
      <c r="B18" s="140">
        <v>4.7500000000000001E-2</v>
      </c>
      <c r="C18" s="140">
        <v>4.2500000000000003E-2</v>
      </c>
      <c r="D18" s="140">
        <f>Table48[[#This Row],[HUL]]</f>
        <v>4.2500000000000003E-2</v>
      </c>
      <c r="E18" s="140">
        <f>$B$18</f>
        <v>4.7500000000000001E-2</v>
      </c>
      <c r="F18" s="140">
        <f>$B$18</f>
        <v>4.7500000000000001E-2</v>
      </c>
      <c r="G18" s="140">
        <f>Table48[[#This Row],[ITC]]</f>
        <v>4.2500000000000003E-2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A29FC-1570-48CC-BBD8-404559AC574B}">
  <dimension ref="A1:AQ26"/>
  <sheetViews>
    <sheetView topLeftCell="AL1" workbookViewId="0">
      <selection activeCell="B11" sqref="B11"/>
    </sheetView>
  </sheetViews>
  <sheetFormatPr defaultRowHeight="14.4" x14ac:dyDescent="0.3"/>
  <cols>
    <col min="1" max="1" width="18.44140625" style="1" customWidth="1"/>
    <col min="2" max="3" width="9.88671875" style="3" bestFit="1" customWidth="1"/>
    <col min="4" max="6" width="10.88671875" style="3" bestFit="1" customWidth="1"/>
    <col min="7" max="7" width="8.88671875" style="1"/>
    <col min="8" max="8" width="18.44140625" style="1" customWidth="1"/>
    <col min="9" max="9" width="11.33203125" style="3" customWidth="1"/>
    <col min="10" max="11" width="9.88671875" style="3" bestFit="1" customWidth="1"/>
    <col min="12" max="14" width="10.88671875" style="3" bestFit="1" customWidth="1"/>
    <col min="15" max="15" width="8.88671875" style="1"/>
    <col min="16" max="16" width="18.109375" style="1" bestFit="1" customWidth="1"/>
    <col min="17" max="17" width="10.88671875" style="3" bestFit="1" customWidth="1"/>
    <col min="18" max="18" width="9.88671875" style="3" bestFit="1" customWidth="1"/>
    <col min="19" max="21" width="10.88671875" style="3" bestFit="1" customWidth="1"/>
    <col min="22" max="22" width="8.88671875" style="1"/>
    <col min="23" max="23" width="18.109375" style="1" bestFit="1" customWidth="1"/>
    <col min="24" max="24" width="10.88671875" style="1" bestFit="1" customWidth="1"/>
    <col min="25" max="25" width="9.88671875" style="1" bestFit="1" customWidth="1"/>
    <col min="26" max="28" width="10.88671875" style="1" bestFit="1" customWidth="1"/>
    <col min="29" max="29" width="8.88671875" style="1"/>
    <col min="30" max="30" width="18.109375" style="1" bestFit="1" customWidth="1"/>
    <col min="31" max="31" width="10.88671875" style="1" bestFit="1" customWidth="1"/>
    <col min="32" max="32" width="9.88671875" style="1" bestFit="1" customWidth="1"/>
    <col min="33" max="35" width="10.88671875" style="1" bestFit="1" customWidth="1"/>
    <col min="36" max="36" width="8.88671875" style="1"/>
    <col min="37" max="37" width="18.44140625" style="1" customWidth="1"/>
    <col min="38" max="38" width="11.33203125" style="1" customWidth="1"/>
    <col min="39" max="40" width="9.88671875" style="1" bestFit="1" customWidth="1"/>
    <col min="41" max="43" width="10.88671875" style="1" bestFit="1" customWidth="1"/>
    <col min="44" max="16384" width="8.88671875" style="1"/>
  </cols>
  <sheetData>
    <row r="1" spans="1:43" ht="61.2" x14ac:dyDescent="0.3">
      <c r="A1" s="260" t="s">
        <v>613</v>
      </c>
      <c r="B1" s="262"/>
      <c r="C1" s="262"/>
    </row>
    <row r="2" spans="1:43" ht="25.2" customHeight="1" x14ac:dyDescent="0.3">
      <c r="A2" s="280" t="e" vm="1">
        <v>#VALUE!</v>
      </c>
      <c r="B2" s="280"/>
      <c r="C2" s="263"/>
      <c r="H2" s="280" t="e" vm="6">
        <v>#VALUE!</v>
      </c>
      <c r="P2" s="280" t="e" vm="2">
        <v>#VALUE!</v>
      </c>
      <c r="W2" s="280" t="e" vm="5">
        <v>#VALUE!</v>
      </c>
      <c r="AD2" s="280" t="e" vm="14">
        <v>#VALUE!</v>
      </c>
      <c r="AK2" s="280" t="e" vm="4">
        <v>#VALUE!</v>
      </c>
    </row>
    <row r="3" spans="1:43" ht="25.2" customHeight="1" x14ac:dyDescent="0.3">
      <c r="A3" s="280"/>
      <c r="B3" s="280"/>
      <c r="C3" s="263"/>
      <c r="H3" s="283"/>
      <c r="P3" s="280"/>
      <c r="W3" s="280"/>
      <c r="AD3" s="280"/>
      <c r="AK3" s="280"/>
    </row>
    <row r="4" spans="1:43" ht="20.399999999999999" customHeight="1" x14ac:dyDescent="0.3">
      <c r="A4" s="261" t="s">
        <v>1</v>
      </c>
      <c r="B4" s="264">
        <v>2026</v>
      </c>
      <c r="C4" s="264">
        <v>2027</v>
      </c>
      <c r="D4" s="264">
        <v>2028</v>
      </c>
      <c r="E4" s="264">
        <v>2029</v>
      </c>
      <c r="F4" s="264">
        <v>2030</v>
      </c>
      <c r="H4" s="261" t="s">
        <v>1</v>
      </c>
      <c r="I4" s="264">
        <v>2025</v>
      </c>
      <c r="J4" s="264">
        <v>2026</v>
      </c>
      <c r="K4" s="264">
        <v>2027</v>
      </c>
      <c r="L4" s="264">
        <v>2028</v>
      </c>
      <c r="M4" s="264">
        <v>2029</v>
      </c>
      <c r="N4" s="264">
        <v>2030</v>
      </c>
      <c r="P4" s="261" t="s">
        <v>1</v>
      </c>
      <c r="Q4" s="264">
        <v>2026</v>
      </c>
      <c r="R4" s="264">
        <v>2027</v>
      </c>
      <c r="S4" s="264">
        <v>2028</v>
      </c>
      <c r="T4" s="264">
        <v>2029</v>
      </c>
      <c r="U4" s="264">
        <v>2030</v>
      </c>
      <c r="W4" s="261" t="s">
        <v>1</v>
      </c>
      <c r="X4" s="264">
        <v>2026</v>
      </c>
      <c r="Y4" s="264">
        <v>2027</v>
      </c>
      <c r="Z4" s="264">
        <v>2028</v>
      </c>
      <c r="AA4" s="264">
        <v>2029</v>
      </c>
      <c r="AB4" s="264">
        <v>2030</v>
      </c>
      <c r="AD4" s="261" t="s">
        <v>1</v>
      </c>
      <c r="AE4" s="264">
        <v>2026</v>
      </c>
      <c r="AF4" s="264">
        <v>2027</v>
      </c>
      <c r="AG4" s="264">
        <v>2028</v>
      </c>
      <c r="AH4" s="264">
        <v>2029</v>
      </c>
      <c r="AI4" s="264">
        <v>2030</v>
      </c>
      <c r="AK4" s="261" t="s">
        <v>1</v>
      </c>
      <c r="AL4" s="264">
        <v>2025</v>
      </c>
      <c r="AM4" s="264">
        <v>2026</v>
      </c>
      <c r="AN4" s="264">
        <v>2027</v>
      </c>
      <c r="AO4" s="264">
        <v>2028</v>
      </c>
      <c r="AP4" s="264">
        <v>2029</v>
      </c>
      <c r="AQ4" s="264">
        <v>2030</v>
      </c>
    </row>
    <row r="5" spans="1:43" x14ac:dyDescent="0.3">
      <c r="A5" s="63" t="s">
        <v>555</v>
      </c>
      <c r="B5" s="128">
        <f>'Income Statement Forecast'!D4</f>
        <v>68619.310500833031</v>
      </c>
      <c r="C5" s="128">
        <f>'Income Statement Forecast'!E4</f>
        <v>79325.546806368031</v>
      </c>
      <c r="D5" s="128">
        <f>'Income Statement Forecast'!F4</f>
        <v>91702.209337310298</v>
      </c>
      <c r="E5" s="128">
        <f>'Income Statement Forecast'!G4</f>
        <v>106009.92411525118</v>
      </c>
      <c r="F5" s="128">
        <f>'Income Statement Forecast'!H4</f>
        <v>122549.98098883248</v>
      </c>
      <c r="H5" s="63" t="s">
        <v>555</v>
      </c>
      <c r="I5" s="128">
        <f>'Income Statement Forecast'!M6</f>
        <v>67473.415295990329</v>
      </c>
      <c r="J5" s="128">
        <f>'Income Statement Forecast'!N6</f>
        <v>72603.056127397125</v>
      </c>
      <c r="K5" s="128">
        <f>'Income Statement Forecast'!O6</f>
        <v>78123.641688896692</v>
      </c>
      <c r="L5" s="128">
        <f>'Income Statement Forecast'!P6</f>
        <v>84065.008220783653</v>
      </c>
      <c r="M5" s="128">
        <f>'Income Statement Forecast'!Q6</f>
        <v>90459.270769277486</v>
      </c>
      <c r="N5" s="128">
        <f>'Income Statement Forecast'!R6</f>
        <v>97340.997309732804</v>
      </c>
      <c r="P5" s="63" t="s">
        <v>555</v>
      </c>
      <c r="Q5" s="128">
        <f>'Income Statement Forecast'!W6</f>
        <v>90670.70976091527</v>
      </c>
      <c r="R5" s="128">
        <f>'Income Statement Forecast'!X6</f>
        <v>97722.987539869675</v>
      </c>
      <c r="S5" s="128">
        <f>'Income Statement Forecast'!Y6</f>
        <v>105341.28902655539</v>
      </c>
      <c r="T5" s="128">
        <f>'Income Statement Forecast'!Z6</f>
        <v>113570.96413910274</v>
      </c>
      <c r="U5" s="128">
        <f>'Income Statement Forecast'!AA6</f>
        <v>122460.99659133804</v>
      </c>
      <c r="W5" s="63" t="s">
        <v>555</v>
      </c>
      <c r="X5" s="128">
        <f>'Income Statement Forecast'!AF6</f>
        <v>72666.305425619386</v>
      </c>
      <c r="Y5" s="128">
        <f>'Income Statement Forecast'!AG6</f>
        <v>86646.384159711452</v>
      </c>
      <c r="Z5" s="128">
        <f>'Income Statement Forecast'!AH6</f>
        <v>103316.29203906145</v>
      </c>
      <c r="AA5" s="128">
        <f>'Income Statement Forecast'!AI6</f>
        <v>123193.61478217383</v>
      </c>
      <c r="AB5" s="128">
        <f>'Income Statement Forecast'!AJ6</f>
        <v>146895.54439597522</v>
      </c>
      <c r="AD5" s="63" t="s">
        <v>555</v>
      </c>
      <c r="AE5" s="128">
        <f>'Income Statement Forecast'!AO6</f>
        <v>22575.396445599974</v>
      </c>
      <c r="AF5" s="128">
        <f>'Income Statement Forecast'!AP6</f>
        <v>29381.465023052519</v>
      </c>
      <c r="AG5" s="128">
        <f>'Income Statement Forecast'!AQ6</f>
        <v>38252.548430859439</v>
      </c>
      <c r="AH5" s="128">
        <f>'Income Statement Forecast'!AR6</f>
        <v>49816.053279592597</v>
      </c>
      <c r="AI5" s="128">
        <f>'Income Statement Forecast'!AS6</f>
        <v>64890.065741058927</v>
      </c>
      <c r="AK5" s="63" t="s">
        <v>555</v>
      </c>
      <c r="AL5" s="128">
        <f>'Income Statement Forecast'!AX6</f>
        <v>24911.40976590187</v>
      </c>
      <c r="AM5" s="128">
        <f>'Income Statement Forecast'!AY6</f>
        <v>30121.377810395818</v>
      </c>
      <c r="AN5" s="128">
        <f>'Income Statement Forecast'!AZ6</f>
        <v>36420.971980128292</v>
      </c>
      <c r="AO5" s="128">
        <f>'Income Statement Forecast'!BA6</f>
        <v>44038.082614020277</v>
      </c>
      <c r="AP5" s="128">
        <f>'Income Statement Forecast'!BB6</f>
        <v>53248.262961324101</v>
      </c>
      <c r="AQ5" s="128">
        <f>'Income Statement Forecast'!BC6</f>
        <v>64384.697955064534</v>
      </c>
    </row>
    <row r="6" spans="1:43" s="23" customFormat="1" x14ac:dyDescent="0.3">
      <c r="A6" s="77" t="s">
        <v>528</v>
      </c>
      <c r="B6" s="146">
        <f>'Income Statement Forecast'!D14</f>
        <v>3752.0026722267148</v>
      </c>
      <c r="C6" s="146">
        <f>'Income Statement Forecast'!E14</f>
        <v>4232.3932048956794</v>
      </c>
      <c r="D6" s="146">
        <f>'Income Statement Forecast'!F14</f>
        <v>4790.3093969192014</v>
      </c>
      <c r="E6" s="146">
        <f>'Income Statement Forecast'!G14</f>
        <v>5436.9443284898671</v>
      </c>
      <c r="F6" s="146">
        <f>'Income Statement Forecast'!H14</f>
        <v>6185.1732984849696</v>
      </c>
      <c r="H6" s="77" t="s">
        <v>528</v>
      </c>
      <c r="I6" s="146">
        <f>'Income Statement Forecast'!M14</f>
        <v>14824.921023372161</v>
      </c>
      <c r="J6" s="146">
        <f>'Income Statement Forecast'!N14</f>
        <v>16217.588875904119</v>
      </c>
      <c r="K6" s="146">
        <f>'Income Statement Forecast'!O14</f>
        <v>17693.859519520811</v>
      </c>
      <c r="L6" s="146">
        <f>'Income Statement Forecast'!P14</f>
        <v>19266.24382953404</v>
      </c>
      <c r="M6" s="146">
        <f>'Income Statement Forecast'!Q14</f>
        <v>20947.118813514884</v>
      </c>
      <c r="N6" s="146">
        <f>'Income Statement Forecast'!R14</f>
        <v>22748.933733454342</v>
      </c>
      <c r="P6" s="77" t="s">
        <v>528</v>
      </c>
      <c r="Q6" s="146">
        <f>'Income Statement Forecast'!W14</f>
        <v>31006.737298995078</v>
      </c>
      <c r="R6" s="146">
        <f>'Income Statement Forecast'!X14</f>
        <v>33377.307504186007</v>
      </c>
      <c r="S6" s="146">
        <f>'Income Statement Forecast'!Y14</f>
        <v>35941.959784277387</v>
      </c>
      <c r="T6" s="146">
        <f>'Income Statement Forecast'!Z14</f>
        <v>38715.923859249888</v>
      </c>
      <c r="U6" s="146">
        <f>'Income Statement Forecast'!AA14</f>
        <v>41715.676534319093</v>
      </c>
      <c r="W6" s="77" t="s">
        <v>528</v>
      </c>
      <c r="X6" s="146">
        <f>'Income Statement Forecast'!AF14</f>
        <v>7577.7607060916444</v>
      </c>
      <c r="Y6" s="146">
        <f>'Income Statement Forecast'!AG14</f>
        <v>9097.9574530016107</v>
      </c>
      <c r="Z6" s="146">
        <f>'Income Statement Forecast'!AH14</f>
        <v>10890.440303112468</v>
      </c>
      <c r="AA6" s="146">
        <f>'Income Statement Forecast'!AI14</f>
        <v>13014.154819421683</v>
      </c>
      <c r="AB6" s="146">
        <f>'Income Statement Forecast'!AJ14</f>
        <v>15537.266360112546</v>
      </c>
      <c r="AD6" s="77" t="s">
        <v>528</v>
      </c>
      <c r="AE6" s="146">
        <f>'Income Statement Forecast'!AO14</f>
        <v>2748.7515242371114</v>
      </c>
      <c r="AF6" s="146">
        <f>'Income Statement Forecast'!AP14</f>
        <v>3734.590337108225</v>
      </c>
      <c r="AG6" s="146">
        <f>'Income Statement Forecast'!AQ14</f>
        <v>4946.6443672329788</v>
      </c>
      <c r="AH6" s="146">
        <f>'Income Statement Forecast'!AR14</f>
        <v>6487.6260336735177</v>
      </c>
      <c r="AI6" s="146">
        <f>'Income Statement Forecast'!AS14</f>
        <v>8475.6443693212368</v>
      </c>
      <c r="AK6" s="77" t="s">
        <v>528</v>
      </c>
      <c r="AL6" s="146">
        <f>'Income Statement Forecast'!AX14</f>
        <v>4604.4854970357756</v>
      </c>
      <c r="AM6" s="146">
        <f>'Income Statement Forecast'!AY14</f>
        <v>5549.4947336532778</v>
      </c>
      <c r="AN6" s="146">
        <f>'Income Statement Forecast'!AZ14</f>
        <v>6693.9308400190876</v>
      </c>
      <c r="AO6" s="146">
        <f>'Income Statement Forecast'!BA14</f>
        <v>8079.3259118833093</v>
      </c>
      <c r="AP6" s="146">
        <f>'Income Statement Forecast'!BB14</f>
        <v>9755.9160368386838</v>
      </c>
      <c r="AQ6" s="146">
        <f>'Income Statement Forecast'!BC14</f>
        <v>11784.460005275243</v>
      </c>
    </row>
    <row r="7" spans="1:43" x14ac:dyDescent="0.3">
      <c r="A7" s="63" t="s">
        <v>608</v>
      </c>
      <c r="B7" s="128">
        <f>B6*0.25</f>
        <v>938.00066805667871</v>
      </c>
      <c r="C7" s="128">
        <f t="shared" ref="C7:F7" si="0">C6*0.25</f>
        <v>1058.0983012239199</v>
      </c>
      <c r="D7" s="128">
        <f t="shared" si="0"/>
        <v>1197.5773492298003</v>
      </c>
      <c r="E7" s="128">
        <f t="shared" si="0"/>
        <v>1359.2360821224668</v>
      </c>
      <c r="F7" s="128">
        <f t="shared" si="0"/>
        <v>1546.2933246212424</v>
      </c>
      <c r="H7" s="63" t="s">
        <v>608</v>
      </c>
      <c r="I7" s="128">
        <f>I6*0.25</f>
        <v>3706.2302558430401</v>
      </c>
      <c r="J7" s="128">
        <f t="shared" ref="J7:N7" si="1">J6*0.25</f>
        <v>4054.3972189760298</v>
      </c>
      <c r="K7" s="128">
        <f t="shared" si="1"/>
        <v>4423.4648798802027</v>
      </c>
      <c r="L7" s="128">
        <f t="shared" si="1"/>
        <v>4816.56095738351</v>
      </c>
      <c r="M7" s="128">
        <f t="shared" si="1"/>
        <v>5236.779703378721</v>
      </c>
      <c r="N7" s="128">
        <f t="shared" si="1"/>
        <v>5687.2334333635854</v>
      </c>
      <c r="P7" s="63" t="s">
        <v>608</v>
      </c>
      <c r="Q7" s="6"/>
      <c r="R7" s="6"/>
      <c r="S7" s="6"/>
      <c r="T7" s="6"/>
      <c r="U7" s="6"/>
      <c r="W7" s="63" t="s">
        <v>608</v>
      </c>
      <c r="X7" s="128">
        <f>X6*0.25</f>
        <v>1894.4401765229111</v>
      </c>
      <c r="Y7" s="128">
        <f t="shared" ref="Y7:AB7" si="2">Y6*0.25</f>
        <v>2274.4893632504027</v>
      </c>
      <c r="Z7" s="128">
        <f t="shared" si="2"/>
        <v>2722.6100757781169</v>
      </c>
      <c r="AA7" s="128">
        <f t="shared" si="2"/>
        <v>3253.5387048554207</v>
      </c>
      <c r="AB7" s="128">
        <f t="shared" si="2"/>
        <v>3884.3165900281365</v>
      </c>
      <c r="AD7" s="63" t="s">
        <v>608</v>
      </c>
      <c r="AE7" s="128">
        <f>AE6*0.25</f>
        <v>687.18788105927786</v>
      </c>
      <c r="AF7" s="128">
        <f t="shared" ref="AF7:AI7" si="3">AF6*0.25</f>
        <v>933.64758427705624</v>
      </c>
      <c r="AG7" s="128">
        <f t="shared" si="3"/>
        <v>1236.6610918082447</v>
      </c>
      <c r="AH7" s="128">
        <f t="shared" si="3"/>
        <v>1621.9065084183794</v>
      </c>
      <c r="AI7" s="128">
        <f t="shared" si="3"/>
        <v>2118.9110923303092</v>
      </c>
      <c r="AK7" s="63" t="s">
        <v>608</v>
      </c>
      <c r="AL7" s="128">
        <f>AL6*0.25</f>
        <v>1151.1213742589439</v>
      </c>
      <c r="AM7" s="128">
        <f t="shared" ref="AM7:AQ7" si="4">AM6*0.25</f>
        <v>1387.3736834133194</v>
      </c>
      <c r="AN7" s="128">
        <f t="shared" si="4"/>
        <v>1673.4827100047719</v>
      </c>
      <c r="AO7" s="128">
        <f t="shared" si="4"/>
        <v>2019.8314779708273</v>
      </c>
      <c r="AP7" s="128">
        <f t="shared" si="4"/>
        <v>2438.9790092096709</v>
      </c>
      <c r="AQ7" s="128">
        <f t="shared" si="4"/>
        <v>2946.1150013188108</v>
      </c>
    </row>
    <row r="8" spans="1:43" s="23" customFormat="1" x14ac:dyDescent="0.3">
      <c r="A8" s="77" t="s">
        <v>569</v>
      </c>
      <c r="B8" s="146">
        <f>B6-B7</f>
        <v>2814.0020041700363</v>
      </c>
      <c r="C8" s="146">
        <f t="shared" ref="C8:F8" si="5">C6-C7</f>
        <v>3174.2949036717596</v>
      </c>
      <c r="D8" s="146">
        <f t="shared" si="5"/>
        <v>3592.732047689401</v>
      </c>
      <c r="E8" s="146">
        <f t="shared" si="5"/>
        <v>4077.7082463674005</v>
      </c>
      <c r="F8" s="146">
        <f t="shared" si="5"/>
        <v>4638.8799738637272</v>
      </c>
      <c r="H8" s="77" t="s">
        <v>569</v>
      </c>
      <c r="I8" s="146">
        <f>I6-I7</f>
        <v>11118.69076752912</v>
      </c>
      <c r="J8" s="146">
        <f t="shared" ref="J8:N8" si="6">J6-J7</f>
        <v>12163.191656928089</v>
      </c>
      <c r="K8" s="146">
        <f t="shared" si="6"/>
        <v>13270.394639640608</v>
      </c>
      <c r="L8" s="146">
        <f t="shared" si="6"/>
        <v>14449.68287215053</v>
      </c>
      <c r="M8" s="146">
        <f t="shared" si="6"/>
        <v>15710.339110136163</v>
      </c>
      <c r="N8" s="146">
        <f t="shared" si="6"/>
        <v>17061.700300090757</v>
      </c>
      <c r="P8" s="77" t="s">
        <v>569</v>
      </c>
      <c r="Q8" s="146">
        <f>Q6-Q7</f>
        <v>31006.737298995078</v>
      </c>
      <c r="R8" s="146">
        <f t="shared" ref="R8:U8" si="7">R6-R7</f>
        <v>33377.307504186007</v>
      </c>
      <c r="S8" s="146">
        <f t="shared" si="7"/>
        <v>35941.959784277387</v>
      </c>
      <c r="T8" s="146">
        <f t="shared" si="7"/>
        <v>38715.923859249888</v>
      </c>
      <c r="U8" s="146">
        <f t="shared" si="7"/>
        <v>41715.676534319093</v>
      </c>
      <c r="W8" s="77" t="s">
        <v>569</v>
      </c>
      <c r="X8" s="146">
        <f>X6-X7</f>
        <v>5683.320529568733</v>
      </c>
      <c r="Y8" s="146">
        <f t="shared" ref="Y8:AB8" si="8">Y6-Y7</f>
        <v>6823.468089751208</v>
      </c>
      <c r="Z8" s="146">
        <f t="shared" si="8"/>
        <v>8167.8302273343506</v>
      </c>
      <c r="AA8" s="146">
        <f t="shared" si="8"/>
        <v>9760.6161145662627</v>
      </c>
      <c r="AB8" s="146">
        <f t="shared" si="8"/>
        <v>11652.949770084409</v>
      </c>
      <c r="AD8" s="77" t="s">
        <v>569</v>
      </c>
      <c r="AE8" s="146">
        <f>AE6-AE7</f>
        <v>2061.5636431778335</v>
      </c>
      <c r="AF8" s="146">
        <f t="shared" ref="AF8:AI8" si="9">AF6-AF7</f>
        <v>2800.9427528311689</v>
      </c>
      <c r="AG8" s="146">
        <f t="shared" si="9"/>
        <v>3709.9832754247341</v>
      </c>
      <c r="AH8" s="146">
        <f t="shared" si="9"/>
        <v>4865.7195252551383</v>
      </c>
      <c r="AI8" s="146">
        <f t="shared" si="9"/>
        <v>6356.7332769909281</v>
      </c>
      <c r="AK8" s="77" t="s">
        <v>569</v>
      </c>
      <c r="AL8" s="146">
        <f>AL6-AL7</f>
        <v>3453.3641227768317</v>
      </c>
      <c r="AM8" s="146">
        <f t="shared" ref="AM8:AQ8" si="10">AM6-AM7</f>
        <v>4162.1210502399581</v>
      </c>
      <c r="AN8" s="146">
        <f t="shared" si="10"/>
        <v>5020.4481300143161</v>
      </c>
      <c r="AO8" s="146">
        <f t="shared" si="10"/>
        <v>6059.4944339124822</v>
      </c>
      <c r="AP8" s="146">
        <f t="shared" si="10"/>
        <v>7316.9370276290128</v>
      </c>
      <c r="AQ8" s="146">
        <f t="shared" si="10"/>
        <v>8838.3450039564323</v>
      </c>
    </row>
    <row r="9" spans="1:43" x14ac:dyDescent="0.3">
      <c r="A9" s="63" t="s">
        <v>609</v>
      </c>
      <c r="B9" s="128">
        <f>'Income Statement Forecast'!D13</f>
        <v>946.07532243402125</v>
      </c>
      <c r="C9" s="128">
        <f>'Income Statement Forecast'!E13</f>
        <v>1180.0471995907992</v>
      </c>
      <c r="D9" s="128">
        <f>'Income Statement Forecast'!F13</f>
        <v>1444.8141725865971</v>
      </c>
      <c r="E9" s="128">
        <f>'Income Statement Forecast'!G13</f>
        <v>1745.5553636342438</v>
      </c>
      <c r="F9" s="128">
        <f>'Income Statement Forecast'!H13</f>
        <v>2088.2330079828062</v>
      </c>
      <c r="H9" s="63" t="s">
        <v>609</v>
      </c>
      <c r="I9" s="128">
        <f>'Income Statement Forecast'!M13</f>
        <v>1557.4766525938317</v>
      </c>
      <c r="J9" s="128">
        <f>'Income Statement Forecast'!N13</f>
        <v>1523.7387207318025</v>
      </c>
      <c r="K9" s="128">
        <f>'Income Statement Forecast'!O13</f>
        <v>1516.9417293442543</v>
      </c>
      <c r="L9" s="128">
        <f>'Income Statement Forecast'!P13</f>
        <v>1533.4155319936758</v>
      </c>
      <c r="M9" s="128">
        <f>'Income Statement Forecast'!Q13</f>
        <v>1570.3203890243035</v>
      </c>
      <c r="N9" s="128">
        <f>'Income Statement Forecast'!R13</f>
        <v>1625.4949858899449</v>
      </c>
      <c r="P9" s="63" t="s">
        <v>609</v>
      </c>
      <c r="Q9" s="128">
        <f>'Income Statement Forecast'!W13</f>
        <v>1456.2428258091584</v>
      </c>
      <c r="R9" s="128">
        <f>'Income Statement Forecast'!X13</f>
        <v>1610.6109824824898</v>
      </c>
      <c r="S9" s="128">
        <f>'Income Statement Forecast'!Y13</f>
        <v>1773.5514431909776</v>
      </c>
      <c r="T9" s="128">
        <f>'Income Statement Forecast'!Z13</f>
        <v>1946.0711921201575</v>
      </c>
      <c r="U9" s="128">
        <f>'Income Statement Forecast'!AA13</f>
        <v>2129.2311419412295</v>
      </c>
      <c r="W9" s="63" t="s">
        <v>609</v>
      </c>
      <c r="X9" s="128">
        <f>'Income Statement Forecast'!AF13</f>
        <v>601.05415421247494</v>
      </c>
      <c r="Y9" s="128">
        <f>'Income Statement Forecast'!AG13</f>
        <v>654.35801434316136</v>
      </c>
      <c r="Z9" s="128">
        <f>'Income Statement Forecast'!AH13</f>
        <v>738.12426599906701</v>
      </c>
      <c r="AA9" s="128">
        <f>'Income Statement Forecast'!AI13</f>
        <v>851.66320137163598</v>
      </c>
      <c r="AB9" s="128">
        <f>'Income Statement Forecast'!AJ13</f>
        <v>996.27630978469779</v>
      </c>
      <c r="AD9" s="63" t="s">
        <v>609</v>
      </c>
      <c r="AE9" s="128">
        <f>'Income Statement Forecast'!AO13</f>
        <v>962.81236861189655</v>
      </c>
      <c r="AF9" s="128">
        <f>'Income Statement Forecast'!AP13</f>
        <v>1095.9420950175584</v>
      </c>
      <c r="AG9" s="128">
        <f>'Income Statement Forecast'!AQ13</f>
        <v>1342.360475165156</v>
      </c>
      <c r="AH9" s="128">
        <f>'Income Statement Forecast'!AR13</f>
        <v>1702.5054256929541</v>
      </c>
      <c r="AI9" s="128">
        <f>'Income Statement Forecast'!AS13</f>
        <v>2192.7673943204195</v>
      </c>
      <c r="AK9" s="63" t="s">
        <v>609</v>
      </c>
      <c r="AL9" s="128">
        <f>'Income Statement Forecast'!AX13</f>
        <v>1054.7742350728856</v>
      </c>
      <c r="AM9" s="128">
        <f>'Income Statement Forecast'!AY13</f>
        <v>1293.3416260670101</v>
      </c>
      <c r="AN9" s="128">
        <f>'Income Statement Forecast'!AZ13</f>
        <v>1580.0184092732616</v>
      </c>
      <c r="AO9" s="128">
        <f>'Income Statement Forecast'!BA13</f>
        <v>1925.0435701654269</v>
      </c>
      <c r="AP9" s="128">
        <f>'Income Statement Forecast'!BB13</f>
        <v>2340.7799435802635</v>
      </c>
      <c r="AQ9" s="128">
        <f>'Income Statement Forecast'!BC13</f>
        <v>2842.1601629585134</v>
      </c>
    </row>
    <row r="10" spans="1:43" s="4" customFormat="1" ht="28.8" x14ac:dyDescent="0.3">
      <c r="A10" s="257" t="s">
        <v>610</v>
      </c>
      <c r="B10" s="265">
        <f>('Balance Sheet Forecast'!C54-'Balance Sheet Forecast'!B54)</f>
        <v>1755.28835576857</v>
      </c>
      <c r="C10" s="265">
        <f>('Balance Sheet Forecast'!D54-'Balance Sheet Forecast'!C54)</f>
        <v>876.5080296557453</v>
      </c>
      <c r="D10" s="265">
        <f>('Balance Sheet Forecast'!E54-'Balance Sheet Forecast'!D54)</f>
        <v>996.04799011749765</v>
      </c>
      <c r="E10" s="265">
        <f>('Balance Sheet Forecast'!F54-'Balance Sheet Forecast'!E54)</f>
        <v>1128.3163162708388</v>
      </c>
      <c r="F10" s="265">
        <f>('Balance Sheet Forecast'!G54-'Balance Sheet Forecast'!F54)</f>
        <v>1273.494638383032</v>
      </c>
      <c r="H10" s="257" t="s">
        <v>610</v>
      </c>
      <c r="I10" s="265">
        <f>('Balance Sheet Forecast'!M59-'Balance Sheet Forecast'!K59)</f>
        <v>-3244.6798464851181</v>
      </c>
      <c r="J10" s="265">
        <f>('Balance Sheet Forecast'!N59-'Balance Sheet Forecast'!M59)</f>
        <v>34.046454785571768</v>
      </c>
      <c r="K10" s="265">
        <f>('Balance Sheet Forecast'!O59-'Balance Sheet Forecast'!N59)</f>
        <v>37.94294049693417</v>
      </c>
      <c r="L10" s="265">
        <f>('Balance Sheet Forecast'!P59-'Balance Sheet Forecast'!O59)</f>
        <v>42.225283225834573</v>
      </c>
      <c r="M10" s="265">
        <f>('Balance Sheet Forecast'!Q59-'Balance Sheet Forecast'!P59)</f>
        <v>46.928937160497298</v>
      </c>
      <c r="N10" s="265">
        <f>('Balance Sheet Forecast'!R59-'Balance Sheet Forecast'!Q59)</f>
        <v>52.092469005801831</v>
      </c>
      <c r="P10" s="257" t="s">
        <v>610</v>
      </c>
      <c r="Q10" s="265">
        <f>('Balance Sheet Forecast'!W67-'Balance Sheet Forecast'!U67)</f>
        <v>-2784.9544560139111</v>
      </c>
      <c r="R10" s="265">
        <f>('Balance Sheet Forecast'!X67-'Balance Sheet Forecast'!W67)</f>
        <v>-111.14195794982879</v>
      </c>
      <c r="S10" s="265">
        <f>('Balance Sheet Forecast'!Y67-'Balance Sheet Forecast'!X67)</f>
        <v>-69.013612456383271</v>
      </c>
      <c r="T10" s="265">
        <f>('Balance Sheet Forecast'!Z67-'Balance Sheet Forecast'!Y67)</f>
        <v>-26.76364270922204</v>
      </c>
      <c r="U10" s="265">
        <f>('Balance Sheet Forecast'!AA67-'Balance Sheet Forecast'!Z67)</f>
        <v>15.803816169463971</v>
      </c>
      <c r="W10" s="257" t="s">
        <v>610</v>
      </c>
      <c r="X10" s="265">
        <f>('Balance Sheet Forecast'!AF77-'Balance Sheet Forecast'!AD77)</f>
        <v>85.917329185118433</v>
      </c>
      <c r="Y10" s="265">
        <f>('Balance Sheet Forecast'!AG77-'Balance Sheet Forecast'!AF77)</f>
        <v>3278.4571138960127</v>
      </c>
      <c r="Z10" s="265">
        <f>('Balance Sheet Forecast'!AH77-'Balance Sheet Forecast'!AG77)</f>
        <v>3909.2468014340848</v>
      </c>
      <c r="AA10" s="265">
        <f>('Balance Sheet Forecast'!AI77-'Balance Sheet Forecast'!AH77)</f>
        <v>4661.4151030098546</v>
      </c>
      <c r="AB10" s="265">
        <f>('Balance Sheet Forecast'!AJ77-'Balance Sheet Forecast'!AI77)</f>
        <v>5558.320609878625</v>
      </c>
      <c r="AD10" s="257" t="s">
        <v>610</v>
      </c>
      <c r="AE10" s="265">
        <f>('Balance Sheet Forecast'!AO70-'Balance Sheet Forecast'!AM70)</f>
        <v>840.47063570488808</v>
      </c>
      <c r="AF10" s="265">
        <f>('Balance Sheet Forecast'!AP70-'Balance Sheet Forecast'!AO70)</f>
        <v>653.08790827976827</v>
      </c>
      <c r="AG10" s="265">
        <f>('Balance Sheet Forecast'!AQ70-'Balance Sheet Forecast'!AP70)</f>
        <v>851.23992522985645</v>
      </c>
      <c r="AH10" s="265">
        <f>('Balance Sheet Forecast'!AR70-'Balance Sheet Forecast'!AQ70)</f>
        <v>1109.5958126341338</v>
      </c>
      <c r="AI10" s="265">
        <f>('Balance Sheet Forecast'!AS70-'Balance Sheet Forecast'!AR70)</f>
        <v>1446.4525527197957</v>
      </c>
      <c r="AK10" s="257" t="s">
        <v>610</v>
      </c>
      <c r="AL10" s="265">
        <f>('Balance Sheet Forecast'!AX77-'Balance Sheet Forecast'!AV77)</f>
        <v>-164.45904446398117</v>
      </c>
      <c r="AM10" s="265">
        <f>('Balance Sheet Forecast'!AY77-'Balance Sheet Forecast'!AX77)</f>
        <v>530.64755757741295</v>
      </c>
      <c r="AN10" s="265">
        <f>('Balance Sheet Forecast'!AZ77-'Balance Sheet Forecast'!AY77)</f>
        <v>641.62855344771106</v>
      </c>
      <c r="AO10" s="265">
        <f>('Balance Sheet Forecast'!BA77-'Balance Sheet Forecast'!AZ77)</f>
        <v>775.82071888971223</v>
      </c>
      <c r="AP10" s="265">
        <f>('Balance Sheet Forecast'!BB77-'Balance Sheet Forecast'!BA77)</f>
        <v>938.07863395810455</v>
      </c>
      <c r="AQ10" s="265">
        <f>('Balance Sheet Forecast'!BC77-'Balance Sheet Forecast'!BB77)</f>
        <v>-5423.461419408959</v>
      </c>
    </row>
    <row r="11" spans="1:43" x14ac:dyDescent="0.3">
      <c r="A11" s="63" t="s">
        <v>611</v>
      </c>
      <c r="B11" s="128">
        <f>'Balance Sheet Forecast'!C49</f>
        <v>4494.9012799092989</v>
      </c>
      <c r="C11" s="128">
        <f>'Balance Sheet Forecast'!D49</f>
        <v>5195.9653426932555</v>
      </c>
      <c r="D11" s="128">
        <f>'Balance Sheet Forecast'!E49</f>
        <v>6006.3801105166813</v>
      </c>
      <c r="E11" s="128">
        <f>'Balance Sheet Forecast'!F49</f>
        <v>6943.2027650601049</v>
      </c>
      <c r="F11" s="128">
        <f>'Balance Sheet Forecast'!G49</f>
        <v>8026.1512805583943</v>
      </c>
      <c r="H11" s="63" t="s">
        <v>611</v>
      </c>
      <c r="I11" s="128">
        <f>'Balance Sheet Forecast'!K47</f>
        <v>1383.5097874516064</v>
      </c>
      <c r="J11" s="128">
        <f>'Balance Sheet Forecast'!L47</f>
        <v>1488.6905948144795</v>
      </c>
      <c r="K11" s="128">
        <f>'Balance Sheet Forecast'!M47</f>
        <v>1601.8875350211292</v>
      </c>
      <c r="L11" s="128">
        <f>'Balance Sheet Forecast'!N47</f>
        <v>1723.7123857663307</v>
      </c>
      <c r="M11" s="128">
        <f>'Balance Sheet Forecast'!O47</f>
        <v>1854.8236505595653</v>
      </c>
      <c r="N11" s="128">
        <f>'Balance Sheet Forecast'!P47</f>
        <v>1995.9301290373371</v>
      </c>
      <c r="P11" s="63" t="s">
        <v>611</v>
      </c>
      <c r="Q11" s="128">
        <f>'Balance Sheet Forecast'!U49</f>
        <v>3303.7819686490952</v>
      </c>
      <c r="R11" s="128">
        <f>'Balance Sheet Forecast'!V49</f>
        <v>3560.7468498709436</v>
      </c>
      <c r="S11" s="128">
        <f>'Balance Sheet Forecast'!W49</f>
        <v>3838.3360200650686</v>
      </c>
      <c r="T11" s="128">
        <f>'Balance Sheet Forecast'!X49</f>
        <v>4138.2019008590705</v>
      </c>
      <c r="U11" s="128">
        <f>'Balance Sheet Forecast'!Y49</f>
        <v>4462.1293190280294</v>
      </c>
      <c r="W11" s="63" t="s">
        <v>611</v>
      </c>
      <c r="X11" s="128">
        <f>'Balance Sheet Forecast'!AD49</f>
        <v>765.47420852817561</v>
      </c>
      <c r="Y11" s="128">
        <f>'Balance Sheet Forecast'!AE49</f>
        <v>912.74177141665291</v>
      </c>
      <c r="Z11" s="128">
        <f>'Balance Sheet Forecast'!AF49</f>
        <v>1088.3442664856291</v>
      </c>
      <c r="AA11" s="128">
        <f>'Balance Sheet Forecast'!AG49</f>
        <v>1297.7339940260995</v>
      </c>
      <c r="AB11" s="128">
        <f>'Balance Sheet Forecast'!AH49</f>
        <v>1547.4125170423326</v>
      </c>
      <c r="AD11" s="63" t="s">
        <v>611</v>
      </c>
      <c r="AE11" s="128">
        <f>'Balance Sheet Forecast'!AM49</f>
        <v>1248.791479721795</v>
      </c>
      <c r="AF11" s="128">
        <f>'Balance Sheet Forecast'!AN49</f>
        <v>1625.2792402094533</v>
      </c>
      <c r="AG11" s="128">
        <f>'Balance Sheet Forecast'!AO49</f>
        <v>2115.9963535175493</v>
      </c>
      <c r="AH11" s="128">
        <f>'Balance Sheet Forecast'!AP49</f>
        <v>2755.6487452536917</v>
      </c>
      <c r="AI11" s="128">
        <f>'Balance Sheet Forecast'!AQ49</f>
        <v>3589.4900632770673</v>
      </c>
      <c r="AK11" s="63" t="s">
        <v>611</v>
      </c>
      <c r="AL11" s="128">
        <f>'Balance Sheet Forecast'!AV49</f>
        <v>3457.3682627862308</v>
      </c>
      <c r="AM11" s="128">
        <f>'Balance Sheet Forecast'!AW49</f>
        <v>4180.4416792020002</v>
      </c>
      <c r="AN11" s="128">
        <f>'Balance Sheet Forecast'!AX49</f>
        <v>5054.7405308341622</v>
      </c>
      <c r="AO11" s="128">
        <f>'Balance Sheet Forecast'!AY49</f>
        <v>6111.8929283591133</v>
      </c>
      <c r="AP11" s="128">
        <f>'Balance Sheet Forecast'!AZ49</f>
        <v>7390.1419526632944</v>
      </c>
      <c r="AQ11" s="128">
        <f>'Balance Sheet Forecast'!BA49</f>
        <v>8935.7291863750452</v>
      </c>
    </row>
    <row r="12" spans="1:43" s="23" customFormat="1" x14ac:dyDescent="0.3">
      <c r="A12" s="77" t="s">
        <v>612</v>
      </c>
      <c r="B12" s="146">
        <f>B8+B9-B10-B11</f>
        <v>-2490.112309073811</v>
      </c>
      <c r="C12" s="146">
        <f t="shared" ref="C12:F12" si="11">C8+C9-C10-C11</f>
        <v>-1718.1312690864415</v>
      </c>
      <c r="D12" s="146">
        <f t="shared" si="11"/>
        <v>-1964.8818803581808</v>
      </c>
      <c r="E12" s="146">
        <f t="shared" si="11"/>
        <v>-2248.2554713292993</v>
      </c>
      <c r="F12" s="146">
        <f t="shared" si="11"/>
        <v>-2572.532937094893</v>
      </c>
      <c r="H12" s="77" t="s">
        <v>612</v>
      </c>
      <c r="I12" s="146">
        <f>I8+I9-I10-I11</f>
        <v>14537.337479156464</v>
      </c>
      <c r="J12" s="146">
        <f t="shared" ref="J12:N12" si="12">J8+J9-J10-J11</f>
        <v>12164.19332805984</v>
      </c>
      <c r="K12" s="146">
        <f t="shared" si="12"/>
        <v>13147.5058934668</v>
      </c>
      <c r="L12" s="146">
        <f t="shared" si="12"/>
        <v>14217.160735152042</v>
      </c>
      <c r="M12" s="146">
        <f t="shared" si="12"/>
        <v>15378.906911440403</v>
      </c>
      <c r="N12" s="146">
        <f t="shared" si="12"/>
        <v>16639.172687937564</v>
      </c>
      <c r="P12" s="77" t="s">
        <v>612</v>
      </c>
      <c r="Q12" s="146">
        <f>Q8+Q9-Q10-Q11</f>
        <v>31944.152612169051</v>
      </c>
      <c r="R12" s="146">
        <f t="shared" ref="R12:U12" si="13">R8+R9-R10-R11</f>
        <v>31538.313594747386</v>
      </c>
      <c r="S12" s="146">
        <f t="shared" si="13"/>
        <v>33946.188819859679</v>
      </c>
      <c r="T12" s="146">
        <f t="shared" si="13"/>
        <v>36550.556793220196</v>
      </c>
      <c r="U12" s="146">
        <f t="shared" si="13"/>
        <v>39366.974541062831</v>
      </c>
      <c r="W12" s="77" t="s">
        <v>612</v>
      </c>
      <c r="X12" s="146">
        <f>X8+X9-X10-X11</f>
        <v>5432.9831460679134</v>
      </c>
      <c r="Y12" s="146">
        <f t="shared" ref="Y12:AB12" si="14">Y8+Y9-Y10-Y11</f>
        <v>3286.627218781703</v>
      </c>
      <c r="Z12" s="146">
        <f t="shared" si="14"/>
        <v>3908.3634254137041</v>
      </c>
      <c r="AA12" s="146">
        <f t="shared" si="14"/>
        <v>4653.1302189019443</v>
      </c>
      <c r="AB12" s="146">
        <f t="shared" si="14"/>
        <v>5543.4929529481506</v>
      </c>
      <c r="AD12" s="77" t="s">
        <v>612</v>
      </c>
      <c r="AE12" s="146">
        <f>AE8+AE9-AE10-AE11</f>
        <v>935.11389636304693</v>
      </c>
      <c r="AF12" s="146">
        <f t="shared" ref="AF12:AI12" si="15">AF8+AF9-AF10-AF11</f>
        <v>1618.5176993595055</v>
      </c>
      <c r="AG12" s="146">
        <f t="shared" si="15"/>
        <v>2085.1074718424843</v>
      </c>
      <c r="AH12" s="146">
        <f t="shared" si="15"/>
        <v>2702.980393060267</v>
      </c>
      <c r="AI12" s="146">
        <f t="shared" si="15"/>
        <v>3513.5580553144841</v>
      </c>
      <c r="AK12" s="77" t="s">
        <v>612</v>
      </c>
      <c r="AL12" s="146">
        <f>AL8+AL9-AL10-AL11</f>
        <v>1215.2291395274679</v>
      </c>
      <c r="AM12" s="146">
        <f t="shared" ref="AM12:AQ12" si="16">AM8+AM9-AM10-AM11</f>
        <v>744.37343952755509</v>
      </c>
      <c r="AN12" s="146">
        <f t="shared" si="16"/>
        <v>904.09745500570443</v>
      </c>
      <c r="AO12" s="146">
        <f t="shared" si="16"/>
        <v>1096.8243568290836</v>
      </c>
      <c r="AP12" s="146">
        <f t="shared" si="16"/>
        <v>1329.4963845878774</v>
      </c>
      <c r="AQ12" s="146">
        <f t="shared" si="16"/>
        <v>8168.2373999488609</v>
      </c>
    </row>
    <row r="13" spans="1:43" x14ac:dyDescent="0.3">
      <c r="H13" s="63" t="s">
        <v>637</v>
      </c>
      <c r="I13" s="96">
        <f ca="1">1/(1+'WACC &amp; Key Assumptions'!$C$17)^1</f>
        <v>0.88425111051122607</v>
      </c>
      <c r="J13" s="96">
        <f ca="1">1/(1+'WACC &amp; Key Assumptions'!$C$17)^2</f>
        <v>0.78190002644033663</v>
      </c>
      <c r="K13" s="96">
        <f ca="1">1/(1+'WACC &amp; Key Assumptions'!$C$17)^3</f>
        <v>0.6913959666886248</v>
      </c>
      <c r="L13" s="96">
        <f ca="1">1/(1+'WACC &amp; Key Assumptions'!$C$17)^4</f>
        <v>0.61136765134739912</v>
      </c>
      <c r="M13" s="96">
        <f ca="1">1/(1+'WACC &amp; Key Assumptions'!$C$17)^5</f>
        <v>0.54060252463457781</v>
      </c>
      <c r="N13" s="96">
        <f ca="1">1/(1+'WACC &amp; Key Assumptions'!$C$17)^6</f>
        <v>0.47802838275329784</v>
      </c>
      <c r="P13" s="63" t="s">
        <v>637</v>
      </c>
      <c r="Q13" s="96">
        <f ca="1">1/(1+'WACC &amp; Key Assumptions'!$D$17)^1</f>
        <v>0.88492047203130531</v>
      </c>
      <c r="R13" s="96">
        <f ca="1">1/(1+'WACC &amp; Key Assumptions'!$D$17)^2</f>
        <v>0.78308424182010816</v>
      </c>
      <c r="S13" s="96">
        <f ca="1">1/(1+'WACC &amp; Key Assumptions'!$D$17)^3</f>
        <v>0.69296727691172699</v>
      </c>
      <c r="T13" s="96">
        <f ca="1">1/(1+'WACC &amp; Key Assumptions'!$D$17)^4</f>
        <v>0.61322092978697373</v>
      </c>
      <c r="U13" s="96">
        <f ca="1">1/(1+'WACC &amp; Key Assumptions'!$D$17)^5</f>
        <v>0.54265175464656468</v>
      </c>
      <c r="W13" s="63" t="s">
        <v>637</v>
      </c>
      <c r="X13" s="96">
        <f ca="1">1/(1+'WACC &amp; Key Assumptions'!$E$17)^1</f>
        <v>0.88603543079751879</v>
      </c>
      <c r="Y13" s="96">
        <f ca="1">1/(1+'WACC &amp; Key Assumptions'!$E$17)^2</f>
        <v>0.78505878462854461</v>
      </c>
      <c r="Z13" s="96">
        <f ca="1">1/(1+'WACC &amp; Key Assumptions'!$E$17)^3</f>
        <v>0.69558989843972907</v>
      </c>
      <c r="AA13" s="96">
        <f ca="1">1/(1+'WACC &amp; Key Assumptions'!$E$17)^4</f>
        <v>0.61631729532244761</v>
      </c>
      <c r="AB13" s="96">
        <f ca="1">1/(1+'WACC &amp; Key Assumptions'!$E$17)^5</f>
        <v>0.5460789602689865</v>
      </c>
      <c r="AD13" s="63" t="s">
        <v>637</v>
      </c>
      <c r="AE13" s="96">
        <f ca="1">1/(1+'WACC &amp; Key Assumptions'!$F$17)^1</f>
        <v>0.85425730600503225</v>
      </c>
      <c r="AF13" s="96">
        <f ca="1">1/(1+'WACC &amp; Key Assumptions'!$F$17)^2</f>
        <v>0.72975554486297534</v>
      </c>
      <c r="AG13" s="96">
        <f ca="1">1/(1+'WACC &amp; Key Assumptions'!$F$17)^3</f>
        <v>0.62339900579687979</v>
      </c>
      <c r="AH13" s="96">
        <f ca="1">1/(1+'WACC &amp; Key Assumptions'!$F$17)^4</f>
        <v>0.53254315525825802</v>
      </c>
      <c r="AI13" s="96">
        <f ca="1">1/(1+'WACC &amp; Key Assumptions'!$F$17)^5</f>
        <v>0.45492888114233904</v>
      </c>
      <c r="AK13" s="63" t="s">
        <v>637</v>
      </c>
      <c r="AL13" s="96">
        <f ca="1">1/(1+'WACC &amp; Key Assumptions'!$G$17)^1</f>
        <v>0.88415165964587217</v>
      </c>
      <c r="AM13" s="96">
        <f ca="1">1/(1+'WACC &amp; Key Assumptions'!$G$17)^2</f>
        <v>0.78172415725455013</v>
      </c>
      <c r="AN13" s="96">
        <f ca="1">1/(1+'WACC &amp; Key Assumptions'!$G$17)^3</f>
        <v>0.69116271102188132</v>
      </c>
      <c r="AO13" s="96">
        <f ca="1">1/(1+'WACC &amp; Key Assumptions'!$G$17)^4</f>
        <v>0.61109265803533663</v>
      </c>
      <c r="AP13" s="96">
        <f ca="1">1/(1+'WACC &amp; Key Assumptions'!$G$17)^5</f>
        <v>0.54029858779935036</v>
      </c>
      <c r="AQ13" s="96">
        <f ca="1">1/(1+'WACC &amp; Key Assumptions'!$G$17)^6</f>
        <v>0.47770589310711653</v>
      </c>
    </row>
    <row r="14" spans="1:43" s="23" customFormat="1" x14ac:dyDescent="0.3">
      <c r="B14" s="75"/>
      <c r="C14" s="75"/>
      <c r="D14" s="75"/>
      <c r="E14" s="75"/>
      <c r="F14" s="75"/>
      <c r="H14" s="77" t="s">
        <v>638</v>
      </c>
      <c r="I14" s="146">
        <f ca="1">I12*I13</f>
        <v>12854.656809820572</v>
      </c>
      <c r="J14" s="146">
        <f t="shared" ref="J14:N14" ca="1" si="17">J12*J13</f>
        <v>9511.1830848353566</v>
      </c>
      <c r="K14" s="146">
        <f t="shared" ca="1" si="17"/>
        <v>9090.1325467578699</v>
      </c>
      <c r="L14" s="146">
        <f t="shared" ca="1" si="17"/>
        <v>8691.9121674783655</v>
      </c>
      <c r="M14" s="146">
        <f t="shared" ca="1" si="17"/>
        <v>8313.8759024448391</v>
      </c>
      <c r="N14" s="146">
        <f t="shared" ca="1" si="17"/>
        <v>7953.9968103676374</v>
      </c>
      <c r="P14" s="77" t="s">
        <v>638</v>
      </c>
      <c r="Q14" s="146">
        <f ca="1">Q12*Q13</f>
        <v>28268.034608200691</v>
      </c>
      <c r="R14" s="146">
        <f t="shared" ref="R14:U14" ca="1" si="18">R12*R13</f>
        <v>24697.156389627566</v>
      </c>
      <c r="S14" s="146">
        <f t="shared" ca="1" si="18"/>
        <v>23523.598028029472</v>
      </c>
      <c r="T14" s="146">
        <f t="shared" ca="1" si="18"/>
        <v>22413.566420970077</v>
      </c>
      <c r="U14" s="146">
        <f t="shared" ca="1" si="18"/>
        <v>21362.557809834387</v>
      </c>
      <c r="W14" s="77" t="s">
        <v>638</v>
      </c>
      <c r="X14" s="146">
        <f ca="1">X12*X13</f>
        <v>4813.8155623419425</v>
      </c>
      <c r="Y14" s="146">
        <f t="shared" ref="Y14:AB14" ca="1" si="19">Y12*Y13</f>
        <v>2580.1955699038576</v>
      </c>
      <c r="Z14" s="146">
        <f t="shared" ca="1" si="19"/>
        <v>2718.6181181490701</v>
      </c>
      <c r="AA14" s="146">
        <f t="shared" ca="1" si="19"/>
        <v>2867.8046312967949</v>
      </c>
      <c r="AB14" s="146">
        <f t="shared" ca="1" si="19"/>
        <v>3027.18486800438</v>
      </c>
      <c r="AD14" s="77" t="s">
        <v>638</v>
      </c>
      <c r="AE14" s="146">
        <f ca="1">AE12*AE13</f>
        <v>798.82787791496537</v>
      </c>
      <c r="AF14" s="146">
        <f t="shared" ref="AF14:AI14" ca="1" si="20">AF12*AF13</f>
        <v>1181.1222655664653</v>
      </c>
      <c r="AG14" s="146">
        <f t="shared" ca="1" si="20"/>
        <v>1299.8539249262503</v>
      </c>
      <c r="AH14" s="146">
        <f t="shared" ca="1" si="20"/>
        <v>1439.4537071215211</v>
      </c>
      <c r="AI14" s="146">
        <f t="shared" ca="1" si="20"/>
        <v>1598.4190349328708</v>
      </c>
      <c r="AK14" s="77" t="s">
        <v>638</v>
      </c>
      <c r="AL14" s="146">
        <f ca="1">AL12*AL13</f>
        <v>1074.4468605632358</v>
      </c>
      <c r="AM14" s="146">
        <f t="shared" ref="AM14:AQ14" ca="1" si="21">AM12*AM13</f>
        <v>581.89469969734887</v>
      </c>
      <c r="AN14" s="146">
        <f t="shared" ca="1" si="21"/>
        <v>624.87844802972609</v>
      </c>
      <c r="AO14" s="146">
        <f t="shared" ca="1" si="21"/>
        <v>670.2613116125832</v>
      </c>
      <c r="AP14" s="146">
        <f t="shared" ca="1" si="21"/>
        <v>718.3250190771721</v>
      </c>
      <c r="AQ14" s="146">
        <f t="shared" ca="1" si="21"/>
        <v>3902.0151422535218</v>
      </c>
    </row>
    <row r="15" spans="1:43" x14ac:dyDescent="0.3">
      <c r="AL15" s="3"/>
      <c r="AM15" s="3"/>
      <c r="AN15" s="3"/>
      <c r="AO15" s="3"/>
      <c r="AP15" s="3"/>
      <c r="AQ15" s="3"/>
    </row>
    <row r="16" spans="1:43" x14ac:dyDescent="0.3">
      <c r="H16" s="77" t="s">
        <v>497</v>
      </c>
      <c r="I16" s="198" t="s">
        <v>622</v>
      </c>
      <c r="P16" s="77" t="s">
        <v>497</v>
      </c>
      <c r="Q16" s="198" t="s">
        <v>622</v>
      </c>
      <c r="W16" s="77" t="s">
        <v>497</v>
      </c>
      <c r="X16" s="198" t="s">
        <v>622</v>
      </c>
      <c r="AD16" s="77" t="s">
        <v>497</v>
      </c>
      <c r="AE16" s="198" t="s">
        <v>622</v>
      </c>
      <c r="AK16" s="77" t="s">
        <v>497</v>
      </c>
      <c r="AL16" s="198" t="s">
        <v>622</v>
      </c>
      <c r="AM16" s="3"/>
      <c r="AN16" s="3"/>
      <c r="AO16" s="3"/>
      <c r="AP16" s="3"/>
      <c r="AQ16" s="3"/>
    </row>
    <row r="17" spans="8:43" x14ac:dyDescent="0.3">
      <c r="H17" s="63" t="s">
        <v>639</v>
      </c>
      <c r="I17" s="128">
        <f ca="1">N12/(Table48[[#This Row],[HUL]]-'WACC &amp; Key Assumptions'!C18)</f>
        <v>188224.92615286831</v>
      </c>
      <c r="P17" s="63" t="s">
        <v>639</v>
      </c>
      <c r="Q17" s="128">
        <f ca="1">U12/(Table48[[#This Row],[ITC]]-'WACC &amp; Key Assumptions'!D18)</f>
        <v>449676.7557359176</v>
      </c>
      <c r="W17" s="63" t="s">
        <v>639</v>
      </c>
      <c r="X17" s="128">
        <f ca="1">AB12/(Table48[[#This Row],[Titan]]-'WACC &amp; Key Assumptions'!E18)</f>
        <v>68334.38521432814</v>
      </c>
      <c r="AD17" s="63" t="s">
        <v>639</v>
      </c>
      <c r="AE17" s="128">
        <f ca="1">AI12/(Table48[[#This Row],[Trent]]-'WACC &amp; Key Assumptions'!F18)</f>
        <v>28540.571186468831</v>
      </c>
      <c r="AK17" s="63" t="s">
        <v>639</v>
      </c>
      <c r="AL17" s="128">
        <f ca="1">AQ12/(Table48[[#This Row],[VBL]]-'WACC &amp; Key Assumptions'!G18)</f>
        <v>92267.609851917601</v>
      </c>
      <c r="AM17" s="3"/>
      <c r="AN17" s="3"/>
      <c r="AO17" s="3"/>
      <c r="AP17" s="3"/>
      <c r="AQ17" s="3"/>
    </row>
    <row r="18" spans="8:43" x14ac:dyDescent="0.3">
      <c r="H18" s="63" t="s">
        <v>641</v>
      </c>
      <c r="I18" s="128">
        <f ca="1">I17/(1+'WACC &amp; Key Assumptions'!C17)^6</f>
        <v>89976.857042714561</v>
      </c>
      <c r="P18" s="63" t="s">
        <v>641</v>
      </c>
      <c r="Q18" s="128">
        <f ca="1">Q17/(1+'WACC &amp; Key Assumptions'!D17)^5</f>
        <v>244017.88052387038</v>
      </c>
      <c r="W18" s="63" t="s">
        <v>641</v>
      </c>
      <c r="X18" s="128">
        <f ca="1">X17/(1+'WACC &amp; Key Assumptions'!E17)^5</f>
        <v>37315.970028460717</v>
      </c>
      <c r="AD18" s="63" t="s">
        <v>641</v>
      </c>
      <c r="AE18" s="128">
        <f ca="1">AE17/(1+'WACC &amp; Key Assumptions'!F17)^5</f>
        <v>12983.930117023545</v>
      </c>
      <c r="AK18" s="63" t="s">
        <v>641</v>
      </c>
      <c r="AL18" s="128">
        <f ca="1">AL17/(1+'WACC &amp; Key Assumptions'!G17)^6</f>
        <v>44076.780969169282</v>
      </c>
      <c r="AM18" s="3"/>
      <c r="AN18" s="3"/>
      <c r="AO18" s="3"/>
      <c r="AP18" s="3"/>
      <c r="AQ18" s="3"/>
    </row>
    <row r="19" spans="8:43" x14ac:dyDescent="0.3">
      <c r="H19" s="63" t="s">
        <v>638</v>
      </c>
      <c r="I19" s="128">
        <f ca="1">SUM(I14:N14)</f>
        <v>56415.757321704637</v>
      </c>
      <c r="P19" s="63" t="s">
        <v>638</v>
      </c>
      <c r="Q19" s="128">
        <f ca="1">SUM(Q14:U14)</f>
        <v>120264.91325666218</v>
      </c>
      <c r="W19" s="63" t="s">
        <v>638</v>
      </c>
      <c r="X19" s="128">
        <f ca="1">SUM(X14:AB14)</f>
        <v>16007.618749696045</v>
      </c>
      <c r="AD19" s="63" t="s">
        <v>638</v>
      </c>
      <c r="AE19" s="128">
        <f ca="1">SUM(AE14:AI14)</f>
        <v>6317.6768104620733</v>
      </c>
      <c r="AK19" s="63" t="s">
        <v>638</v>
      </c>
      <c r="AL19" s="128">
        <f ca="1">SUM(AL14:AQ14)</f>
        <v>7571.8214812335882</v>
      </c>
      <c r="AM19" s="3"/>
      <c r="AN19" s="3"/>
      <c r="AO19" s="3"/>
      <c r="AP19" s="3"/>
      <c r="AQ19" s="3"/>
    </row>
    <row r="20" spans="8:43" x14ac:dyDescent="0.3">
      <c r="H20" s="63" t="s">
        <v>642</v>
      </c>
      <c r="I20" s="128">
        <f ca="1">I18+I19</f>
        <v>146392.61436441919</v>
      </c>
      <c r="P20" s="63" t="s">
        <v>642</v>
      </c>
      <c r="Q20" s="128">
        <f ca="1">Q18+Q19</f>
        <v>364282.79378053255</v>
      </c>
      <c r="W20" s="63" t="s">
        <v>642</v>
      </c>
      <c r="X20" s="128">
        <f ca="1">X18+X19</f>
        <v>53323.588778156758</v>
      </c>
      <c r="AD20" s="63" t="s">
        <v>642</v>
      </c>
      <c r="AE20" s="128">
        <f ca="1">AE18+AE19</f>
        <v>19301.60692748562</v>
      </c>
      <c r="AK20" s="63" t="s">
        <v>642</v>
      </c>
      <c r="AL20" s="128">
        <f ca="1">AL18+AL19</f>
        <v>51648.602450402868</v>
      </c>
      <c r="AM20" s="3"/>
      <c r="AN20" s="3"/>
      <c r="AO20" s="3"/>
      <c r="AP20" s="3"/>
      <c r="AQ20" s="3"/>
    </row>
    <row r="21" spans="8:43" x14ac:dyDescent="0.3">
      <c r="H21" s="63" t="s">
        <v>620</v>
      </c>
      <c r="I21" s="128">
        <f>'WACC &amp; Key Assumptions'!C13-'Balance Sheet'!N23</f>
        <v>659</v>
      </c>
      <c r="P21" s="63" t="s">
        <v>620</v>
      </c>
      <c r="Q21" s="128">
        <f>'WACC &amp; Key Assumptions'!D13-'Balance Sheet'!V27</f>
        <v>-335.46</v>
      </c>
      <c r="W21" s="63" t="s">
        <v>620</v>
      </c>
      <c r="X21" s="128">
        <f>'WACC &amp; Key Assumptions'!E13-'Balance Sheet'!AD23</f>
        <v>9879</v>
      </c>
      <c r="AD21" s="63" t="s">
        <v>620</v>
      </c>
      <c r="AE21" s="128">
        <f>'WACC &amp; Key Assumptions'!F13-'Balance Sheet'!AL22</f>
        <v>160.72999999999996</v>
      </c>
      <c r="AK21" s="63" t="s">
        <v>620</v>
      </c>
      <c r="AL21" s="128">
        <f>'WACC &amp; Key Assumptions'!G13-Table9[[#This Row],[2024]]</f>
        <v>97.981999999999971</v>
      </c>
      <c r="AM21" s="3"/>
      <c r="AN21" s="3"/>
      <c r="AO21" s="3"/>
      <c r="AP21" s="3"/>
      <c r="AQ21" s="3"/>
    </row>
    <row r="22" spans="8:43" x14ac:dyDescent="0.3">
      <c r="H22" s="63" t="s">
        <v>643</v>
      </c>
      <c r="I22" s="128">
        <f ca="1">I20-I21</f>
        <v>145733.61436441919</v>
      </c>
      <c r="P22" s="63" t="s">
        <v>643</v>
      </c>
      <c r="Q22" s="128">
        <f ca="1">Q20-Q21</f>
        <v>364618.25378053257</v>
      </c>
      <c r="W22" s="63" t="s">
        <v>643</v>
      </c>
      <c r="X22" s="128">
        <f ca="1">X20-X21</f>
        <v>43444.588778156758</v>
      </c>
      <c r="AD22" s="63" t="s">
        <v>643</v>
      </c>
      <c r="AE22" s="128">
        <f ca="1">AE20-AE21</f>
        <v>19140.87692748562</v>
      </c>
      <c r="AK22" s="63" t="s">
        <v>643</v>
      </c>
      <c r="AL22" s="128">
        <f ca="1">AL20-AL21</f>
        <v>51550.620450402872</v>
      </c>
      <c r="AM22" s="3"/>
      <c r="AN22" s="3"/>
      <c r="AO22" s="3"/>
      <c r="AP22" s="3"/>
      <c r="AQ22" s="3"/>
    </row>
    <row r="23" spans="8:43" x14ac:dyDescent="0.3">
      <c r="H23" s="63" t="s">
        <v>644</v>
      </c>
      <c r="I23" s="32">
        <f ca="1">I22/I24</f>
        <v>620.25098991449659</v>
      </c>
      <c r="P23" s="63" t="s">
        <v>644</v>
      </c>
      <c r="Q23" s="32">
        <f ca="1">Q22/Q24</f>
        <v>291.04638451683013</v>
      </c>
      <c r="W23" s="63" t="s">
        <v>644</v>
      </c>
      <c r="X23" s="32">
        <f ca="1">X22/X24</f>
        <v>489.76741974910135</v>
      </c>
      <c r="AD23" s="63" t="s">
        <v>644</v>
      </c>
      <c r="AE23" s="32">
        <f ca="1">AE22/AE24</f>
        <v>538.44022440973652</v>
      </c>
      <c r="AK23" s="63" t="s">
        <v>644</v>
      </c>
      <c r="AL23" s="32">
        <f ca="1">AL22/AL24</f>
        <v>152.42693116507144</v>
      </c>
      <c r="AM23" s="3"/>
      <c r="AN23" s="3"/>
      <c r="AO23" s="3"/>
      <c r="AP23" s="3"/>
      <c r="AQ23" s="3"/>
    </row>
    <row r="24" spans="8:43" x14ac:dyDescent="0.3">
      <c r="H24" s="63" t="s">
        <v>621</v>
      </c>
      <c r="I24" s="32">
        <f ca="1">'Company Profile'!G9</f>
        <v>234.95910000000001</v>
      </c>
      <c r="P24" s="63" t="s">
        <v>621</v>
      </c>
      <c r="Q24" s="32">
        <f ca="1">'Company Profile'!C9</f>
        <v>1252.7840000000001</v>
      </c>
      <c r="W24" s="63" t="s">
        <v>621</v>
      </c>
      <c r="X24" s="32">
        <f ca="1">'Company Profile'!F9</f>
        <v>88.704530000000005</v>
      </c>
      <c r="AD24" s="63" t="s">
        <v>621</v>
      </c>
      <c r="AE24" s="32">
        <f ca="1">'Company Profile'!D9</f>
        <v>35.548749999999998</v>
      </c>
      <c r="AK24" s="63" t="s">
        <v>621</v>
      </c>
      <c r="AL24" s="32">
        <f ca="1">'Company Profile'!E9</f>
        <v>338.19889999999998</v>
      </c>
      <c r="AM24" s="3"/>
      <c r="AN24" s="3"/>
      <c r="AO24" s="3"/>
      <c r="AP24" s="3"/>
      <c r="AQ24" s="3"/>
    </row>
    <row r="25" spans="8:43" x14ac:dyDescent="0.3">
      <c r="H25" s="63" t="s">
        <v>627</v>
      </c>
      <c r="I25" s="32">
        <f ca="1">'Company Profile'!G10</f>
        <v>2408.8000000000002</v>
      </c>
      <c r="P25" s="63" t="s">
        <v>627</v>
      </c>
      <c r="Q25" s="32">
        <f ca="1">'Company Profile'!C10</f>
        <v>405.55</v>
      </c>
      <c r="W25" s="63" t="s">
        <v>627</v>
      </c>
      <c r="X25" s="32">
        <f ca="1">'Company Profile'!F10</f>
        <v>3803</v>
      </c>
      <c r="AD25" s="63" t="s">
        <v>627</v>
      </c>
      <c r="AE25" s="32">
        <f ca="1">'Company Profile'!D10</f>
        <v>4283.7</v>
      </c>
      <c r="AK25" s="63" t="s">
        <v>627</v>
      </c>
      <c r="AL25" s="32">
        <f ca="1">'Company Profile'!E10</f>
        <v>463.25</v>
      </c>
      <c r="AM25" s="3"/>
      <c r="AN25" s="3"/>
      <c r="AO25" s="3"/>
      <c r="AP25" s="3"/>
      <c r="AQ25" s="3"/>
    </row>
    <row r="26" spans="8:43" x14ac:dyDescent="0.3">
      <c r="H26" s="63" t="s">
        <v>630</v>
      </c>
      <c r="I26" s="96">
        <f ca="1">(I23-I25)/I25</f>
        <v>-0.74250623135399507</v>
      </c>
      <c r="P26" s="63" t="s">
        <v>630</v>
      </c>
      <c r="Q26" s="96">
        <f ca="1">(Q23-Q25)/Q25</f>
        <v>-0.28234154970575731</v>
      </c>
      <c r="W26" s="63" t="s">
        <v>630</v>
      </c>
      <c r="X26" s="96">
        <f ca="1">(X23-X25)/X25</f>
        <v>-0.87121550887480903</v>
      </c>
      <c r="AD26" s="63" t="s">
        <v>630</v>
      </c>
      <c r="AE26" s="96">
        <f ca="1">(AE23-AE25)/AE25</f>
        <v>-0.87430487092706388</v>
      </c>
      <c r="AK26" s="63" t="s">
        <v>630</v>
      </c>
      <c r="AL26" s="96">
        <f ca="1">(AL23-AL25)/AL25</f>
        <v>-0.67096183234739026</v>
      </c>
      <c r="AM26" s="3"/>
      <c r="AN26" s="3"/>
      <c r="AO26" s="3"/>
      <c r="AP26" s="3"/>
      <c r="AQ26" s="3"/>
    </row>
  </sheetData>
  <mergeCells count="6">
    <mergeCell ref="W2:W3"/>
    <mergeCell ref="AD2:AD3"/>
    <mergeCell ref="AK2:AK3"/>
    <mergeCell ref="A2:B3"/>
    <mergeCell ref="H2:H3"/>
    <mergeCell ref="P2:P3"/>
  </mergeCells>
  <conditionalFormatting sqref="I26">
    <cfRule type="cellIs" dxfId="11" priority="9" operator="lessThan">
      <formula>0</formula>
    </cfRule>
    <cfRule type="cellIs" dxfId="10" priority="10" operator="greaterThan">
      <formula>0</formula>
    </cfRule>
  </conditionalFormatting>
  <conditionalFormatting sqref="Q26">
    <cfRule type="cellIs" dxfId="9" priority="7" operator="lessThan">
      <formula>0</formula>
    </cfRule>
    <cfRule type="cellIs" dxfId="8" priority="8" operator="greaterThan">
      <formula>0</formula>
    </cfRule>
  </conditionalFormatting>
  <conditionalFormatting sqref="X26">
    <cfRule type="cellIs" dxfId="7" priority="5" operator="lessThan">
      <formula>0</formula>
    </cfRule>
    <cfRule type="cellIs" dxfId="6" priority="6" operator="greaterThan">
      <formula>0</formula>
    </cfRule>
  </conditionalFormatting>
  <conditionalFormatting sqref="AE26">
    <cfRule type="cellIs" dxfId="5" priority="3" operator="lessThan">
      <formula>0</formula>
    </cfRule>
    <cfRule type="cellIs" dxfId="4" priority="4" operator="greaterThan">
      <formula>0</formula>
    </cfRule>
  </conditionalFormatting>
  <conditionalFormatting sqref="AL26">
    <cfRule type="cellIs" dxfId="3" priority="1" operator="lessThan">
      <formula>0</formula>
    </cfRule>
    <cfRule type="cellIs" dxfId="2" priority="2" operator="greater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83900-48CF-4677-8227-C2C843464331}">
  <dimension ref="A1:M29"/>
  <sheetViews>
    <sheetView topLeftCell="H1" workbookViewId="0">
      <selection activeCell="E25" sqref="E25"/>
    </sheetView>
  </sheetViews>
  <sheetFormatPr defaultRowHeight="14.4" x14ac:dyDescent="0.3"/>
  <cols>
    <col min="1" max="1" width="8.88671875" style="1"/>
    <col min="2" max="2" width="12.77734375" style="1" bestFit="1" customWidth="1"/>
    <col min="3" max="3" width="8.88671875" style="1"/>
    <col min="4" max="4" width="8.88671875" style="84"/>
    <col min="5" max="6" width="8.88671875" style="1"/>
    <col min="7" max="7" width="9.109375" style="1" bestFit="1" customWidth="1"/>
    <col min="8" max="8" width="8.88671875" style="1"/>
    <col min="9" max="9" width="9.88671875" style="1" bestFit="1" customWidth="1"/>
    <col min="10" max="10" width="16.21875" style="1" bestFit="1" customWidth="1"/>
    <col min="11" max="12" width="9.88671875" style="1" bestFit="1" customWidth="1"/>
    <col min="13" max="13" width="16.21875" style="1" bestFit="1" customWidth="1"/>
    <col min="14" max="16384" width="8.88671875" style="1"/>
  </cols>
  <sheetData>
    <row r="1" spans="1:13" s="23" customFormat="1" x14ac:dyDescent="0.3">
      <c r="A1" s="77" t="s">
        <v>654</v>
      </c>
      <c r="B1" s="77" t="s">
        <v>497</v>
      </c>
      <c r="C1" s="77" t="s">
        <v>0</v>
      </c>
      <c r="D1" s="77" t="s">
        <v>655</v>
      </c>
      <c r="G1" s="77" t="s">
        <v>0</v>
      </c>
      <c r="H1" s="272" t="s">
        <v>663</v>
      </c>
      <c r="I1" s="272" t="s">
        <v>664</v>
      </c>
      <c r="J1" s="272" t="s">
        <v>656</v>
      </c>
      <c r="K1" s="272" t="s">
        <v>663</v>
      </c>
      <c r="L1" s="272" t="s">
        <v>664</v>
      </c>
      <c r="M1" s="272" t="s">
        <v>656</v>
      </c>
    </row>
    <row r="2" spans="1:13" x14ac:dyDescent="0.3">
      <c r="A2" s="63" t="s">
        <v>657</v>
      </c>
      <c r="B2" s="63" t="s">
        <v>661</v>
      </c>
      <c r="C2" s="63" t="s">
        <v>649</v>
      </c>
      <c r="D2" s="66">
        <f>ABS(AVERAGE('Cash Flow Statement'!B39:G39))</f>
        <v>2419.7083333333335</v>
      </c>
      <c r="G2" s="63" t="str">
        <f>C2</f>
        <v>Dmart</v>
      </c>
      <c r="H2" s="127">
        <f>(('Income Statement'!G15+'Income Statement'!G11)-('Income Statement'!B15-'Income Statement'!B11))</f>
        <v>2066.4699999999939</v>
      </c>
      <c r="I2" s="127">
        <f>(('Balance Sheet'!G28-'Balance Sheet'!G55)-('Balance Sheet'!B28-'Balance Sheet'!B55))</f>
        <v>10757.479999999994</v>
      </c>
      <c r="J2" s="91">
        <f>H2/I2</f>
        <v>0.19209610429208282</v>
      </c>
      <c r="K2" s="127">
        <f>'Income Statement Forecast'!H14-'Income Statement Forecast'!D14</f>
        <v>2433.1706262582547</v>
      </c>
      <c r="L2" s="127">
        <f>(('Balance Sheet Forecast'!H16-SUM('Balance Sheet Forecast'!H28:H32))-('Balance Sheet Forecast'!D16-SUM('Balance Sheet Forecast'!D28:D32)))</f>
        <v>13444.752512068058</v>
      </c>
      <c r="M2" s="91">
        <f>K2/L2</f>
        <v>0.18097548646389972</v>
      </c>
    </row>
    <row r="3" spans="1:13" x14ac:dyDescent="0.3">
      <c r="A3" s="63" t="s">
        <v>658</v>
      </c>
      <c r="B3" s="63" t="s">
        <v>661</v>
      </c>
      <c r="C3" s="63" t="s">
        <v>601</v>
      </c>
      <c r="D3" s="66">
        <f>ABS(AVERAGE('Cash Flow Statement'!J35:N35))</f>
        <v>1091.5999999999999</v>
      </c>
      <c r="G3" s="63" t="str">
        <f t="shared" ref="G3:G8" si="0">C3</f>
        <v>HUL</v>
      </c>
      <c r="H3" s="127">
        <f>(('Income Statement'!N16+'Income Statement'!N12)-('Income Statement'!J16+'Income Statement'!J12))</f>
        <v>4767</v>
      </c>
      <c r="I3" s="127">
        <f>('Balance Sheet'!N29-'Balance Sheet'!N52)-('Balance Sheet'!J29-'Balance Sheet'!J52)</f>
        <v>55661</v>
      </c>
      <c r="J3" s="91">
        <f t="shared" ref="J3:J7" si="1">H3/I3</f>
        <v>8.5643448734302297E-2</v>
      </c>
      <c r="K3" s="127">
        <f>'Income Statement Forecast'!R14-'Income Statement Forecast'!M14</f>
        <v>7924.012710082181</v>
      </c>
      <c r="L3" s="127">
        <f>(('Balance Sheet Forecast'!R17-SUM('Balance Sheet Forecast'!R29:R32))-('Balance Sheet Forecast'!M17-SUM('Balance Sheet Forecast'!M29:M32)))</f>
        <v>22602.554898191011</v>
      </c>
      <c r="M3" s="91">
        <f t="shared" ref="M3:M7" si="2">K3/L3</f>
        <v>0.35058039879891528</v>
      </c>
    </row>
    <row r="4" spans="1:13" x14ac:dyDescent="0.3">
      <c r="A4" s="63" t="s">
        <v>657</v>
      </c>
      <c r="B4" s="63" t="s">
        <v>661</v>
      </c>
      <c r="C4" s="63" t="s">
        <v>602</v>
      </c>
      <c r="D4" s="66">
        <f>ABS(AVERAGE('Cash Flow Statement'!Q31:V31))</f>
        <v>2500.6083333333336</v>
      </c>
      <c r="G4" s="63" t="str">
        <f t="shared" si="0"/>
        <v>ITC</v>
      </c>
      <c r="H4" s="127">
        <f>(('Income Statement'!V18+'Income Statement'!V13)-('Income Statement'!Q18+'Income Statement'!Q13))</f>
        <v>6750.6400000000031</v>
      </c>
      <c r="I4" s="127">
        <f>('Balance Sheet'!V33-'Balance Sheet'!V60)-('Balance Sheet'!Q33-'Balance Sheet'!Q60)</f>
        <v>5949.6999999999971</v>
      </c>
      <c r="J4" s="91">
        <f t="shared" si="1"/>
        <v>1.13461855219591</v>
      </c>
      <c r="K4" s="127">
        <f>'Income Statement Forecast'!AA14-'Income Statement Forecast'!W14</f>
        <v>10708.939235324015</v>
      </c>
      <c r="L4" s="127">
        <f>(('Balance Sheet Forecast'!AA17-SUM('Balance Sheet Forecast'!AA29:AA32))-('Balance Sheet Forecast'!W17-SUM('Balance Sheet Forecast'!W29:W32)))</f>
        <v>19850.24713279921</v>
      </c>
      <c r="M4" s="91">
        <f t="shared" si="2"/>
        <v>0.5394864438553657</v>
      </c>
    </row>
    <row r="5" spans="1:13" x14ac:dyDescent="0.3">
      <c r="A5" s="63" t="s">
        <v>657</v>
      </c>
      <c r="B5" s="63" t="s">
        <v>661</v>
      </c>
      <c r="C5" s="63" t="s">
        <v>603</v>
      </c>
      <c r="D5" s="66">
        <f>ABS(AVERAGE('Cash Flow Statement'!Y35:AD35))</f>
        <v>390.33333333333331</v>
      </c>
      <c r="G5" s="63" t="str">
        <f t="shared" si="0"/>
        <v>Titan</v>
      </c>
      <c r="H5" s="127">
        <f>(('Income Statement'!AD16+'Income Statement'!AD12)-('Income Statement'!Y16+'Income Statement'!Y12))</f>
        <v>3215</v>
      </c>
      <c r="I5" s="127">
        <f>('Balance Sheet'!AD30-'Balance Sheet'!AD58)-('Balance Sheet'!Y30-'Balance Sheet'!Y58)</f>
        <v>6932</v>
      </c>
      <c r="J5" s="91">
        <f t="shared" si="1"/>
        <v>0.46379111367570686</v>
      </c>
      <c r="K5" s="127">
        <f>'Income Statement Forecast'!AJ14-'Income Statement Forecast'!AF14</f>
        <v>7959.5056540209016</v>
      </c>
      <c r="L5" s="127">
        <f>(('Balance Sheet Forecast'!AJ18-SUM('Balance Sheet Forecast'!AJ30:AJ33))-('Balance Sheet Forecast'!AF18-SUM('Balance Sheet Forecast'!AF30:AF33)))</f>
        <v>32486.58835581418</v>
      </c>
      <c r="M5" s="91">
        <f t="shared" si="2"/>
        <v>0.24500897314433989</v>
      </c>
    </row>
    <row r="6" spans="1:13" x14ac:dyDescent="0.3">
      <c r="A6" s="63" t="s">
        <v>657</v>
      </c>
      <c r="B6" s="63" t="s">
        <v>661</v>
      </c>
      <c r="C6" s="63" t="s">
        <v>604</v>
      </c>
      <c r="D6" s="66">
        <f>ABS(AVERAGE('Cash Flow Statement'!AG35:AL35))</f>
        <v>508.12166666666673</v>
      </c>
      <c r="G6" s="63" t="str">
        <f t="shared" si="0"/>
        <v>Trent</v>
      </c>
      <c r="H6" s="127">
        <f>(('Income Statement'!AL15+'Income Statement'!AL11)-('Income Statement'!AG15+'Income Statement'!AG11))</f>
        <v>1640.6100000000022</v>
      </c>
      <c r="I6" s="127">
        <f>('Balance Sheet'!AL32-'Balance Sheet'!AL58)-('Balance Sheet'!AG32-'Balance Sheet'!AG58)</f>
        <v>2389.54</v>
      </c>
      <c r="J6" s="91">
        <f t="shared" si="1"/>
        <v>0.68657984381931347</v>
      </c>
      <c r="K6" s="127">
        <f>'Income Statement Forecast'!AS14-'Income Statement Forecast'!AO14</f>
        <v>5726.8928450841249</v>
      </c>
      <c r="L6" s="127">
        <f>(('Balance Sheet Forecast'!AS18-SUM('Balance Sheet Forecast'!AS30:AS33))-('Balance Sheet Forecast'!AO18-SUM('Balance Sheet Forecast'!AO30:AO33)))</f>
        <v>27918.937717703466</v>
      </c>
      <c r="M6" s="91">
        <f t="shared" si="2"/>
        <v>0.20512574307054271</v>
      </c>
    </row>
    <row r="7" spans="1:13" x14ac:dyDescent="0.3">
      <c r="A7" s="63" t="s">
        <v>658</v>
      </c>
      <c r="B7" s="63" t="s">
        <v>661</v>
      </c>
      <c r="C7" s="63" t="s">
        <v>605</v>
      </c>
      <c r="D7" s="66">
        <f>ABS(AVERAGE('Cash Flow Statement'!AO28:AS28))</f>
        <v>2047.7049999999999</v>
      </c>
      <c r="G7" s="63" t="str">
        <f t="shared" si="0"/>
        <v>VBL</v>
      </c>
      <c r="H7" s="127">
        <f>(('Income Statement'!AS17+'Income Statement'!AS13)-('Income Statement'!AO17+'Income Statement'!AO13))</f>
        <v>3174.8179999999984</v>
      </c>
      <c r="I7" s="127">
        <f>('Balance Sheet'!AS28-'Balance Sheet'!AS53)-('Balance Sheet'!AO28-'Balance Sheet'!AO53)</f>
        <v>12596.052000000003</v>
      </c>
      <c r="J7" s="91">
        <f t="shared" si="1"/>
        <v>0.25204865778578855</v>
      </c>
      <c r="K7" s="127">
        <f>'Income Statement Forecast'!BC14-'Income Statement Forecast'!AX14</f>
        <v>7179.9745082394675</v>
      </c>
      <c r="L7" s="127">
        <f>(('Balance Sheet Forecast'!BC19-SUM('Balance Sheet Forecast'!BC31:BC34))-('Balance Sheet Forecast'!AX19-SUM('Balance Sheet Forecast'!AX31:AX34)))</f>
        <v>31390.616164558702</v>
      </c>
      <c r="M7" s="91">
        <f t="shared" si="2"/>
        <v>0.22872996409500093</v>
      </c>
    </row>
    <row r="8" spans="1:13" s="23" customFormat="1" x14ac:dyDescent="0.3">
      <c r="A8" s="77" t="s">
        <v>657</v>
      </c>
      <c r="B8" s="77" t="s">
        <v>661</v>
      </c>
      <c r="C8" s="77" t="s">
        <v>557</v>
      </c>
      <c r="D8" s="67">
        <f>AVERAGE(D2:D7)</f>
        <v>1493.012777777778</v>
      </c>
      <c r="E8" s="1"/>
      <c r="F8" s="1"/>
      <c r="G8" s="77" t="str">
        <f t="shared" si="0"/>
        <v>Average</v>
      </c>
      <c r="H8" s="77"/>
      <c r="I8" s="77"/>
      <c r="J8" s="273">
        <f>AVERAGE(J2:J7)</f>
        <v>0.46912962008385062</v>
      </c>
      <c r="K8" s="77"/>
      <c r="L8" s="77"/>
      <c r="M8" s="273">
        <f>AVERAGE(M2:M7)</f>
        <v>0.29165116823801068</v>
      </c>
    </row>
    <row r="9" spans="1:13" x14ac:dyDescent="0.3">
      <c r="A9" s="63" t="s">
        <v>659</v>
      </c>
      <c r="B9" s="63" t="s">
        <v>661</v>
      </c>
      <c r="C9" s="63" t="str">
        <f>C2</f>
        <v>Dmart</v>
      </c>
      <c r="D9" s="66">
        <f>AVERAGE('DCF Valuation'!B11:F11)</f>
        <v>6133.3201557475468</v>
      </c>
    </row>
    <row r="10" spans="1:13" x14ac:dyDescent="0.3">
      <c r="A10" s="63" t="s">
        <v>660</v>
      </c>
      <c r="B10" s="63" t="s">
        <v>661</v>
      </c>
      <c r="C10" s="63" t="str">
        <f t="shared" ref="C10:C15" si="3">C3</f>
        <v>HUL</v>
      </c>
      <c r="D10" s="66">
        <f>AVERAGE('DCF Valuation'!I11:N11)</f>
        <v>1674.7590137750749</v>
      </c>
    </row>
    <row r="11" spans="1:13" x14ac:dyDescent="0.3">
      <c r="A11" s="63" t="s">
        <v>659</v>
      </c>
      <c r="B11" s="63" t="s">
        <v>661</v>
      </c>
      <c r="C11" s="63" t="str">
        <f t="shared" si="3"/>
        <v>ITC</v>
      </c>
      <c r="D11" s="66">
        <f>AVERAGE('DCF Valuation'!Q11:U11)</f>
        <v>3860.6392116944417</v>
      </c>
    </row>
    <row r="12" spans="1:13" x14ac:dyDescent="0.3">
      <c r="A12" s="63" t="s">
        <v>659</v>
      </c>
      <c r="B12" s="63" t="s">
        <v>661</v>
      </c>
      <c r="C12" s="63" t="str">
        <f t="shared" si="3"/>
        <v>Titan</v>
      </c>
      <c r="D12" s="66">
        <f>AVERAGE('DCF Valuation'!X11:AB11)</f>
        <v>1122.3413514997778</v>
      </c>
    </row>
    <row r="13" spans="1:13" x14ac:dyDescent="0.3">
      <c r="A13" s="63" t="s">
        <v>659</v>
      </c>
      <c r="B13" s="63" t="s">
        <v>661</v>
      </c>
      <c r="C13" s="63" t="str">
        <f t="shared" si="3"/>
        <v>Trent</v>
      </c>
      <c r="D13" s="66">
        <f>AVERAGE('DCF Valuation'!AE11:AI11)</f>
        <v>2267.0411763959114</v>
      </c>
    </row>
    <row r="14" spans="1:13" x14ac:dyDescent="0.3">
      <c r="A14" s="63" t="s">
        <v>660</v>
      </c>
      <c r="B14" s="63" t="s">
        <v>661</v>
      </c>
      <c r="C14" s="63" t="str">
        <f t="shared" si="3"/>
        <v>VBL</v>
      </c>
      <c r="D14" s="66">
        <f>AVERAGE('DCF Valuation'!AL11:AQ11)</f>
        <v>5855.0524233699734</v>
      </c>
    </row>
    <row r="15" spans="1:13" x14ac:dyDescent="0.3">
      <c r="A15" s="77" t="s">
        <v>659</v>
      </c>
      <c r="B15" s="77" t="s">
        <v>661</v>
      </c>
      <c r="C15" s="77" t="str">
        <f t="shared" si="3"/>
        <v>Average</v>
      </c>
      <c r="D15" s="67">
        <f>AVERAGE(D9:D14)</f>
        <v>3485.5255554137875</v>
      </c>
    </row>
    <row r="16" spans="1:13" x14ac:dyDescent="0.3">
      <c r="A16" s="63" t="str">
        <f>A9</f>
        <v>2026-30</v>
      </c>
      <c r="B16" s="63" t="s">
        <v>662</v>
      </c>
      <c r="C16" s="63" t="str">
        <f>C9</f>
        <v>Dmart</v>
      </c>
      <c r="D16" s="114">
        <f>('DCF Valuation'!F11/'DCF Valuation'!B11)^(1/5)-1</f>
        <v>0.12294228741683599</v>
      </c>
    </row>
    <row r="17" spans="1:4" x14ac:dyDescent="0.3">
      <c r="A17" s="63" t="str">
        <f t="shared" ref="A17:A22" si="4">A10</f>
        <v>2025-30</v>
      </c>
      <c r="B17" s="63" t="s">
        <v>662</v>
      </c>
      <c r="C17" s="63" t="str">
        <f t="shared" ref="C17:C22" si="5">C10</f>
        <v>HUL</v>
      </c>
      <c r="D17" s="114">
        <f>('DCF Valuation'!N11/'DCF Valuation'!I11)^(1/6)-1</f>
        <v>6.2985114736580305E-2</v>
      </c>
    </row>
    <row r="18" spans="1:4" x14ac:dyDescent="0.3">
      <c r="A18" s="63" t="str">
        <f t="shared" si="4"/>
        <v>2026-30</v>
      </c>
      <c r="B18" s="63" t="s">
        <v>662</v>
      </c>
      <c r="C18" s="63" t="str">
        <f t="shared" si="5"/>
        <v>ITC</v>
      </c>
      <c r="D18" s="114">
        <f>('DCF Valuation'!U11/'DCF Valuation'!Q11)^(1/5)-1</f>
        <v>6.1955099680501391E-2</v>
      </c>
    </row>
    <row r="19" spans="1:4" x14ac:dyDescent="0.3">
      <c r="A19" s="63" t="str">
        <f t="shared" si="4"/>
        <v>2026-30</v>
      </c>
      <c r="B19" s="63" t="s">
        <v>662</v>
      </c>
      <c r="C19" s="63" t="str">
        <f t="shared" si="5"/>
        <v>Titan</v>
      </c>
      <c r="D19" s="114">
        <f>('DCF Valuation'!AB11/'DCF Valuation'!X11)^(1/5)-1</f>
        <v>0.15115845762506108</v>
      </c>
    </row>
    <row r="20" spans="1:4" x14ac:dyDescent="0.3">
      <c r="A20" s="63" t="str">
        <f t="shared" si="4"/>
        <v>2026-30</v>
      </c>
      <c r="B20" s="63" t="s">
        <v>662</v>
      </c>
      <c r="C20" s="63" t="str">
        <f t="shared" si="5"/>
        <v>Trent</v>
      </c>
      <c r="D20" s="114">
        <f>('DCF Valuation'!AI11/'DCF Valuation'!AE11)^(1/5)-1</f>
        <v>0.23511832630844109</v>
      </c>
    </row>
    <row r="21" spans="1:4" x14ac:dyDescent="0.3">
      <c r="A21" s="63" t="str">
        <f t="shared" si="4"/>
        <v>2025-30</v>
      </c>
      <c r="B21" s="63" t="s">
        <v>662</v>
      </c>
      <c r="C21" s="63" t="str">
        <f t="shared" si="5"/>
        <v>VBL</v>
      </c>
      <c r="D21" s="114">
        <f>('DCF Valuation'!AQ11/'DCF Valuation'!AL11)^(1/6)-1</f>
        <v>0.17146879939530235</v>
      </c>
    </row>
    <row r="22" spans="1:4" x14ac:dyDescent="0.3">
      <c r="A22" s="77" t="str">
        <f t="shared" si="4"/>
        <v>2026-30</v>
      </c>
      <c r="B22" s="77" t="s">
        <v>662</v>
      </c>
      <c r="C22" s="77" t="str">
        <f t="shared" si="5"/>
        <v>Average</v>
      </c>
      <c r="D22" s="274">
        <f>AVERAGE(D16:D21)</f>
        <v>0.13427134752712036</v>
      </c>
    </row>
    <row r="23" spans="1:4" x14ac:dyDescent="0.3">
      <c r="A23" s="1" t="str">
        <f>A16</f>
        <v>2026-30</v>
      </c>
      <c r="B23" s="1" t="s">
        <v>665</v>
      </c>
      <c r="C23" s="1" t="str">
        <f>C16</f>
        <v>Dmart</v>
      </c>
      <c r="D23" s="84">
        <f>('Income Statement Forecast'!H18/'Income Statement Forecast'!B18)^(1/6)-1</f>
        <v>0.1810142337443863</v>
      </c>
    </row>
    <row r="24" spans="1:4" x14ac:dyDescent="0.3">
      <c r="A24" s="1" t="str">
        <f t="shared" ref="A24:A29" si="6">A17</f>
        <v>2025-30</v>
      </c>
      <c r="B24" s="1" t="s">
        <v>665</v>
      </c>
      <c r="C24" s="1" t="str">
        <f t="shared" ref="C24:C28" si="7">C17</f>
        <v>HUL</v>
      </c>
      <c r="D24" s="84">
        <f>('Income Statement Forecast'!R18/'Income Statement Forecast'!M18)^(1/6)-1</f>
        <v>2.2655817794594801E-2</v>
      </c>
    </row>
    <row r="25" spans="1:4" x14ac:dyDescent="0.3">
      <c r="A25" s="1" t="str">
        <f t="shared" si="6"/>
        <v>2026-30</v>
      </c>
      <c r="B25" s="1" t="s">
        <v>665</v>
      </c>
      <c r="C25" s="1" t="str">
        <f t="shared" si="7"/>
        <v>ITC</v>
      </c>
      <c r="D25" s="84">
        <f>('Income Statement Forecast'!AA18/'Income Statement Forecast'!W18)^(1/5)-1</f>
        <v>3.1827774483810245E-3</v>
      </c>
    </row>
    <row r="26" spans="1:4" x14ac:dyDescent="0.3">
      <c r="A26" s="1" t="str">
        <f t="shared" si="6"/>
        <v>2026-30</v>
      </c>
      <c r="B26" s="1" t="s">
        <v>665</v>
      </c>
      <c r="C26" s="1" t="str">
        <f t="shared" si="7"/>
        <v>Titan</v>
      </c>
      <c r="D26" s="84">
        <f>('Income Statement Forecast'!AJ18/'Income Statement Forecast'!AF18)^(1/5)-1</f>
        <v>0.15470442462532485</v>
      </c>
    </row>
    <row r="27" spans="1:4" x14ac:dyDescent="0.3">
      <c r="A27" s="1" t="str">
        <f t="shared" si="6"/>
        <v>2026-30</v>
      </c>
      <c r="B27" s="1" t="s">
        <v>665</v>
      </c>
      <c r="C27" s="1" t="str">
        <f t="shared" si="7"/>
        <v>Trent</v>
      </c>
      <c r="D27" s="84">
        <f>('Income Statement Forecast'!AS18/'Income Statement Forecast'!AO18)^(1/5)-1</f>
        <v>0.2587792133788831</v>
      </c>
    </row>
    <row r="28" spans="1:4" x14ac:dyDescent="0.3">
      <c r="A28" s="1" t="str">
        <f t="shared" si="6"/>
        <v>2025-30</v>
      </c>
      <c r="B28" s="1" t="s">
        <v>665</v>
      </c>
      <c r="C28" s="1" t="str">
        <f t="shared" si="7"/>
        <v>VBL</v>
      </c>
      <c r="D28" s="84">
        <f>('Income Statement Forecast'!BC18/'Income Statement Forecast'!AX18)^(1/6)-1</f>
        <v>0.12020244619678144</v>
      </c>
    </row>
    <row r="29" spans="1:4" x14ac:dyDescent="0.3">
      <c r="A29" s="23" t="str">
        <f t="shared" si="6"/>
        <v>2026-30</v>
      </c>
      <c r="B29" s="23" t="s">
        <v>665</v>
      </c>
      <c r="C29" s="23" t="str">
        <f>C22</f>
        <v>Average</v>
      </c>
      <c r="D29" s="275">
        <f>AVERAGE(D23:D28)</f>
        <v>0.12342315219805859</v>
      </c>
    </row>
  </sheetData>
  <phoneticPr fontId="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DF77A-8811-4779-A480-7F90D3FF6D64}">
  <dimension ref="A2:I24"/>
  <sheetViews>
    <sheetView topLeftCell="A13" workbookViewId="0">
      <selection activeCell="I26" sqref="I26"/>
    </sheetView>
  </sheetViews>
  <sheetFormatPr defaultRowHeight="14.4" x14ac:dyDescent="0.3"/>
  <cols>
    <col min="1" max="1" width="18.5546875" style="1" bestFit="1" customWidth="1"/>
    <col min="2" max="2" width="10.88671875" style="1" bestFit="1" customWidth="1"/>
    <col min="3" max="3" width="11.33203125" style="1" bestFit="1" customWidth="1"/>
    <col min="4" max="4" width="14.33203125" style="1" customWidth="1"/>
    <col min="5" max="5" width="17" style="1" customWidth="1"/>
    <col min="6" max="6" width="19.109375" style="1" customWidth="1"/>
    <col min="7" max="7" width="17.6640625" style="1" customWidth="1"/>
    <col min="8" max="8" width="16.6640625" style="1" customWidth="1"/>
    <col min="9" max="9" width="17.5546875" style="1" customWidth="1"/>
    <col min="10" max="16384" width="8.88671875" style="1"/>
  </cols>
  <sheetData>
    <row r="2" spans="1:6" x14ac:dyDescent="0.3">
      <c r="A2" s="23" t="s">
        <v>616</v>
      </c>
      <c r="B2" s="143"/>
    </row>
    <row r="3" spans="1:6" x14ac:dyDescent="0.3">
      <c r="A3" s="77" t="s">
        <v>0</v>
      </c>
      <c r="B3" s="255" t="s">
        <v>617</v>
      </c>
      <c r="C3" s="256" t="s">
        <v>518</v>
      </c>
      <c r="D3" s="256" t="s">
        <v>618</v>
      </c>
    </row>
    <row r="4" spans="1:6" x14ac:dyDescent="0.3">
      <c r="A4" s="63" t="s">
        <v>604</v>
      </c>
      <c r="B4" s="127">
        <f ca="1">'Financial Ratio'!AL24</f>
        <v>129.20046895060628</v>
      </c>
      <c r="C4" s="127">
        <f ca="1">'Financial Ratio'!AL23</f>
        <v>66.646474671734353</v>
      </c>
      <c r="D4" s="127">
        <f ca="1">'Company Profile'!D12/'Income Statement'!AL6</f>
        <v>9.4792305959084135</v>
      </c>
    </row>
    <row r="5" spans="1:6" x14ac:dyDescent="0.3">
      <c r="A5" s="63" t="s">
        <v>603</v>
      </c>
      <c r="B5" s="127">
        <f ca="1">'Financial Ratio'!AD24</f>
        <v>79.38749740635302</v>
      </c>
      <c r="C5" s="127">
        <f ca="1">'Financial Ratio'!AD23</f>
        <v>44.465223114077673</v>
      </c>
      <c r="D5" s="127">
        <f ca="1">'Company Profile'!F12/'Income Statement'!AD6</f>
        <v>5.4864297200616976</v>
      </c>
      <c r="E5" s="115"/>
      <c r="F5" s="115"/>
    </row>
    <row r="6" spans="1:6" x14ac:dyDescent="0.3">
      <c r="A6" s="63" t="s">
        <v>619</v>
      </c>
      <c r="B6" s="127">
        <v>25.2</v>
      </c>
      <c r="C6" s="127">
        <f>24.83</f>
        <v>24.83</v>
      </c>
      <c r="D6" s="127">
        <v>3.33</v>
      </c>
      <c r="E6" s="115"/>
      <c r="F6" s="115"/>
    </row>
    <row r="7" spans="1:6" x14ac:dyDescent="0.3">
      <c r="A7" s="63" t="s">
        <v>628</v>
      </c>
      <c r="B7" s="127">
        <v>117</v>
      </c>
      <c r="C7" s="127">
        <v>28.6</v>
      </c>
      <c r="D7" s="127">
        <v>1.92</v>
      </c>
      <c r="E7" s="115"/>
      <c r="F7" s="115"/>
    </row>
    <row r="8" spans="1:6" x14ac:dyDescent="0.3">
      <c r="A8" s="63" t="s">
        <v>629</v>
      </c>
      <c r="B8" s="127">
        <v>84.2</v>
      </c>
      <c r="C8" s="127">
        <v>23.3</v>
      </c>
      <c r="D8" s="127">
        <v>3.13</v>
      </c>
      <c r="E8" s="115"/>
      <c r="F8" s="115"/>
    </row>
    <row r="9" spans="1:6" x14ac:dyDescent="0.3">
      <c r="A9" s="77" t="s">
        <v>557</v>
      </c>
      <c r="B9" s="254">
        <f ca="1">AVERAGE(B4:B8)</f>
        <v>86.99759327139185</v>
      </c>
      <c r="C9" s="254">
        <f t="shared" ref="C9:D9" ca="1" si="0">AVERAGE(C4:C8)</f>
        <v>37.56833955716241</v>
      </c>
      <c r="D9" s="254">
        <f t="shared" ca="1" si="0"/>
        <v>4.6691320631940219</v>
      </c>
      <c r="E9" s="115"/>
      <c r="F9" s="115"/>
    </row>
    <row r="10" spans="1:6" x14ac:dyDescent="0.3">
      <c r="A10" s="23"/>
      <c r="B10" s="214"/>
      <c r="C10" s="214"/>
      <c r="D10" s="214"/>
      <c r="E10" s="115"/>
      <c r="F10" s="115"/>
    </row>
    <row r="11" spans="1:6" x14ac:dyDescent="0.3">
      <c r="A11" s="67" t="s">
        <v>497</v>
      </c>
      <c r="B11" s="199">
        <v>2030</v>
      </c>
      <c r="C11" s="258" t="s">
        <v>32</v>
      </c>
      <c r="D11" s="214"/>
      <c r="E11" s="115"/>
      <c r="F11" s="115"/>
    </row>
    <row r="12" spans="1:6" s="23" customFormat="1" x14ac:dyDescent="0.3">
      <c r="A12" s="66" t="s">
        <v>615</v>
      </c>
      <c r="B12" s="32">
        <f>'Income Statement Forecast'!H18</f>
        <v>4315.5328542022826</v>
      </c>
      <c r="C12" s="128">
        <f>'Income Statement'!G21</f>
        <v>2707.449999999998</v>
      </c>
    </row>
    <row r="13" spans="1:6" x14ac:dyDescent="0.3">
      <c r="A13" s="66" t="s">
        <v>527</v>
      </c>
      <c r="B13" s="32">
        <f>'Income Statement Forecast'!H12</f>
        <v>8273.4063064677757</v>
      </c>
      <c r="C13" s="128">
        <f>'Income Statement Forecast'!B12</f>
        <v>3494.5799999999945</v>
      </c>
    </row>
    <row r="14" spans="1:6" s="23" customFormat="1" x14ac:dyDescent="0.3">
      <c r="A14" s="66" t="s">
        <v>555</v>
      </c>
      <c r="B14" s="32">
        <f>'Income Statement Forecast'!H6</f>
        <v>122778.11781930229</v>
      </c>
      <c r="C14" s="128">
        <f>'Income Statement Forecast'!B6</f>
        <v>59482.36</v>
      </c>
    </row>
    <row r="15" spans="1:6" x14ac:dyDescent="0.3">
      <c r="A15" s="66" t="s">
        <v>620</v>
      </c>
      <c r="B15" s="32">
        <f>('Balance Sheet Forecast'!H24+'Balance Sheet Forecast'!H29)-'Balance Sheet Forecast'!H15</f>
        <v>2974.035674320945</v>
      </c>
      <c r="C15" s="128">
        <f>'WACC &amp; Key Assumptions'!B13</f>
        <v>819.61999999999989</v>
      </c>
    </row>
    <row r="16" spans="1:6" x14ac:dyDescent="0.3">
      <c r="A16" s="66" t="s">
        <v>621</v>
      </c>
      <c r="B16" s="32">
        <f ca="1">'Company Profile'!B9</f>
        <v>65.073310000000006</v>
      </c>
      <c r="C16" s="128">
        <f ca="1">$B$16</f>
        <v>65.073310000000006</v>
      </c>
    </row>
    <row r="18" spans="1:9" x14ac:dyDescent="0.3">
      <c r="A18" s="23" t="s">
        <v>626</v>
      </c>
    </row>
    <row r="19" spans="1:9" s="4" customFormat="1" ht="28.8" x14ac:dyDescent="0.3">
      <c r="A19" s="252" t="s">
        <v>623</v>
      </c>
      <c r="B19" s="17" t="s">
        <v>625</v>
      </c>
      <c r="C19" s="17" t="s">
        <v>636</v>
      </c>
      <c r="D19" s="17" t="s">
        <v>635</v>
      </c>
      <c r="E19" s="17" t="s">
        <v>633</v>
      </c>
      <c r="F19" s="17" t="s">
        <v>634</v>
      </c>
      <c r="G19" s="17" t="s">
        <v>627</v>
      </c>
      <c r="H19" s="253" t="s">
        <v>631</v>
      </c>
      <c r="I19" s="17" t="s">
        <v>632</v>
      </c>
    </row>
    <row r="20" spans="1:9" x14ac:dyDescent="0.3">
      <c r="A20" s="77" t="s">
        <v>624</v>
      </c>
      <c r="B20" s="127">
        <f ca="1">B9</f>
        <v>86.99759327139185</v>
      </c>
      <c r="C20" s="66">
        <f ca="1">B9*B12</f>
        <v>375440.97199921898</v>
      </c>
      <c r="D20" s="127">
        <f ca="1">B20*C12</f>
        <v>235541.63390262969</v>
      </c>
      <c r="E20" s="127">
        <f ca="1">C20/$B$16</f>
        <v>5769.5078366110301</v>
      </c>
      <c r="F20" s="66">
        <f ca="1">D20/$B$16</f>
        <v>3619.635053182782</v>
      </c>
      <c r="G20" s="66">
        <f ca="1">'Company Profile'!$B$10</f>
        <v>4019</v>
      </c>
      <c r="H20" s="141">
        <f ca="1">(E20-G20)/G20</f>
        <v>0.43555805837547401</v>
      </c>
      <c r="I20" s="259">
        <f ca="1">(F20-G20)/G20</f>
        <v>-9.9369232848275188E-2</v>
      </c>
    </row>
    <row r="21" spans="1:9" x14ac:dyDescent="0.3">
      <c r="A21" s="279" t="s">
        <v>518</v>
      </c>
      <c r="B21" s="127">
        <f ca="1">C9</f>
        <v>37.56833955716241</v>
      </c>
      <c r="C21" s="66">
        <f ca="1">B13*B21</f>
        <v>310818.1374157503</v>
      </c>
      <c r="D21" s="127">
        <f ca="1">B21*C13</f>
        <v>131285.56804966842</v>
      </c>
      <c r="E21" s="127">
        <f ca="1">C21/$B$16</f>
        <v>4776.430420025511</v>
      </c>
      <c r="F21" s="66">
        <f t="shared" ref="F21:F23" ca="1" si="1">D21/$B$16</f>
        <v>2017.5025375175846</v>
      </c>
      <c r="G21" s="66">
        <f ca="1">'Company Profile'!$B$10</f>
        <v>4019</v>
      </c>
      <c r="H21" s="141">
        <f ca="1">(E21-G21)/G21</f>
        <v>0.18846240856569071</v>
      </c>
      <c r="I21" s="259">
        <f t="shared" ref="I21:I23" ca="1" si="2">(F21-G21)/G21</f>
        <v>-0.49800882370799088</v>
      </c>
    </row>
    <row r="22" spans="1:9" x14ac:dyDescent="0.3">
      <c r="A22" s="279"/>
      <c r="B22" s="127" t="s">
        <v>620</v>
      </c>
      <c r="C22" s="127">
        <f ca="1">C21+B15</f>
        <v>313792.17309007124</v>
      </c>
      <c r="D22" s="127">
        <f ca="1">D21+C15</f>
        <v>132105.18804966842</v>
      </c>
      <c r="E22" s="127">
        <f ca="1">C22/$B$16</f>
        <v>4822.1332692323658</v>
      </c>
      <c r="F22" s="66">
        <f t="shared" ca="1" si="1"/>
        <v>2030.097870381396</v>
      </c>
      <c r="G22" s="66">
        <f ca="1">'Company Profile'!$B$10</f>
        <v>4019</v>
      </c>
      <c r="H22" s="141">
        <f ca="1">(E22-G22)/G22</f>
        <v>0.19983410530787904</v>
      </c>
      <c r="I22" s="259">
        <f t="shared" ca="1" si="2"/>
        <v>-0.49487487674013536</v>
      </c>
    </row>
    <row r="23" spans="1:9" x14ac:dyDescent="0.3">
      <c r="A23" s="77" t="s">
        <v>618</v>
      </c>
      <c r="B23" s="127">
        <f ca="1">D9</f>
        <v>4.6691320631940219</v>
      </c>
      <c r="C23" s="66">
        <f ca="1">B14*B23</f>
        <v>573267.24656871764</v>
      </c>
      <c r="D23" s="127">
        <f ca="1">B23*C14</f>
        <v>277730.99427044956</v>
      </c>
      <c r="E23" s="127">
        <f ca="1">C23/$B$16</f>
        <v>8809.5602723869069</v>
      </c>
      <c r="F23" s="66">
        <f t="shared" ca="1" si="1"/>
        <v>4267.9709126591151</v>
      </c>
      <c r="G23" s="66">
        <f ca="1">'Company Profile'!$B$10</f>
        <v>4019</v>
      </c>
      <c r="H23" s="141">
        <f ca="1">(E23-G23)/G23</f>
        <v>1.191978171780768</v>
      </c>
      <c r="I23" s="259">
        <f t="shared" ca="1" si="2"/>
        <v>6.1948472918416306E-2</v>
      </c>
    </row>
    <row r="24" spans="1:9" x14ac:dyDescent="0.3">
      <c r="F24" s="115">
        <f ca="1">AVERAGE(F20:F23)</f>
        <v>2983.8015934352197</v>
      </c>
      <c r="G24" s="115">
        <f ca="1">G23</f>
        <v>4019</v>
      </c>
      <c r="I24" s="117">
        <f ca="1">(F24-G24)/G24</f>
        <v>-0.25757611509449618</v>
      </c>
    </row>
  </sheetData>
  <mergeCells count="1">
    <mergeCell ref="A21:A22"/>
  </mergeCells>
  <conditionalFormatting sqref="H20:I23">
    <cfRule type="cellIs" dxfId="1" priority="1" operator="greaterThan">
      <formula>0</formula>
    </cfRule>
    <cfRule type="cellIs" dxfId="0" priority="2"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Company Profile</vt:lpstr>
      <vt:lpstr>Balance Sheet</vt:lpstr>
      <vt:lpstr>Common Size Balance Sheet</vt:lpstr>
      <vt:lpstr>Income Statement</vt:lpstr>
      <vt:lpstr>Common Size Income Statement</vt:lpstr>
      <vt:lpstr>Cash Flow Statement</vt:lpstr>
      <vt:lpstr>Financial Ratio</vt:lpstr>
      <vt:lpstr>Dupont Analysis</vt:lpstr>
      <vt:lpstr>Balance Sheet Forecast</vt:lpstr>
      <vt:lpstr>Income Statement Forecast</vt:lpstr>
      <vt:lpstr>WACC &amp; Key Assumptions</vt:lpstr>
      <vt:lpstr>DCF Valuation</vt:lpstr>
      <vt:lpstr>Calc</vt:lpstr>
      <vt:lpstr>Relative 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2025-11-10T17:39:10Z</dcterms:modified>
</cp:coreProperties>
</file>